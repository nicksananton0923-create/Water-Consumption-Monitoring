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er Register" sheetId="2" state="visible" r:id="rId2"/>
    <sheet xmlns:r="http://schemas.openxmlformats.org/officeDocument/2006/relationships" name="Readings" sheetId="3" state="visible" r:id="rId3"/>
    <sheet xmlns:r="http://schemas.openxmlformats.org/officeDocument/2006/relationships" name="Daily Summary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37352F"/>
      <sz val="11"/>
    </font>
    <font>
      <name val="Noto Sans CJK SC"/>
      <color rgb="001B2A4A"/>
      <sz val="12"/>
    </font>
    <font>
      <name val="Noto Sans CJK SC"/>
      <color rgb="00FFFFFF"/>
      <sz val="11"/>
    </font>
    <font>
      <name val="Noto Sans CJK SC"/>
      <color rgb="001B2A4A"/>
      <sz val="18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D4820A"/>
      <sz val="22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3" borderId="0" applyAlignment="1" pivotButton="0" quotePrefix="0" xfId="0">
      <alignment horizontal="right" vertical="center"/>
    </xf>
    <xf numFmtId="0" fontId="2" fillId="4" borderId="0" pivotButton="0" quotePrefix="0" xfId="0"/>
    <xf numFmtId="164" fontId="2" fillId="4" borderId="0" pivotButton="0" quotePrefix="0" xfId="0"/>
    <xf numFmtId="0" fontId="2" fillId="4" borderId="0" applyAlignment="1" pivotButton="0" quotePrefix="0" xfId="0">
      <alignment horizontal="right" vertical="center"/>
    </xf>
    <xf numFmtId="4" fontId="2" fillId="3" borderId="0" applyAlignment="1" pivotButton="0" quotePrefix="0" xfId="0">
      <alignment horizontal="right" vertical="center"/>
    </xf>
    <xf numFmtId="4" fontId="2" fillId="4" borderId="0" applyAlignment="1" pivotButton="0" quotePrefix="0" xfId="0">
      <alignment horizontal="right" vertical="center"/>
    </xf>
    <xf numFmtId="165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165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dxfs count="3">
    <dxf>
      <font>
        <name val="Noto Sans CJK SC"/>
        <b val="1"/>
        <color rgb="00C0392B"/>
        <sz val="11"/>
      </font>
      <fill>
        <patternFill patternType="solid">
          <fgColor rgb="00FDEDEC"/>
        </patternFill>
      </fill>
    </dxf>
    <dxf>
      <font>
        <name val="Noto Sans CJK SC"/>
        <b val="1"/>
        <color rgb="00D4820A"/>
        <sz val="11"/>
      </font>
      <fill>
        <patternFill patternType="solid">
          <fgColor rgb="00FEF9E7"/>
        </patternFill>
      </fill>
    </dxf>
    <dxf>
      <font>
        <name val="Noto Sans CJK SC"/>
        <b val="1"/>
        <color rgb="001B7D46"/>
        <sz val="11"/>
      </font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Consumption — Top 3 Meters (m³)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 w="18000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'Dashboard'!$B$10:$B$374</f>
            </numRef>
          </cat>
          <val>
            <numRef>
              <f>'Dashboard'!$C$10:$C$374</f>
            </numRef>
          </val>
        </ser>
        <ser>
          <idx val="1"/>
          <order val="1"/>
          <tx>
            <strRef>
              <f>'Dashboard'!D9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 w="18000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'Dashboard'!$B$10:$B$374</f>
            </numRef>
          </cat>
          <val>
            <numRef>
              <f>'Dashboard'!$D$10:$D$374</f>
            </numRef>
          </val>
        </ser>
        <ser>
          <idx val="2"/>
          <order val="2"/>
          <tx>
            <strRef>
              <f>'Dashboard'!E9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 w="18000">
              <a:solidFill>
                <a:srgbClr val="D482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'Dashboard'!$B$10:$B$374</f>
            </numRef>
          </cat>
          <val>
            <numRef>
              <f>'Dashboard'!$E$10:$E$374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Water Consumption by Meter (m³)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'Dashboard'!C377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prstDash val="solid"/>
            </a:ln>
          </spPr>
          <cat>
            <numRef>
              <f>'Dashboard'!$B$378:$B$383</f>
            </numRef>
          </cat>
          <val>
            <numRef>
              <f>'Dashboard'!$C$378:$C$383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Consumption by Area (m³)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'Dashboard'!C386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prstDash val="solid"/>
            </a:ln>
          </spPr>
          <cat>
            <numRef>
              <f>'Dashboard'!$B$387:$B$398</f>
            </numRef>
          </cat>
          <val>
            <numRef>
              <f>'Dashboard'!$C$387:$C$398</f>
            </numRef>
          </val>
        </ser>
        <ser>
          <idx val="1"/>
          <order val="1"/>
          <tx>
            <strRef>
              <f>'Dashboard'!D386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prstDash val="solid"/>
            </a:ln>
          </spPr>
          <cat>
            <numRef>
              <f>'Dashboard'!$B$387:$B$398</f>
            </numRef>
          </cat>
          <val>
            <numRef>
              <f>'Dashboard'!$D$387:$D$398</f>
            </numRef>
          </val>
        </ser>
        <ser>
          <idx val="2"/>
          <order val="2"/>
          <tx>
            <strRef>
              <f>'Dashboard'!E386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prstDash val="solid"/>
            </a:ln>
          </spPr>
          <cat>
            <numRef>
              <f>'Dashboard'!$B$387:$B$398</f>
            </numRef>
          </cat>
          <val>
            <numRef>
              <f>'Dashboard'!$E$387:$E$398</f>
            </numRef>
          </val>
        </ser>
        <ser>
          <idx val="3"/>
          <order val="3"/>
          <tx>
            <strRef>
              <f>'Dashboard'!F386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'Dashboard'!$B$387:$B$398</f>
            </numRef>
          </cat>
          <val>
            <numRef>
              <f>'Dashboard'!$F$387:$F$398</f>
            </numRef>
          </val>
        </ser>
        <ser>
          <idx val="4"/>
          <order val="4"/>
          <tx>
            <strRef>
              <f>'Dashboard'!G386</f>
            </strRef>
          </tx>
          <spPr>
            <a:solidFill xmlns:a="http://schemas.openxmlformats.org/drawingml/2006/main">
              <a:srgbClr val="8C8A84"/>
            </a:solidFill>
            <a:ln xmlns:a="http://schemas.openxmlformats.org/drawingml/2006/main">
              <a:prstDash val="solid"/>
            </a:ln>
          </spPr>
          <cat>
            <numRef>
              <f>'Dashboard'!$B$387:$B$398</f>
            </numRef>
          </cat>
          <val>
            <numRef>
              <f>'Dashboard'!$G$387:$G$398</f>
            </numRef>
          </val>
        </ser>
        <ser>
          <idx val="5"/>
          <order val="5"/>
          <tx>
            <strRef>
              <f>'Dashboard'!H386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prstDash val="solid"/>
            </a:ln>
          </spPr>
          <cat>
            <numRef>
              <f>'Dashboard'!$B$387:$B$398</f>
            </numRef>
          </cat>
          <val>
            <numRef>
              <f>'Dashboard'!$H$387:$H$398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376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385</row>
      <rowOff>0</rowOff>
    </from>
    <ext cx="86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15" customHeight="1"/>
    <row r="2" ht="32" customHeight="1">
      <c r="B2" s="1" t="inlineStr">
        <is>
          <t>Industrial Water Consumption Monitoring — Excel Dashboard</t>
        </is>
      </c>
    </row>
    <row r="3" ht="8" customHeight="1"/>
    <row r="5">
      <c r="B5" s="2" t="inlineStr"/>
    </row>
    <row r="6">
      <c r="B6" s="3" t="inlineStr">
        <is>
          <t>PURPOSE</t>
        </is>
      </c>
    </row>
    <row r="7">
      <c r="B7" s="2" t="inlineStr">
        <is>
          <t>This workbook records, validates, and visualizes water consumption for an</t>
        </is>
      </c>
    </row>
    <row r="8">
      <c r="B8" s="2" t="inlineStr">
        <is>
          <t>industrial facility. The sample dataset covers a textile factory with 6</t>
        </is>
      </c>
    </row>
    <row r="9">
      <c r="B9" s="2" t="inlineStr">
        <is>
          <t>cumulative water meters across Dyeing, Washing, Boiler, Cooling Tower,</t>
        </is>
      </c>
    </row>
    <row r="10">
      <c r="B10" s="2" t="inlineStr">
        <is>
          <t>Process, and Utilities areas for one full year (2024).</t>
        </is>
      </c>
    </row>
    <row r="11">
      <c r="B11" s="2" t="inlineStr"/>
    </row>
    <row r="12">
      <c r="B12" s="3" t="inlineStr">
        <is>
          <t>SHEETS</t>
        </is>
      </c>
    </row>
    <row r="13">
      <c r="B13" s="2" t="inlineStr">
        <is>
          <t xml:space="preserve">  • Meter Register   — list of all meters with metadata</t>
        </is>
      </c>
    </row>
    <row r="14">
      <c r="B14" s="2" t="inlineStr">
        <is>
          <t xml:space="preserve">  • Readings         — raw cumulative readings (input sheet)</t>
        </is>
      </c>
    </row>
    <row r="15">
      <c r="B15" s="2" t="inlineStr">
        <is>
          <t xml:space="preserve">  • Daily Summary    — per-meter daily consumption computed via formula</t>
        </is>
      </c>
    </row>
    <row r="16">
      <c r="B16" s="2" t="inlineStr">
        <is>
          <t xml:space="preserve">  • Monthly Summary  — per-meter monthly totals + variance vs target</t>
        </is>
      </c>
    </row>
    <row r="17">
      <c r="B17" s="2" t="inlineStr">
        <is>
          <t xml:space="preserve">  • Dashboard        — KPIs + charts (line, bar, column)</t>
        </is>
      </c>
    </row>
    <row r="18">
      <c r="B18" s="2" t="inlineStr"/>
    </row>
    <row r="19">
      <c r="B19" s="3" t="inlineStr">
        <is>
          <t>HOW TO USE</t>
        </is>
      </c>
    </row>
    <row r="20">
      <c r="B20" s="2" t="inlineStr">
        <is>
          <t xml:space="preserve">  1. Paste new readings into the Readings sheet (keep the column order).</t>
        </is>
      </c>
    </row>
    <row r="21">
      <c r="B21" s="2" t="inlineStr">
        <is>
          <t xml:space="preserve">  2. Daily Summary auto-computes delta = current - previous cumulative.</t>
        </is>
      </c>
    </row>
    <row r="22">
      <c r="B22" s="2" t="inlineStr">
        <is>
          <t xml:space="preserve">  3. Monthly Summary aggregates by month and compares to target.</t>
        </is>
      </c>
    </row>
    <row r="23">
      <c r="B23" s="2" t="inlineStr">
        <is>
          <t xml:space="preserve">  4. Open the Dashboard sheet for KPIs and charts.</t>
        </is>
      </c>
    </row>
    <row r="24">
      <c r="B24" s="2" t="inlineStr"/>
    </row>
    <row r="25">
      <c r="B25" s="3" t="inlineStr">
        <is>
          <t>DATA SOURCE</t>
        </is>
      </c>
    </row>
    <row r="26">
      <c r="B26" s="2" t="inlineStr">
        <is>
          <t xml:space="preserve">  • Sample dataset: data/sample-water-readings.csv (2,219 rows).</t>
        </is>
      </c>
    </row>
    <row r="27">
      <c r="B27" s="2" t="inlineStr">
        <is>
          <t xml:space="preserve">  • Anonymized — no real factory readings.</t>
        </is>
      </c>
    </row>
    <row r="28">
      <c r="B28" s="2" t="inlineStr"/>
    </row>
    <row r="29">
      <c r="B29" s="3" t="inlineStr">
        <is>
          <t>IMPORTANT</t>
        </is>
      </c>
    </row>
    <row r="30">
      <c r="B30" s="2" t="inlineStr">
        <is>
          <t xml:space="preserve">  • Anomalies are flagged as POTENTIAL ISSUES — investigate on site before</t>
        </is>
      </c>
    </row>
    <row r="31">
      <c r="B31" s="2" t="inlineStr">
        <is>
          <t xml:space="preserve">    classifying as a leak.</t>
        </is>
      </c>
    </row>
    <row r="32">
      <c r="B32" s="2" t="inlineStr">
        <is>
          <t xml:space="preserve">  • Never invent consumption readings or claim water savings without evidence.</t>
        </is>
      </c>
    </row>
    <row r="33">
      <c r="B33" s="2" t="inlineStr">
        <is>
          <t xml:space="preserve">  • See docs/calculation-methodology.md and docs/data-validation.md.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5" customWidth="1" min="3" max="3"/>
    <col width="22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21" customWidth="1" min="11" max="11"/>
  </cols>
  <sheetData>
    <row r="1" ht="15" customHeight="1"/>
    <row r="2" ht="32" customHeight="1">
      <c r="B2" s="1" t="inlineStr">
        <is>
          <t>Meter Register</t>
        </is>
      </c>
    </row>
    <row r="3" ht="8" customHeight="1"/>
    <row r="4" ht="28" customHeight="1">
      <c r="B4" s="4" t="inlineStr">
        <is>
          <t>Meter ID</t>
        </is>
      </c>
      <c r="C4" s="4" t="inlineStr">
        <is>
          <t>Area</t>
        </is>
      </c>
      <c r="D4" s="4" t="inlineStr">
        <is>
          <t>Equipment</t>
        </is>
      </c>
      <c r="E4" s="4" t="inlineStr">
        <is>
          <t>Meter Type</t>
        </is>
      </c>
      <c r="F4" s="4" t="inlineStr">
        <is>
          <t>Unit</t>
        </is>
      </c>
      <c r="G4" s="4" t="inlineStr">
        <is>
          <t>Install Date</t>
        </is>
      </c>
      <c r="H4" s="4" t="inlineStr">
        <is>
          <t>Rollover Limit</t>
        </is>
      </c>
      <c r="I4" s="4" t="inlineStr">
        <is>
          <t>Calibration Due</t>
        </is>
      </c>
      <c r="J4" s="4" t="inlineStr">
        <is>
          <t>Status</t>
        </is>
      </c>
      <c r="K4" s="4" t="inlineStr">
        <is>
          <t>Notes</t>
        </is>
      </c>
    </row>
    <row r="5" ht="22" customHeight="1">
      <c r="B5" s="5" t="inlineStr">
        <is>
          <t>MTR-DYE-001</t>
        </is>
      </c>
      <c r="C5" s="5" t="inlineStr">
        <is>
          <t>Dyeing Hall</t>
        </is>
      </c>
      <c r="D5" s="5" t="inlineStr">
        <is>
          <t>Dyeing Line A</t>
        </is>
      </c>
      <c r="E5" s="5" t="inlineStr">
        <is>
          <t>cumulative</t>
        </is>
      </c>
      <c r="F5" s="5" t="inlineStr">
        <is>
          <t>m3</t>
        </is>
      </c>
      <c r="G5" s="6" t="inlineStr">
        <is>
          <t>2022-03-15</t>
        </is>
      </c>
      <c r="H5" s="7" t="n">
        <v>999999</v>
      </c>
      <c r="I5" s="6" t="inlineStr">
        <is>
          <t>2025-03-15</t>
        </is>
      </c>
      <c r="J5" s="5" t="inlineStr">
        <is>
          <t>active</t>
        </is>
      </c>
      <c r="K5" s="5" t="inlineStr">
        <is>
          <t>Main dyeing line</t>
        </is>
      </c>
    </row>
    <row r="6" ht="22" customHeight="1">
      <c r="B6" s="8" t="inlineStr">
        <is>
          <t>MTR-WSH-002</t>
        </is>
      </c>
      <c r="C6" s="8" t="inlineStr">
        <is>
          <t>Washing Hall</t>
        </is>
      </c>
      <c r="D6" s="8" t="inlineStr">
        <is>
          <t>Washing Machine 3</t>
        </is>
      </c>
      <c r="E6" s="8" t="inlineStr">
        <is>
          <t>cumulative</t>
        </is>
      </c>
      <c r="F6" s="8" t="inlineStr">
        <is>
          <t>m3</t>
        </is>
      </c>
      <c r="G6" s="9" t="inlineStr">
        <is>
          <t>2022-04-10</t>
        </is>
      </c>
      <c r="H6" s="10" t="n">
        <v>999999</v>
      </c>
      <c r="I6" s="9" t="inlineStr">
        <is>
          <t>2025-04-10</t>
        </is>
      </c>
      <c r="J6" s="8" t="inlineStr">
        <is>
          <t>active</t>
        </is>
      </c>
      <c r="K6" s="8" t="inlineStr"/>
    </row>
    <row r="7" ht="22" customHeight="1">
      <c r="B7" s="5" t="inlineStr">
        <is>
          <t>MTR-BLR-003</t>
        </is>
      </c>
      <c r="C7" s="5" t="inlineStr">
        <is>
          <t>Boiler House</t>
        </is>
      </c>
      <c r="D7" s="5" t="inlineStr">
        <is>
          <t>Steam Boiler 1</t>
        </is>
      </c>
      <c r="E7" s="5" t="inlineStr">
        <is>
          <t>cumulative</t>
        </is>
      </c>
      <c r="F7" s="5" t="inlineStr">
        <is>
          <t>m3</t>
        </is>
      </c>
      <c r="G7" s="6" t="inlineStr">
        <is>
          <t>2021-11-20</t>
        </is>
      </c>
      <c r="H7" s="7" t="n">
        <v>999999</v>
      </c>
      <c r="I7" s="6" t="inlineStr">
        <is>
          <t>2024-11-20</t>
        </is>
      </c>
      <c r="J7" s="5" t="inlineStr">
        <is>
          <t>active</t>
        </is>
      </c>
      <c r="K7" s="5" t="inlineStr">
        <is>
          <t>Calibration overdue</t>
        </is>
      </c>
    </row>
    <row r="8" ht="22" customHeight="1">
      <c r="B8" s="8" t="inlineStr">
        <is>
          <t>MTR-CTW-004</t>
        </is>
      </c>
      <c r="C8" s="8" t="inlineStr">
        <is>
          <t>Cooling Tower</t>
        </is>
      </c>
      <c r="D8" s="8" t="inlineStr">
        <is>
          <t>Cooling Tower Cell 2</t>
        </is>
      </c>
      <c r="E8" s="8" t="inlineStr">
        <is>
          <t>cumulative</t>
        </is>
      </c>
      <c r="F8" s="8" t="inlineStr">
        <is>
          <t>m3</t>
        </is>
      </c>
      <c r="G8" s="9" t="inlineStr">
        <is>
          <t>2022-06-01</t>
        </is>
      </c>
      <c r="H8" s="10" t="n">
        <v>999999</v>
      </c>
      <c r="I8" s="9" t="inlineStr">
        <is>
          <t>2025-06-01</t>
        </is>
      </c>
      <c r="J8" s="8" t="inlineStr">
        <is>
          <t>active</t>
        </is>
      </c>
      <c r="K8" s="8" t="inlineStr"/>
    </row>
    <row r="9" ht="22" customHeight="1">
      <c r="B9" s="5" t="inlineStr">
        <is>
          <t>MTR-PRC-005</t>
        </is>
      </c>
      <c r="C9" s="5" t="inlineStr">
        <is>
          <t>Process Hall</t>
        </is>
      </c>
      <c r="D9" s="5" t="inlineStr">
        <is>
          <t>Process Water Main</t>
        </is>
      </c>
      <c r="E9" s="5" t="inlineStr">
        <is>
          <t>cumulative</t>
        </is>
      </c>
      <c r="F9" s="5" t="inlineStr">
        <is>
          <t>m3</t>
        </is>
      </c>
      <c r="G9" s="6" t="inlineStr">
        <is>
          <t>2022-01-08</t>
        </is>
      </c>
      <c r="H9" s="7" t="n">
        <v>999999</v>
      </c>
      <c r="I9" s="6" t="inlineStr">
        <is>
          <t>2025-01-08</t>
        </is>
      </c>
      <c r="J9" s="5" t="inlineStr">
        <is>
          <t>active</t>
        </is>
      </c>
      <c r="K9" s="5" t="inlineStr"/>
    </row>
    <row r="10" ht="22" customHeight="1">
      <c r="B10" s="8" t="inlineStr">
        <is>
          <t>MTR-DOM-006</t>
        </is>
      </c>
      <c r="C10" s="8" t="inlineStr">
        <is>
          <t>Utilities</t>
        </is>
      </c>
      <c r="D10" s="8" t="inlineStr">
        <is>
          <t>Domestic Supply</t>
        </is>
      </c>
      <c r="E10" s="8" t="inlineStr">
        <is>
          <t>cumulative</t>
        </is>
      </c>
      <c r="F10" s="8" t="inlineStr">
        <is>
          <t>m3</t>
        </is>
      </c>
      <c r="G10" s="9" t="inlineStr">
        <is>
          <t>2022-02-14</t>
        </is>
      </c>
      <c r="H10" s="10" t="n">
        <v>999999</v>
      </c>
      <c r="I10" s="9" t="inlineStr">
        <is>
          <t>2025-02-14</t>
        </is>
      </c>
      <c r="J10" s="8" t="inlineStr">
        <is>
          <t>active</t>
        </is>
      </c>
      <c r="K10" s="8" t="inlineStr"/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22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3" customWidth="1" min="3" max="3"/>
    <col width="15" customWidth="1" min="4" max="4"/>
    <col width="22" customWidth="1" min="5" max="5"/>
    <col width="18" customWidth="1" min="6" max="6"/>
    <col width="11" customWidth="1" min="7" max="7"/>
    <col width="8" customWidth="1" min="8" max="8"/>
    <col width="12" customWidth="1" min="9" max="9"/>
    <col width="8" customWidth="1" min="10" max="10"/>
    <col width="22" customWidth="1" min="11" max="11"/>
    <col width="14" customWidth="1" min="12" max="12"/>
  </cols>
  <sheetData>
    <row r="1" ht="15" customHeight="1"/>
    <row r="2" ht="32" customHeight="1">
      <c r="B2" s="1" t="inlineStr">
        <is>
          <t>Raw Meter Readings (Input Sheet)</t>
        </is>
      </c>
    </row>
    <row r="3" ht="8" customHeight="1"/>
    <row r="4" ht="28" customHeight="1">
      <c r="B4" s="4" t="inlineStr">
        <is>
          <t>Reading ID</t>
        </is>
      </c>
      <c r="C4" s="4" t="inlineStr">
        <is>
          <t>Meter ID</t>
        </is>
      </c>
      <c r="D4" s="4" t="inlineStr">
        <is>
          <t>Area</t>
        </is>
      </c>
      <c r="E4" s="4" t="inlineStr">
        <is>
          <t>Equipment</t>
        </is>
      </c>
      <c r="F4" s="4" t="inlineStr">
        <is>
          <t>Reading Datetime</t>
        </is>
      </c>
      <c r="G4" s="4" t="inlineStr">
        <is>
          <t>Cumulative Reading</t>
        </is>
      </c>
      <c r="H4" s="4" t="inlineStr">
        <is>
          <t>Unit</t>
        </is>
      </c>
      <c r="I4" s="4" t="inlineStr">
        <is>
          <t>Meter Type</t>
        </is>
      </c>
      <c r="J4" s="4" t="inlineStr">
        <is>
          <t>Recorded By</t>
        </is>
      </c>
      <c r="K4" s="4" t="inlineStr">
        <is>
          <t>Notes</t>
        </is>
      </c>
      <c r="L4" s="4" t="inlineStr">
        <is>
          <t>Delta (m3)</t>
        </is>
      </c>
    </row>
    <row r="5" ht="22" customHeight="1">
      <c r="B5" s="5" t="inlineStr">
        <is>
          <t>R00001</t>
        </is>
      </c>
      <c r="C5" s="5" t="inlineStr">
        <is>
          <t>MTR-BLR-003</t>
        </is>
      </c>
      <c r="D5" s="5" t="inlineStr">
        <is>
          <t>Boiler House</t>
        </is>
      </c>
      <c r="E5" s="5" t="inlineStr">
        <is>
          <t>Steam Boiler 1</t>
        </is>
      </c>
      <c r="F5" s="5" t="inlineStr">
        <is>
          <t>2024-01-01 08:00</t>
        </is>
      </c>
      <c r="G5" s="11" t="n">
        <v>55657.33</v>
      </c>
      <c r="H5" s="5" t="inlineStr">
        <is>
          <t>m3</t>
        </is>
      </c>
      <c r="I5" s="5" t="inlineStr">
        <is>
          <t>cumulative</t>
        </is>
      </c>
      <c r="J5" s="5" t="inlineStr">
        <is>
          <t>KL</t>
        </is>
      </c>
      <c r="K5" s="5" t="inlineStr"/>
      <c r="L5" s="7" t="inlineStr"/>
    </row>
    <row r="6" ht="22" customHeight="1">
      <c r="B6" s="8" t="inlineStr">
        <is>
          <t>R00002</t>
        </is>
      </c>
      <c r="C6" s="8" t="inlineStr">
        <is>
          <t>MTR-BLR-003</t>
        </is>
      </c>
      <c r="D6" s="8" t="inlineStr">
        <is>
          <t>Boiler House</t>
        </is>
      </c>
      <c r="E6" s="8" t="inlineStr">
        <is>
          <t>Steam Boiler 1</t>
        </is>
      </c>
      <c r="F6" s="8" t="inlineStr">
        <is>
          <t>2024-01-02 08:00</t>
        </is>
      </c>
      <c r="G6" s="12" t="n">
        <v>55673.55</v>
      </c>
      <c r="H6" s="8" t="inlineStr">
        <is>
          <t>m3</t>
        </is>
      </c>
      <c r="I6" s="8" t="inlineStr">
        <is>
          <t>cumulative</t>
        </is>
      </c>
      <c r="J6" s="8" t="inlineStr">
        <is>
          <t>CD</t>
        </is>
      </c>
      <c r="K6" s="8" t="inlineStr"/>
      <c r="L6" s="10">
        <f>IFERROR(IF(F6&lt;F5,"NEGATIVE",ROUND(F6-F5,2)),"")</f>
        <v/>
      </c>
    </row>
    <row r="7" ht="22" customHeight="1">
      <c r="B7" s="5" t="inlineStr">
        <is>
          <t>R00003</t>
        </is>
      </c>
      <c r="C7" s="5" t="inlineStr">
        <is>
          <t>MTR-BLR-003</t>
        </is>
      </c>
      <c r="D7" s="5" t="inlineStr">
        <is>
          <t>Boiler House</t>
        </is>
      </c>
      <c r="E7" s="5" t="inlineStr">
        <is>
          <t>Steam Boiler 1</t>
        </is>
      </c>
      <c r="F7" s="5" t="inlineStr">
        <is>
          <t>2024-01-03 08:00</t>
        </is>
      </c>
      <c r="G7" s="11" t="n">
        <v>55693.57</v>
      </c>
      <c r="H7" s="5" t="inlineStr">
        <is>
          <t>m3</t>
        </is>
      </c>
      <c r="I7" s="5" t="inlineStr">
        <is>
          <t>cumulative</t>
        </is>
      </c>
      <c r="J7" s="5" t="inlineStr">
        <is>
          <t>EF</t>
        </is>
      </c>
      <c r="K7" s="5" t="inlineStr"/>
      <c r="L7" s="7">
        <f>IFERROR(IF(F7&lt;F6,"NEGATIVE",ROUND(F7-F6,2)),"")</f>
        <v/>
      </c>
    </row>
    <row r="8" ht="22" customHeight="1">
      <c r="B8" s="8" t="inlineStr">
        <is>
          <t>R00004</t>
        </is>
      </c>
      <c r="C8" s="8" t="inlineStr">
        <is>
          <t>MTR-BLR-003</t>
        </is>
      </c>
      <c r="D8" s="8" t="inlineStr">
        <is>
          <t>Boiler House</t>
        </is>
      </c>
      <c r="E8" s="8" t="inlineStr">
        <is>
          <t>Steam Boiler 1</t>
        </is>
      </c>
      <c r="F8" s="8" t="inlineStr">
        <is>
          <t>2024-01-04 08:00</t>
        </is>
      </c>
      <c r="G8" s="12" t="n">
        <v>55713.77</v>
      </c>
      <c r="H8" s="8" t="inlineStr">
        <is>
          <t>m3</t>
        </is>
      </c>
      <c r="I8" s="8" t="inlineStr">
        <is>
          <t>cumulative</t>
        </is>
      </c>
      <c r="J8" s="8" t="inlineStr">
        <is>
          <t>IJ</t>
        </is>
      </c>
      <c r="K8" s="8" t="inlineStr"/>
      <c r="L8" s="10">
        <f>IFERROR(IF(F8&lt;F7,"NEGATIVE",ROUND(F8-F7,2)),"")</f>
        <v/>
      </c>
    </row>
    <row r="9" ht="22" customHeight="1">
      <c r="B9" s="5" t="inlineStr">
        <is>
          <t>R00005</t>
        </is>
      </c>
      <c r="C9" s="5" t="inlineStr">
        <is>
          <t>MTR-BLR-003</t>
        </is>
      </c>
      <c r="D9" s="5" t="inlineStr">
        <is>
          <t>Boiler House</t>
        </is>
      </c>
      <c r="E9" s="5" t="inlineStr">
        <is>
          <t>Steam Boiler 1</t>
        </is>
      </c>
      <c r="F9" s="5" t="inlineStr">
        <is>
          <t>2024-01-05 08:00</t>
        </is>
      </c>
      <c r="G9" s="11" t="n">
        <v>55730.23</v>
      </c>
      <c r="H9" s="5" t="inlineStr">
        <is>
          <t>m3</t>
        </is>
      </c>
      <c r="I9" s="5" t="inlineStr">
        <is>
          <t>cumulative</t>
        </is>
      </c>
      <c r="J9" s="5" t="inlineStr">
        <is>
          <t>KL</t>
        </is>
      </c>
      <c r="K9" s="5" t="inlineStr"/>
      <c r="L9" s="7">
        <f>IFERROR(IF(F9&lt;F8,"NEGATIVE",ROUND(F9-F8,2)),"")</f>
        <v/>
      </c>
    </row>
    <row r="10" ht="22" customHeight="1">
      <c r="B10" s="8" t="inlineStr">
        <is>
          <t>R00006</t>
        </is>
      </c>
      <c r="C10" s="8" t="inlineStr">
        <is>
          <t>MTR-BLR-003</t>
        </is>
      </c>
      <c r="D10" s="8" t="inlineStr">
        <is>
          <t>Boiler House</t>
        </is>
      </c>
      <c r="E10" s="8" t="inlineStr">
        <is>
          <t>Steam Boiler 1</t>
        </is>
      </c>
      <c r="F10" s="8" t="inlineStr">
        <is>
          <t>2024-01-06 08:00</t>
        </is>
      </c>
      <c r="G10" s="12" t="n">
        <v>55744.93</v>
      </c>
      <c r="H10" s="8" t="inlineStr">
        <is>
          <t>m3</t>
        </is>
      </c>
      <c r="I10" s="8" t="inlineStr">
        <is>
          <t>cumulative</t>
        </is>
      </c>
      <c r="J10" s="8" t="inlineStr">
        <is>
          <t>CD</t>
        </is>
      </c>
      <c r="K10" s="8" t="inlineStr"/>
      <c r="L10" s="10">
        <f>IFERROR(IF(F10&lt;F9,"NEGATIVE",ROUND(F10-F9,2)),"")</f>
        <v/>
      </c>
    </row>
    <row r="11" ht="22" customHeight="1">
      <c r="B11" s="5" t="inlineStr">
        <is>
          <t>R00007</t>
        </is>
      </c>
      <c r="C11" s="5" t="inlineStr">
        <is>
          <t>MTR-BLR-003</t>
        </is>
      </c>
      <c r="D11" s="5" t="inlineStr">
        <is>
          <t>Boiler House</t>
        </is>
      </c>
      <c r="E11" s="5" t="inlineStr">
        <is>
          <t>Steam Boiler 1</t>
        </is>
      </c>
      <c r="F11" s="5" t="inlineStr">
        <is>
          <t>2024-01-07 08:00</t>
        </is>
      </c>
      <c r="G11" s="11" t="n">
        <v>55754.47</v>
      </c>
      <c r="H11" s="5" t="inlineStr">
        <is>
          <t>m3</t>
        </is>
      </c>
      <c r="I11" s="5" t="inlineStr">
        <is>
          <t>cumulative</t>
        </is>
      </c>
      <c r="J11" s="5" t="inlineStr">
        <is>
          <t>KL</t>
        </is>
      </c>
      <c r="K11" s="5" t="inlineStr"/>
      <c r="L11" s="7">
        <f>IFERROR(IF(F11&lt;F10,"NEGATIVE",ROUND(F11-F10,2)),"")</f>
        <v/>
      </c>
    </row>
    <row r="12" ht="22" customHeight="1">
      <c r="B12" s="8" t="inlineStr">
        <is>
          <t>R00008</t>
        </is>
      </c>
      <c r="C12" s="8" t="inlineStr">
        <is>
          <t>MTR-BLR-003</t>
        </is>
      </c>
      <c r="D12" s="8" t="inlineStr">
        <is>
          <t>Boiler House</t>
        </is>
      </c>
      <c r="E12" s="8" t="inlineStr">
        <is>
          <t>Steam Boiler 1</t>
        </is>
      </c>
      <c r="F12" s="8" t="inlineStr">
        <is>
          <t>2024-01-08 08:00</t>
        </is>
      </c>
      <c r="G12" s="12" t="n">
        <v>55775.71</v>
      </c>
      <c r="H12" s="8" t="inlineStr">
        <is>
          <t>m3</t>
        </is>
      </c>
      <c r="I12" s="8" t="inlineStr">
        <is>
          <t>cumulative</t>
        </is>
      </c>
      <c r="J12" s="8" t="inlineStr">
        <is>
          <t>IJ</t>
        </is>
      </c>
      <c r="K12" s="8" t="inlineStr"/>
      <c r="L12" s="10">
        <f>IFERROR(IF(F12&lt;F11,"NEGATIVE",ROUND(F12-F11,2)),"")</f>
        <v/>
      </c>
    </row>
    <row r="13" ht="22" customHeight="1">
      <c r="B13" s="5" t="inlineStr">
        <is>
          <t>R00009</t>
        </is>
      </c>
      <c r="C13" s="5" t="inlineStr">
        <is>
          <t>MTR-BLR-003</t>
        </is>
      </c>
      <c r="D13" s="5" t="inlineStr">
        <is>
          <t>Boiler House</t>
        </is>
      </c>
      <c r="E13" s="5" t="inlineStr">
        <is>
          <t>Steam Boiler 1</t>
        </is>
      </c>
      <c r="F13" s="5" t="inlineStr">
        <is>
          <t>2024-01-09 08:00</t>
        </is>
      </c>
      <c r="G13" s="11" t="n">
        <v>55794.96</v>
      </c>
      <c r="H13" s="5" t="inlineStr">
        <is>
          <t>m3</t>
        </is>
      </c>
      <c r="I13" s="5" t="inlineStr">
        <is>
          <t>cumulative</t>
        </is>
      </c>
      <c r="J13" s="5" t="inlineStr">
        <is>
          <t>EF</t>
        </is>
      </c>
      <c r="K13" s="5" t="inlineStr"/>
      <c r="L13" s="7">
        <f>IFERROR(IF(F13&lt;F12,"NEGATIVE",ROUND(F13-F12,2)),"")</f>
        <v/>
      </c>
    </row>
    <row r="14" ht="22" customHeight="1">
      <c r="B14" s="8" t="inlineStr">
        <is>
          <t>R00010</t>
        </is>
      </c>
      <c r="C14" s="8" t="inlineStr">
        <is>
          <t>MTR-BLR-003</t>
        </is>
      </c>
      <c r="D14" s="8" t="inlineStr">
        <is>
          <t>Boiler House</t>
        </is>
      </c>
      <c r="E14" s="8" t="inlineStr">
        <is>
          <t>Steam Boiler 1</t>
        </is>
      </c>
      <c r="F14" s="8" t="inlineStr">
        <is>
          <t>2024-01-10 08:00</t>
        </is>
      </c>
      <c r="G14" s="12" t="n">
        <v>55811.89</v>
      </c>
      <c r="H14" s="8" t="inlineStr">
        <is>
          <t>m3</t>
        </is>
      </c>
      <c r="I14" s="8" t="inlineStr">
        <is>
          <t>cumulative</t>
        </is>
      </c>
      <c r="J14" s="8" t="inlineStr">
        <is>
          <t>CD</t>
        </is>
      </c>
      <c r="K14" s="8" t="inlineStr"/>
      <c r="L14" s="10">
        <f>IFERROR(IF(F14&lt;F13,"NEGATIVE",ROUND(F14-F13,2)),"")</f>
        <v/>
      </c>
    </row>
    <row r="15" ht="22" customHeight="1">
      <c r="B15" s="5" t="inlineStr">
        <is>
          <t>R00011</t>
        </is>
      </c>
      <c r="C15" s="5" t="inlineStr">
        <is>
          <t>MTR-BLR-003</t>
        </is>
      </c>
      <c r="D15" s="5" t="inlineStr">
        <is>
          <t>Boiler House</t>
        </is>
      </c>
      <c r="E15" s="5" t="inlineStr">
        <is>
          <t>Steam Boiler 1</t>
        </is>
      </c>
      <c r="F15" s="5" t="inlineStr">
        <is>
          <t>2024-01-11 08:00</t>
        </is>
      </c>
      <c r="G15" s="11" t="n">
        <v>55831.81</v>
      </c>
      <c r="H15" s="5" t="inlineStr">
        <is>
          <t>m3</t>
        </is>
      </c>
      <c r="I15" s="5" t="inlineStr">
        <is>
          <t>cumulative</t>
        </is>
      </c>
      <c r="J15" s="5" t="inlineStr">
        <is>
          <t>AB</t>
        </is>
      </c>
      <c r="K15" s="5" t="inlineStr"/>
      <c r="L15" s="7">
        <f>IFERROR(IF(F15&lt;F14,"NEGATIVE",ROUND(F15-F14,2)),"")</f>
        <v/>
      </c>
    </row>
    <row r="16" ht="22" customHeight="1">
      <c r="B16" s="8" t="inlineStr">
        <is>
          <t>R00012</t>
        </is>
      </c>
      <c r="C16" s="8" t="inlineStr">
        <is>
          <t>MTR-BLR-003</t>
        </is>
      </c>
      <c r="D16" s="8" t="inlineStr">
        <is>
          <t>Boiler House</t>
        </is>
      </c>
      <c r="E16" s="8" t="inlineStr">
        <is>
          <t>Steam Boiler 1</t>
        </is>
      </c>
      <c r="F16" s="8" t="inlineStr">
        <is>
          <t>2024-01-12 08:00</t>
        </is>
      </c>
      <c r="G16" s="12" t="n">
        <v>55852.84</v>
      </c>
      <c r="H16" s="8" t="inlineStr">
        <is>
          <t>m3</t>
        </is>
      </c>
      <c r="I16" s="8" t="inlineStr">
        <is>
          <t>cumulative</t>
        </is>
      </c>
      <c r="J16" s="8" t="inlineStr">
        <is>
          <t>EF</t>
        </is>
      </c>
      <c r="K16" s="8" t="inlineStr"/>
      <c r="L16" s="10">
        <f>IFERROR(IF(F16&lt;F15,"NEGATIVE",ROUND(F16-F15,2)),"")</f>
        <v/>
      </c>
    </row>
    <row r="17" ht="22" customHeight="1">
      <c r="B17" s="5" t="inlineStr">
        <is>
          <t>R00013</t>
        </is>
      </c>
      <c r="C17" s="5" t="inlineStr">
        <is>
          <t>MTR-BLR-003</t>
        </is>
      </c>
      <c r="D17" s="5" t="inlineStr">
        <is>
          <t>Boiler House</t>
        </is>
      </c>
      <c r="E17" s="5" t="inlineStr">
        <is>
          <t>Steam Boiler 1</t>
        </is>
      </c>
      <c r="F17" s="5" t="inlineStr">
        <is>
          <t>2024-01-13 08:00</t>
        </is>
      </c>
      <c r="G17" s="11" t="n">
        <v>55867.56</v>
      </c>
      <c r="H17" s="5" t="inlineStr">
        <is>
          <t>m3</t>
        </is>
      </c>
      <c r="I17" s="5" t="inlineStr">
        <is>
          <t>cumulative</t>
        </is>
      </c>
      <c r="J17" s="5" t="inlineStr">
        <is>
          <t>CD</t>
        </is>
      </c>
      <c r="K17" s="5" t="inlineStr"/>
      <c r="L17" s="7">
        <f>IFERROR(IF(F17&lt;F16,"NEGATIVE",ROUND(F17-F16,2)),"")</f>
        <v/>
      </c>
    </row>
    <row r="18" ht="22" customHeight="1">
      <c r="B18" s="8" t="inlineStr">
        <is>
          <t>R00014</t>
        </is>
      </c>
      <c r="C18" s="8" t="inlineStr">
        <is>
          <t>MTR-BLR-003</t>
        </is>
      </c>
      <c r="D18" s="8" t="inlineStr">
        <is>
          <t>Boiler House</t>
        </is>
      </c>
      <c r="E18" s="8" t="inlineStr">
        <is>
          <t>Steam Boiler 1</t>
        </is>
      </c>
      <c r="F18" s="8" t="inlineStr">
        <is>
          <t>2024-01-14 08:00</t>
        </is>
      </c>
      <c r="G18" s="12" t="n">
        <v>55876.69</v>
      </c>
      <c r="H18" s="8" t="inlineStr">
        <is>
          <t>m3</t>
        </is>
      </c>
      <c r="I18" s="8" t="inlineStr">
        <is>
          <t>cumulative</t>
        </is>
      </c>
      <c r="J18" s="8" t="inlineStr">
        <is>
          <t>CD</t>
        </is>
      </c>
      <c r="K18" s="8" t="inlineStr"/>
      <c r="L18" s="10">
        <f>IFERROR(IF(F18&lt;F17,"NEGATIVE",ROUND(F18-F17,2)),"")</f>
        <v/>
      </c>
    </row>
    <row r="19" ht="22" customHeight="1">
      <c r="B19" s="5" t="inlineStr">
        <is>
          <t>R00015</t>
        </is>
      </c>
      <c r="C19" s="5" t="inlineStr">
        <is>
          <t>MTR-BLR-003</t>
        </is>
      </c>
      <c r="D19" s="5" t="inlineStr">
        <is>
          <t>Boiler House</t>
        </is>
      </c>
      <c r="E19" s="5" t="inlineStr">
        <is>
          <t>Steam Boiler 1</t>
        </is>
      </c>
      <c r="F19" s="5" t="inlineStr">
        <is>
          <t>2024-01-15 08:00</t>
        </is>
      </c>
      <c r="G19" s="11" t="n">
        <v>55893.69</v>
      </c>
      <c r="H19" s="5" t="inlineStr">
        <is>
          <t>m3</t>
        </is>
      </c>
      <c r="I19" s="5" t="inlineStr">
        <is>
          <t>cumulative</t>
        </is>
      </c>
      <c r="J19" s="5" t="inlineStr">
        <is>
          <t>IJ</t>
        </is>
      </c>
      <c r="K19" s="5" t="inlineStr"/>
      <c r="L19" s="7">
        <f>IFERROR(IF(F19&lt;F18,"NEGATIVE",ROUND(F19-F18,2)),"")</f>
        <v/>
      </c>
    </row>
    <row r="20" ht="22" customHeight="1">
      <c r="B20" s="8" t="inlineStr">
        <is>
          <t>R00016</t>
        </is>
      </c>
      <c r="C20" s="8" t="inlineStr">
        <is>
          <t>MTR-BLR-003</t>
        </is>
      </c>
      <c r="D20" s="8" t="inlineStr">
        <is>
          <t>Boiler House</t>
        </is>
      </c>
      <c r="E20" s="8" t="inlineStr">
        <is>
          <t>Steam Boiler 1</t>
        </is>
      </c>
      <c r="F20" s="8" t="inlineStr">
        <is>
          <t>2024-01-16 08:00</t>
        </is>
      </c>
      <c r="G20" s="12" t="n">
        <v>55913.44</v>
      </c>
      <c r="H20" s="8" t="inlineStr">
        <is>
          <t>m3</t>
        </is>
      </c>
      <c r="I20" s="8" t="inlineStr">
        <is>
          <t>cumulative</t>
        </is>
      </c>
      <c r="J20" s="8" t="inlineStr">
        <is>
          <t>GH</t>
        </is>
      </c>
      <c r="K20" s="8" t="inlineStr"/>
      <c r="L20" s="10">
        <f>IFERROR(IF(F20&lt;F19,"NEGATIVE",ROUND(F20-F19,2)),"")</f>
        <v/>
      </c>
    </row>
    <row r="21" ht="22" customHeight="1">
      <c r="B21" s="5" t="inlineStr">
        <is>
          <t>R00017</t>
        </is>
      </c>
      <c r="C21" s="5" t="inlineStr">
        <is>
          <t>MTR-BLR-003</t>
        </is>
      </c>
      <c r="D21" s="5" t="inlineStr">
        <is>
          <t>Boiler House</t>
        </is>
      </c>
      <c r="E21" s="5" t="inlineStr">
        <is>
          <t>Steam Boiler 1</t>
        </is>
      </c>
      <c r="F21" s="5" t="inlineStr">
        <is>
          <t>2024-01-17 08:00</t>
        </is>
      </c>
      <c r="G21" s="11" t="n">
        <v>55929.91</v>
      </c>
      <c r="H21" s="5" t="inlineStr">
        <is>
          <t>m3</t>
        </is>
      </c>
      <c r="I21" s="5" t="inlineStr">
        <is>
          <t>cumulative</t>
        </is>
      </c>
      <c r="J21" s="5" t="inlineStr">
        <is>
          <t>KL</t>
        </is>
      </c>
      <c r="K21" s="5" t="inlineStr"/>
      <c r="L21" s="7">
        <f>IFERROR(IF(F21&lt;F20,"NEGATIVE",ROUND(F21-F20,2)),"")</f>
        <v/>
      </c>
    </row>
    <row r="22" ht="22" customHeight="1">
      <c r="B22" s="8" t="inlineStr">
        <is>
          <t>R00018</t>
        </is>
      </c>
      <c r="C22" s="8" t="inlineStr">
        <is>
          <t>MTR-BLR-003</t>
        </is>
      </c>
      <c r="D22" s="8" t="inlineStr">
        <is>
          <t>Boiler House</t>
        </is>
      </c>
      <c r="E22" s="8" t="inlineStr">
        <is>
          <t>Steam Boiler 1</t>
        </is>
      </c>
      <c r="F22" s="8" t="inlineStr">
        <is>
          <t>2024-01-18 08:00</t>
        </is>
      </c>
      <c r="G22" s="12" t="n">
        <v>55950.08</v>
      </c>
      <c r="H22" s="8" t="inlineStr">
        <is>
          <t>m3</t>
        </is>
      </c>
      <c r="I22" s="8" t="inlineStr">
        <is>
          <t>cumulative</t>
        </is>
      </c>
      <c r="J22" s="8" t="inlineStr">
        <is>
          <t>IJ</t>
        </is>
      </c>
      <c r="K22" s="8" t="inlineStr"/>
      <c r="L22" s="10">
        <f>IFERROR(IF(F22&lt;F21,"NEGATIVE",ROUND(F22-F21,2)),"")</f>
        <v/>
      </c>
    </row>
    <row r="23" ht="22" customHeight="1">
      <c r="B23" s="5" t="inlineStr">
        <is>
          <t>R00019</t>
        </is>
      </c>
      <c r="C23" s="5" t="inlineStr">
        <is>
          <t>MTR-BLR-003</t>
        </is>
      </c>
      <c r="D23" s="5" t="inlineStr">
        <is>
          <t>Boiler House</t>
        </is>
      </c>
      <c r="E23" s="5" t="inlineStr">
        <is>
          <t>Steam Boiler 1</t>
        </is>
      </c>
      <c r="F23" s="5" t="inlineStr">
        <is>
          <t>2024-01-19 08:00</t>
        </is>
      </c>
      <c r="G23" s="11" t="n">
        <v>55971.04</v>
      </c>
      <c r="H23" s="5" t="inlineStr">
        <is>
          <t>m3</t>
        </is>
      </c>
      <c r="I23" s="5" t="inlineStr">
        <is>
          <t>cumulative</t>
        </is>
      </c>
      <c r="J23" s="5" t="inlineStr">
        <is>
          <t>AB</t>
        </is>
      </c>
      <c r="K23" s="5" t="inlineStr"/>
      <c r="L23" s="7">
        <f>IFERROR(IF(F23&lt;F22,"NEGATIVE",ROUND(F23-F22,2)),"")</f>
        <v/>
      </c>
    </row>
    <row r="24" ht="22" customHeight="1">
      <c r="B24" s="8" t="inlineStr">
        <is>
          <t>R00020</t>
        </is>
      </c>
      <c r="C24" s="8" t="inlineStr">
        <is>
          <t>MTR-BLR-003</t>
        </is>
      </c>
      <c r="D24" s="8" t="inlineStr">
        <is>
          <t>Boiler House</t>
        </is>
      </c>
      <c r="E24" s="8" t="inlineStr">
        <is>
          <t>Steam Boiler 1</t>
        </is>
      </c>
      <c r="F24" s="8" t="inlineStr">
        <is>
          <t>2024-01-20 08:00</t>
        </is>
      </c>
      <c r="G24" s="12" t="n">
        <v>55985.98</v>
      </c>
      <c r="H24" s="8" t="inlineStr">
        <is>
          <t>m3</t>
        </is>
      </c>
      <c r="I24" s="8" t="inlineStr">
        <is>
          <t>cumulative</t>
        </is>
      </c>
      <c r="J24" s="8" t="inlineStr">
        <is>
          <t>EF</t>
        </is>
      </c>
      <c r="K24" s="8" t="inlineStr"/>
      <c r="L24" s="10">
        <f>IFERROR(IF(F24&lt;F23,"NEGATIVE",ROUND(F24-F23,2)),"")</f>
        <v/>
      </c>
    </row>
    <row r="25" ht="22" customHeight="1">
      <c r="B25" s="5" t="inlineStr">
        <is>
          <t>R00021</t>
        </is>
      </c>
      <c r="C25" s="5" t="inlineStr">
        <is>
          <t>MTR-BLR-003</t>
        </is>
      </c>
      <c r="D25" s="5" t="inlineStr">
        <is>
          <t>Boiler House</t>
        </is>
      </c>
      <c r="E25" s="5" t="inlineStr">
        <is>
          <t>Steam Boiler 1</t>
        </is>
      </c>
      <c r="F25" s="5" t="inlineStr">
        <is>
          <t>2024-01-21 08:00</t>
        </is>
      </c>
      <c r="G25" s="11" t="n">
        <v>55994.89</v>
      </c>
      <c r="H25" s="5" t="inlineStr">
        <is>
          <t>m3</t>
        </is>
      </c>
      <c r="I25" s="5" t="inlineStr">
        <is>
          <t>cumulative</t>
        </is>
      </c>
      <c r="J25" s="5" t="inlineStr">
        <is>
          <t>GH</t>
        </is>
      </c>
      <c r="K25" s="5" t="inlineStr"/>
      <c r="L25" s="7">
        <f>IFERROR(IF(F25&lt;F24,"NEGATIVE",ROUND(F25-F24,2)),"")</f>
        <v/>
      </c>
    </row>
    <row r="26" ht="22" customHeight="1">
      <c r="B26" s="8" t="inlineStr">
        <is>
          <t>R00022</t>
        </is>
      </c>
      <c r="C26" s="8" t="inlineStr">
        <is>
          <t>MTR-BLR-003</t>
        </is>
      </c>
      <c r="D26" s="8" t="inlineStr">
        <is>
          <t>Boiler House</t>
        </is>
      </c>
      <c r="E26" s="8" t="inlineStr">
        <is>
          <t>Steam Boiler 1</t>
        </is>
      </c>
      <c r="F26" s="8" t="inlineStr">
        <is>
          <t>2024-01-22 08:00</t>
        </is>
      </c>
      <c r="G26" s="12" t="n">
        <v>56016.38</v>
      </c>
      <c r="H26" s="8" t="inlineStr">
        <is>
          <t>m3</t>
        </is>
      </c>
      <c r="I26" s="8" t="inlineStr">
        <is>
          <t>cumulative</t>
        </is>
      </c>
      <c r="J26" s="8" t="inlineStr">
        <is>
          <t>IJ</t>
        </is>
      </c>
      <c r="K26" s="8" t="inlineStr"/>
      <c r="L26" s="10">
        <f>IFERROR(IF(F26&lt;F25,"NEGATIVE",ROUND(F26-F25,2)),"")</f>
        <v/>
      </c>
    </row>
    <row r="27" ht="22" customHeight="1">
      <c r="B27" s="5" t="inlineStr">
        <is>
          <t>R00023</t>
        </is>
      </c>
      <c r="C27" s="5" t="inlineStr">
        <is>
          <t>MTR-BLR-003</t>
        </is>
      </c>
      <c r="D27" s="5" t="inlineStr">
        <is>
          <t>Boiler House</t>
        </is>
      </c>
      <c r="E27" s="5" t="inlineStr">
        <is>
          <t>Steam Boiler 1</t>
        </is>
      </c>
      <c r="F27" s="5" t="inlineStr">
        <is>
          <t>2024-01-23 08:00</t>
        </is>
      </c>
      <c r="G27" s="11" t="n">
        <v>56032.77</v>
      </c>
      <c r="H27" s="5" t="inlineStr">
        <is>
          <t>m3</t>
        </is>
      </c>
      <c r="I27" s="5" t="inlineStr">
        <is>
          <t>cumulative</t>
        </is>
      </c>
      <c r="J27" s="5" t="inlineStr">
        <is>
          <t>IJ</t>
        </is>
      </c>
      <c r="K27" s="5" t="inlineStr"/>
      <c r="L27" s="7">
        <f>IFERROR(IF(F27&lt;F26,"NEGATIVE",ROUND(F27-F26,2)),"")</f>
        <v/>
      </c>
    </row>
    <row r="28" ht="22" customHeight="1">
      <c r="B28" s="8" t="inlineStr">
        <is>
          <t>R00024</t>
        </is>
      </c>
      <c r="C28" s="8" t="inlineStr">
        <is>
          <t>MTR-BLR-003</t>
        </is>
      </c>
      <c r="D28" s="8" t="inlineStr">
        <is>
          <t>Boiler House</t>
        </is>
      </c>
      <c r="E28" s="8" t="inlineStr">
        <is>
          <t>Steam Boiler 1</t>
        </is>
      </c>
      <c r="F28" s="8" t="inlineStr">
        <is>
          <t>2024-01-24 08:00</t>
        </is>
      </c>
      <c r="G28" s="12" t="n">
        <v>56051.12</v>
      </c>
      <c r="H28" s="8" t="inlineStr">
        <is>
          <t>m3</t>
        </is>
      </c>
      <c r="I28" s="8" t="inlineStr">
        <is>
          <t>cumulative</t>
        </is>
      </c>
      <c r="J28" s="8" t="inlineStr">
        <is>
          <t>IJ</t>
        </is>
      </c>
      <c r="K28" s="8" t="inlineStr"/>
      <c r="L28" s="10">
        <f>IFERROR(IF(F28&lt;F27,"NEGATIVE",ROUND(F28-F27,2)),"")</f>
        <v/>
      </c>
    </row>
    <row r="29" ht="22" customHeight="1">
      <c r="B29" s="5" t="inlineStr">
        <is>
          <t>R00025</t>
        </is>
      </c>
      <c r="C29" s="5" t="inlineStr">
        <is>
          <t>MTR-BLR-003</t>
        </is>
      </c>
      <c r="D29" s="5" t="inlineStr">
        <is>
          <t>Boiler House</t>
        </is>
      </c>
      <c r="E29" s="5" t="inlineStr">
        <is>
          <t>Steam Boiler 1</t>
        </is>
      </c>
      <c r="F29" s="5" t="inlineStr">
        <is>
          <t>2024-01-25 08:00</t>
        </is>
      </c>
      <c r="G29" s="11" t="n">
        <v>56070.98</v>
      </c>
      <c r="H29" s="5" t="inlineStr">
        <is>
          <t>m3</t>
        </is>
      </c>
      <c r="I29" s="5" t="inlineStr">
        <is>
          <t>cumulative</t>
        </is>
      </c>
      <c r="J29" s="5" t="inlineStr">
        <is>
          <t>EF</t>
        </is>
      </c>
      <c r="K29" s="5" t="inlineStr"/>
      <c r="L29" s="7">
        <f>IFERROR(IF(F29&lt;F28,"NEGATIVE",ROUND(F29-F28,2)),"")</f>
        <v/>
      </c>
    </row>
    <row r="30" ht="22" customHeight="1">
      <c r="B30" s="8" t="inlineStr">
        <is>
          <t>R00026</t>
        </is>
      </c>
      <c r="C30" s="8" t="inlineStr">
        <is>
          <t>MTR-BLR-003</t>
        </is>
      </c>
      <c r="D30" s="8" t="inlineStr">
        <is>
          <t>Boiler House</t>
        </is>
      </c>
      <c r="E30" s="8" t="inlineStr">
        <is>
          <t>Steam Boiler 1</t>
        </is>
      </c>
      <c r="F30" s="8" t="inlineStr">
        <is>
          <t>2024-01-26 08:00</t>
        </is>
      </c>
      <c r="G30" s="12" t="n">
        <v>56092.71</v>
      </c>
      <c r="H30" s="8" t="inlineStr">
        <is>
          <t>m3</t>
        </is>
      </c>
      <c r="I30" s="8" t="inlineStr">
        <is>
          <t>cumulative</t>
        </is>
      </c>
      <c r="J30" s="8" t="inlineStr">
        <is>
          <t>AB</t>
        </is>
      </c>
      <c r="K30" s="8" t="inlineStr"/>
      <c r="L30" s="10">
        <f>IFERROR(IF(F30&lt;F29,"NEGATIVE",ROUND(F30-F29,2)),"")</f>
        <v/>
      </c>
    </row>
    <row r="31" ht="22" customHeight="1">
      <c r="B31" s="5" t="inlineStr">
        <is>
          <t>R00027</t>
        </is>
      </c>
      <c r="C31" s="5" t="inlineStr">
        <is>
          <t>MTR-BLR-003</t>
        </is>
      </c>
      <c r="D31" s="5" t="inlineStr">
        <is>
          <t>Boiler House</t>
        </is>
      </c>
      <c r="E31" s="5" t="inlineStr">
        <is>
          <t>Steam Boiler 1</t>
        </is>
      </c>
      <c r="F31" s="5" t="inlineStr">
        <is>
          <t>2024-01-27 08:00</t>
        </is>
      </c>
      <c r="G31" s="11" t="n">
        <v>56109.54</v>
      </c>
      <c r="H31" s="5" t="inlineStr">
        <is>
          <t>m3</t>
        </is>
      </c>
      <c r="I31" s="5" t="inlineStr">
        <is>
          <t>cumulative</t>
        </is>
      </c>
      <c r="J31" s="5" t="inlineStr">
        <is>
          <t>KL</t>
        </is>
      </c>
      <c r="K31" s="5" t="inlineStr"/>
      <c r="L31" s="7">
        <f>IFERROR(IF(F31&lt;F30,"NEGATIVE",ROUND(F31-F30,2)),"")</f>
        <v/>
      </c>
    </row>
    <row r="32" ht="22" customHeight="1">
      <c r="B32" s="8" t="inlineStr">
        <is>
          <t>R00028</t>
        </is>
      </c>
      <c r="C32" s="8" t="inlineStr">
        <is>
          <t>MTR-BLR-003</t>
        </is>
      </c>
      <c r="D32" s="8" t="inlineStr">
        <is>
          <t>Boiler House</t>
        </is>
      </c>
      <c r="E32" s="8" t="inlineStr">
        <is>
          <t>Steam Boiler 1</t>
        </is>
      </c>
      <c r="F32" s="8" t="inlineStr">
        <is>
          <t>2024-01-28 08:00</t>
        </is>
      </c>
      <c r="G32" s="12" t="n">
        <v>56118.74</v>
      </c>
      <c r="H32" s="8" t="inlineStr">
        <is>
          <t>m3</t>
        </is>
      </c>
      <c r="I32" s="8" t="inlineStr">
        <is>
          <t>cumulative</t>
        </is>
      </c>
      <c r="J32" s="8" t="inlineStr">
        <is>
          <t>AB</t>
        </is>
      </c>
      <c r="K32" s="8" t="inlineStr"/>
      <c r="L32" s="10">
        <f>IFERROR(IF(F32&lt;F31,"NEGATIVE",ROUND(F32-F31,2)),"")</f>
        <v/>
      </c>
    </row>
    <row r="33" ht="22" customHeight="1">
      <c r="B33" s="5" t="inlineStr">
        <is>
          <t>R00029</t>
        </is>
      </c>
      <c r="C33" s="5" t="inlineStr">
        <is>
          <t>MTR-BLR-003</t>
        </is>
      </c>
      <c r="D33" s="5" t="inlineStr">
        <is>
          <t>Boiler House</t>
        </is>
      </c>
      <c r="E33" s="5" t="inlineStr">
        <is>
          <t>Steam Boiler 1</t>
        </is>
      </c>
      <c r="F33" s="5" t="inlineStr">
        <is>
          <t>2024-01-29 08:00</t>
        </is>
      </c>
      <c r="G33" s="11" t="n">
        <v>56137.57</v>
      </c>
      <c r="H33" s="5" t="inlineStr">
        <is>
          <t>m3</t>
        </is>
      </c>
      <c r="I33" s="5" t="inlineStr">
        <is>
          <t>cumulative</t>
        </is>
      </c>
      <c r="J33" s="5" t="inlineStr">
        <is>
          <t>AB</t>
        </is>
      </c>
      <c r="K33" s="5" t="inlineStr"/>
      <c r="L33" s="7">
        <f>IFERROR(IF(F33&lt;F32,"NEGATIVE",ROUND(F33-F32,2)),"")</f>
        <v/>
      </c>
    </row>
    <row r="34" ht="22" customHeight="1">
      <c r="B34" s="8" t="inlineStr">
        <is>
          <t>R00030</t>
        </is>
      </c>
      <c r="C34" s="8" t="inlineStr">
        <is>
          <t>MTR-BLR-003</t>
        </is>
      </c>
      <c r="D34" s="8" t="inlineStr">
        <is>
          <t>Boiler House</t>
        </is>
      </c>
      <c r="E34" s="8" t="inlineStr">
        <is>
          <t>Steam Boiler 1</t>
        </is>
      </c>
      <c r="F34" s="8" t="inlineStr">
        <is>
          <t>2024-01-30 08:00</t>
        </is>
      </c>
      <c r="G34" s="12" t="n">
        <v>56156.76</v>
      </c>
      <c r="H34" s="8" t="inlineStr">
        <is>
          <t>m3</t>
        </is>
      </c>
      <c r="I34" s="8" t="inlineStr">
        <is>
          <t>cumulative</t>
        </is>
      </c>
      <c r="J34" s="8" t="inlineStr">
        <is>
          <t>GH</t>
        </is>
      </c>
      <c r="K34" s="8" t="inlineStr"/>
      <c r="L34" s="10">
        <f>IFERROR(IF(F34&lt;F33,"NEGATIVE",ROUND(F34-F33,2)),"")</f>
        <v/>
      </c>
    </row>
    <row r="35" ht="22" customHeight="1">
      <c r="B35" s="5" t="inlineStr">
        <is>
          <t>R00031</t>
        </is>
      </c>
      <c r="C35" s="5" t="inlineStr">
        <is>
          <t>MTR-BLR-003</t>
        </is>
      </c>
      <c r="D35" s="5" t="inlineStr">
        <is>
          <t>Boiler House</t>
        </is>
      </c>
      <c r="E35" s="5" t="inlineStr">
        <is>
          <t>Steam Boiler 1</t>
        </is>
      </c>
      <c r="F35" s="5" t="inlineStr">
        <is>
          <t>2024-01-31 08:00</t>
        </is>
      </c>
      <c r="G35" s="11" t="n">
        <v>56175.26</v>
      </c>
      <c r="H35" s="5" t="inlineStr">
        <is>
          <t>m3</t>
        </is>
      </c>
      <c r="I35" s="5" t="inlineStr">
        <is>
          <t>cumulative</t>
        </is>
      </c>
      <c r="J35" s="5" t="inlineStr">
        <is>
          <t>AB</t>
        </is>
      </c>
      <c r="K35" s="5" t="inlineStr"/>
      <c r="L35" s="7">
        <f>IFERROR(IF(F35&lt;F34,"NEGATIVE",ROUND(F35-F34,2)),"")</f>
        <v/>
      </c>
    </row>
    <row r="36" ht="22" customHeight="1">
      <c r="B36" s="8" t="inlineStr">
        <is>
          <t>R00032</t>
        </is>
      </c>
      <c r="C36" s="8" t="inlineStr">
        <is>
          <t>MTR-BLR-003</t>
        </is>
      </c>
      <c r="D36" s="8" t="inlineStr">
        <is>
          <t>Boiler House</t>
        </is>
      </c>
      <c r="E36" s="8" t="inlineStr">
        <is>
          <t>Steam Boiler 1</t>
        </is>
      </c>
      <c r="F36" s="8" t="inlineStr">
        <is>
          <t>2024-02-01 08:00</t>
        </is>
      </c>
      <c r="G36" s="12" t="n">
        <v>56197.49</v>
      </c>
      <c r="H36" s="8" t="inlineStr">
        <is>
          <t>m3</t>
        </is>
      </c>
      <c r="I36" s="8" t="inlineStr">
        <is>
          <t>cumulative</t>
        </is>
      </c>
      <c r="J36" s="8" t="inlineStr">
        <is>
          <t>KL</t>
        </is>
      </c>
      <c r="K36" s="8" t="inlineStr"/>
      <c r="L36" s="10">
        <f>IFERROR(IF(F36&lt;F35,"NEGATIVE",ROUND(F36-F35,2)),"")</f>
        <v/>
      </c>
    </row>
    <row r="37" ht="22" customHeight="1">
      <c r="B37" s="5" t="inlineStr">
        <is>
          <t>R00033</t>
        </is>
      </c>
      <c r="C37" s="5" t="inlineStr">
        <is>
          <t>MTR-BLR-003</t>
        </is>
      </c>
      <c r="D37" s="5" t="inlineStr">
        <is>
          <t>Boiler House</t>
        </is>
      </c>
      <c r="E37" s="5" t="inlineStr">
        <is>
          <t>Steam Boiler 1</t>
        </is>
      </c>
      <c r="F37" s="5" t="inlineStr">
        <is>
          <t>2024-02-02 08:00</t>
        </is>
      </c>
      <c r="G37" s="11" t="n">
        <v>56218.72</v>
      </c>
      <c r="H37" s="5" t="inlineStr">
        <is>
          <t>m3</t>
        </is>
      </c>
      <c r="I37" s="5" t="inlineStr">
        <is>
          <t>cumulative</t>
        </is>
      </c>
      <c r="J37" s="5" t="inlineStr">
        <is>
          <t>KL</t>
        </is>
      </c>
      <c r="K37" s="5" t="inlineStr"/>
      <c r="L37" s="7">
        <f>IFERROR(IF(F37&lt;F36,"NEGATIVE",ROUND(F37-F36,2)),"")</f>
        <v/>
      </c>
    </row>
    <row r="38" ht="22" customHeight="1">
      <c r="B38" s="8" t="inlineStr">
        <is>
          <t>R00034</t>
        </is>
      </c>
      <c r="C38" s="8" t="inlineStr">
        <is>
          <t>MTR-BLR-003</t>
        </is>
      </c>
      <c r="D38" s="8" t="inlineStr">
        <is>
          <t>Boiler House</t>
        </is>
      </c>
      <c r="E38" s="8" t="inlineStr">
        <is>
          <t>Steam Boiler 1</t>
        </is>
      </c>
      <c r="F38" s="8" t="inlineStr">
        <is>
          <t>2024-02-03 08:00</t>
        </is>
      </c>
      <c r="G38" s="12" t="n">
        <v>56233.77</v>
      </c>
      <c r="H38" s="8" t="inlineStr">
        <is>
          <t>m3</t>
        </is>
      </c>
      <c r="I38" s="8" t="inlineStr">
        <is>
          <t>cumulative</t>
        </is>
      </c>
      <c r="J38" s="8" t="inlineStr">
        <is>
          <t>CD</t>
        </is>
      </c>
      <c r="K38" s="8" t="inlineStr"/>
      <c r="L38" s="10">
        <f>IFERROR(IF(F38&lt;F37,"NEGATIVE",ROUND(F38-F37,2)),"")</f>
        <v/>
      </c>
    </row>
    <row r="39" ht="22" customHeight="1">
      <c r="B39" s="5" t="inlineStr">
        <is>
          <t>R00035</t>
        </is>
      </c>
      <c r="C39" s="5" t="inlineStr">
        <is>
          <t>MTR-BLR-003</t>
        </is>
      </c>
      <c r="D39" s="5" t="inlineStr">
        <is>
          <t>Boiler House</t>
        </is>
      </c>
      <c r="E39" s="5" t="inlineStr">
        <is>
          <t>Steam Boiler 1</t>
        </is>
      </c>
      <c r="F39" s="5" t="inlineStr">
        <is>
          <t>2024-02-04 08:00</t>
        </is>
      </c>
      <c r="G39" s="11" t="n">
        <v>56243.66</v>
      </c>
      <c r="H39" s="5" t="inlineStr">
        <is>
          <t>m3</t>
        </is>
      </c>
      <c r="I39" s="5" t="inlineStr">
        <is>
          <t>cumulative</t>
        </is>
      </c>
      <c r="J39" s="5" t="inlineStr">
        <is>
          <t>IJ</t>
        </is>
      </c>
      <c r="K39" s="5" t="inlineStr"/>
      <c r="L39" s="7">
        <f>IFERROR(IF(F39&lt;F38,"NEGATIVE",ROUND(F39-F38,2)),"")</f>
        <v/>
      </c>
    </row>
    <row r="40" ht="22" customHeight="1">
      <c r="B40" s="8" t="inlineStr">
        <is>
          <t>R00036</t>
        </is>
      </c>
      <c r="C40" s="8" t="inlineStr">
        <is>
          <t>MTR-BLR-003</t>
        </is>
      </c>
      <c r="D40" s="8" t="inlineStr">
        <is>
          <t>Boiler House</t>
        </is>
      </c>
      <c r="E40" s="8" t="inlineStr">
        <is>
          <t>Steam Boiler 1</t>
        </is>
      </c>
      <c r="F40" s="8" t="inlineStr">
        <is>
          <t>2024-02-05 08:00</t>
        </is>
      </c>
      <c r="G40" s="12" t="n">
        <v>56264.8</v>
      </c>
      <c r="H40" s="8" t="inlineStr">
        <is>
          <t>m3</t>
        </is>
      </c>
      <c r="I40" s="8" t="inlineStr">
        <is>
          <t>cumulative</t>
        </is>
      </c>
      <c r="J40" s="8" t="inlineStr">
        <is>
          <t>GH</t>
        </is>
      </c>
      <c r="K40" s="8" t="inlineStr"/>
      <c r="L40" s="10">
        <f>IFERROR(IF(F40&lt;F39,"NEGATIVE",ROUND(F40-F39,2)),"")</f>
        <v/>
      </c>
    </row>
    <row r="41" ht="22" customHeight="1">
      <c r="B41" s="5" t="inlineStr">
        <is>
          <t>R00037</t>
        </is>
      </c>
      <c r="C41" s="5" t="inlineStr">
        <is>
          <t>MTR-BLR-003</t>
        </is>
      </c>
      <c r="D41" s="5" t="inlineStr">
        <is>
          <t>Boiler House</t>
        </is>
      </c>
      <c r="E41" s="5" t="inlineStr">
        <is>
          <t>Steam Boiler 1</t>
        </is>
      </c>
      <c r="F41" s="5" t="inlineStr">
        <is>
          <t>2024-02-06 08:00</t>
        </is>
      </c>
      <c r="G41" s="11" t="n">
        <v>56285.36</v>
      </c>
      <c r="H41" s="5" t="inlineStr">
        <is>
          <t>m3</t>
        </is>
      </c>
      <c r="I41" s="5" t="inlineStr">
        <is>
          <t>cumulative</t>
        </is>
      </c>
      <c r="J41" s="5" t="inlineStr">
        <is>
          <t>KL</t>
        </is>
      </c>
      <c r="K41" s="5" t="inlineStr"/>
      <c r="L41" s="7">
        <f>IFERROR(IF(F41&lt;F40,"NEGATIVE",ROUND(F41-F40,2)),"")</f>
        <v/>
      </c>
    </row>
    <row r="42" ht="22" customHeight="1">
      <c r="B42" s="8" t="inlineStr">
        <is>
          <t>R00038</t>
        </is>
      </c>
      <c r="C42" s="8" t="inlineStr">
        <is>
          <t>MTR-BLR-003</t>
        </is>
      </c>
      <c r="D42" s="8" t="inlineStr">
        <is>
          <t>Boiler House</t>
        </is>
      </c>
      <c r="E42" s="8" t="inlineStr">
        <is>
          <t>Steam Boiler 1</t>
        </is>
      </c>
      <c r="F42" s="8" t="inlineStr">
        <is>
          <t>2024-02-07 08:00</t>
        </is>
      </c>
      <c r="G42" s="12" t="n">
        <v>56307.16</v>
      </c>
      <c r="H42" s="8" t="inlineStr">
        <is>
          <t>m3</t>
        </is>
      </c>
      <c r="I42" s="8" t="inlineStr">
        <is>
          <t>cumulative</t>
        </is>
      </c>
      <c r="J42" s="8" t="inlineStr">
        <is>
          <t>IJ</t>
        </is>
      </c>
      <c r="K42" s="8" t="inlineStr"/>
      <c r="L42" s="10">
        <f>IFERROR(IF(F42&lt;F41,"NEGATIVE",ROUND(F42-F41,2)),"")</f>
        <v/>
      </c>
    </row>
    <row r="43" ht="22" customHeight="1">
      <c r="B43" s="5" t="inlineStr">
        <is>
          <t>R00039</t>
        </is>
      </c>
      <c r="C43" s="5" t="inlineStr">
        <is>
          <t>MTR-BLR-003</t>
        </is>
      </c>
      <c r="D43" s="5" t="inlineStr">
        <is>
          <t>Boiler House</t>
        </is>
      </c>
      <c r="E43" s="5" t="inlineStr">
        <is>
          <t>Steam Boiler 1</t>
        </is>
      </c>
      <c r="F43" s="5" t="inlineStr">
        <is>
          <t>2024-02-08 08:00</t>
        </is>
      </c>
      <c r="G43" s="11" t="n">
        <v>56328.08</v>
      </c>
      <c r="H43" s="5" t="inlineStr">
        <is>
          <t>m3</t>
        </is>
      </c>
      <c r="I43" s="5" t="inlineStr">
        <is>
          <t>cumulative</t>
        </is>
      </c>
      <c r="J43" s="5" t="inlineStr">
        <is>
          <t>CD</t>
        </is>
      </c>
      <c r="K43" s="5" t="inlineStr"/>
      <c r="L43" s="7">
        <f>IFERROR(IF(F43&lt;F42,"NEGATIVE",ROUND(F43-F42,2)),"")</f>
        <v/>
      </c>
    </row>
    <row r="44" ht="22" customHeight="1">
      <c r="B44" s="8" t="inlineStr">
        <is>
          <t>R00040</t>
        </is>
      </c>
      <c r="C44" s="8" t="inlineStr">
        <is>
          <t>MTR-BLR-003</t>
        </is>
      </c>
      <c r="D44" s="8" t="inlineStr">
        <is>
          <t>Boiler House</t>
        </is>
      </c>
      <c r="E44" s="8" t="inlineStr">
        <is>
          <t>Steam Boiler 1</t>
        </is>
      </c>
      <c r="F44" s="8" t="inlineStr">
        <is>
          <t>2024-02-09 08:00</t>
        </is>
      </c>
      <c r="G44" s="12" t="n">
        <v>56347.34</v>
      </c>
      <c r="H44" s="8" t="inlineStr">
        <is>
          <t>m3</t>
        </is>
      </c>
      <c r="I44" s="8" t="inlineStr">
        <is>
          <t>cumulative</t>
        </is>
      </c>
      <c r="J44" s="8" t="inlineStr">
        <is>
          <t>GH</t>
        </is>
      </c>
      <c r="K44" s="8" t="inlineStr"/>
      <c r="L44" s="10">
        <f>IFERROR(IF(F44&lt;F43,"NEGATIVE",ROUND(F44-F43,2)),"")</f>
        <v/>
      </c>
    </row>
    <row r="45" ht="22" customHeight="1">
      <c r="B45" s="5" t="inlineStr">
        <is>
          <t>R00041</t>
        </is>
      </c>
      <c r="C45" s="5" t="inlineStr">
        <is>
          <t>MTR-BLR-003</t>
        </is>
      </c>
      <c r="D45" s="5" t="inlineStr">
        <is>
          <t>Boiler House</t>
        </is>
      </c>
      <c r="E45" s="5" t="inlineStr">
        <is>
          <t>Steam Boiler 1</t>
        </is>
      </c>
      <c r="F45" s="5" t="inlineStr">
        <is>
          <t>2024-02-10 08:00</t>
        </is>
      </c>
      <c r="G45" s="11" t="n">
        <v>56361.18</v>
      </c>
      <c r="H45" s="5" t="inlineStr">
        <is>
          <t>m3</t>
        </is>
      </c>
      <c r="I45" s="5" t="inlineStr">
        <is>
          <t>cumulative</t>
        </is>
      </c>
      <c r="J45" s="5" t="inlineStr">
        <is>
          <t>CD</t>
        </is>
      </c>
      <c r="K45" s="5" t="inlineStr"/>
      <c r="L45" s="7">
        <f>IFERROR(IF(F45&lt;F44,"NEGATIVE",ROUND(F45-F44,2)),"")</f>
        <v/>
      </c>
    </row>
    <row r="46" ht="22" customHeight="1">
      <c r="B46" s="8" t="inlineStr">
        <is>
          <t>R00042</t>
        </is>
      </c>
      <c r="C46" s="8" t="inlineStr">
        <is>
          <t>MTR-BLR-003</t>
        </is>
      </c>
      <c r="D46" s="8" t="inlineStr">
        <is>
          <t>Boiler House</t>
        </is>
      </c>
      <c r="E46" s="8" t="inlineStr">
        <is>
          <t>Steam Boiler 1</t>
        </is>
      </c>
      <c r="F46" s="8" t="inlineStr">
        <is>
          <t>2024-02-11 08:00</t>
        </is>
      </c>
      <c r="G46" s="12" t="n">
        <v>56371.24</v>
      </c>
      <c r="H46" s="8" t="inlineStr">
        <is>
          <t>m3</t>
        </is>
      </c>
      <c r="I46" s="8" t="inlineStr">
        <is>
          <t>cumulative</t>
        </is>
      </c>
      <c r="J46" s="8" t="inlineStr">
        <is>
          <t>KL</t>
        </is>
      </c>
      <c r="K46" s="8" t="inlineStr"/>
      <c r="L46" s="10">
        <f>IFERROR(IF(F46&lt;F45,"NEGATIVE",ROUND(F46-F45,2)),"")</f>
        <v/>
      </c>
    </row>
    <row r="47" ht="22" customHeight="1">
      <c r="B47" s="5" t="inlineStr">
        <is>
          <t>R00043</t>
        </is>
      </c>
      <c r="C47" s="5" t="inlineStr">
        <is>
          <t>MTR-BLR-003</t>
        </is>
      </c>
      <c r="D47" s="5" t="inlineStr">
        <is>
          <t>Boiler House</t>
        </is>
      </c>
      <c r="E47" s="5" t="inlineStr">
        <is>
          <t>Steam Boiler 1</t>
        </is>
      </c>
      <c r="F47" s="5" t="inlineStr">
        <is>
          <t>2024-02-12 08:00</t>
        </is>
      </c>
      <c r="G47" s="11" t="n">
        <v>56392.33</v>
      </c>
      <c r="H47" s="5" t="inlineStr">
        <is>
          <t>m3</t>
        </is>
      </c>
      <c r="I47" s="5" t="inlineStr">
        <is>
          <t>cumulative</t>
        </is>
      </c>
      <c r="J47" s="5" t="inlineStr">
        <is>
          <t>CD</t>
        </is>
      </c>
      <c r="K47" s="5" t="inlineStr"/>
      <c r="L47" s="7">
        <f>IFERROR(IF(F47&lt;F46,"NEGATIVE",ROUND(F47-F46,2)),"")</f>
        <v/>
      </c>
    </row>
    <row r="48" ht="22" customHeight="1">
      <c r="B48" s="8" t="inlineStr">
        <is>
          <t>R00044</t>
        </is>
      </c>
      <c r="C48" s="8" t="inlineStr">
        <is>
          <t>MTR-BLR-003</t>
        </is>
      </c>
      <c r="D48" s="8" t="inlineStr">
        <is>
          <t>Boiler House</t>
        </is>
      </c>
      <c r="E48" s="8" t="inlineStr">
        <is>
          <t>Steam Boiler 1</t>
        </is>
      </c>
      <c r="F48" s="8" t="inlineStr">
        <is>
          <t>2024-02-13 08:00</t>
        </is>
      </c>
      <c r="G48" s="12" t="n">
        <v>56412.35</v>
      </c>
      <c r="H48" s="8" t="inlineStr">
        <is>
          <t>m3</t>
        </is>
      </c>
      <c r="I48" s="8" t="inlineStr">
        <is>
          <t>cumulative</t>
        </is>
      </c>
      <c r="J48" s="8" t="inlineStr">
        <is>
          <t>GH</t>
        </is>
      </c>
      <c r="K48" s="8" t="inlineStr"/>
      <c r="L48" s="10">
        <f>IFERROR(IF(F48&lt;F47,"NEGATIVE",ROUND(F48-F47,2)),"")</f>
        <v/>
      </c>
    </row>
    <row r="49" ht="22" customHeight="1">
      <c r="B49" s="5" t="inlineStr">
        <is>
          <t>R00045</t>
        </is>
      </c>
      <c r="C49" s="5" t="inlineStr">
        <is>
          <t>MTR-BLR-003</t>
        </is>
      </c>
      <c r="D49" s="5" t="inlineStr">
        <is>
          <t>Boiler House</t>
        </is>
      </c>
      <c r="E49" s="5" t="inlineStr">
        <is>
          <t>Steam Boiler 1</t>
        </is>
      </c>
      <c r="F49" s="5" t="inlineStr">
        <is>
          <t>2024-02-14 08:00</t>
        </is>
      </c>
      <c r="G49" s="11" t="n">
        <v>56431.53</v>
      </c>
      <c r="H49" s="5" t="inlineStr">
        <is>
          <t>m3</t>
        </is>
      </c>
      <c r="I49" s="5" t="inlineStr">
        <is>
          <t>cumulative</t>
        </is>
      </c>
      <c r="J49" s="5" t="inlineStr">
        <is>
          <t>CD</t>
        </is>
      </c>
      <c r="K49" s="5" t="inlineStr"/>
      <c r="L49" s="7">
        <f>IFERROR(IF(F49&lt;F48,"NEGATIVE",ROUND(F49-F48,2)),"")</f>
        <v/>
      </c>
    </row>
    <row r="50" ht="22" customHeight="1">
      <c r="B50" s="8" t="inlineStr">
        <is>
          <t>R00046</t>
        </is>
      </c>
      <c r="C50" s="8" t="inlineStr">
        <is>
          <t>MTR-BLR-003</t>
        </is>
      </c>
      <c r="D50" s="8" t="inlineStr">
        <is>
          <t>Boiler House</t>
        </is>
      </c>
      <c r="E50" s="8" t="inlineStr">
        <is>
          <t>Steam Boiler 1</t>
        </is>
      </c>
      <c r="F50" s="8" t="inlineStr">
        <is>
          <t>2024-02-15 08:00</t>
        </is>
      </c>
      <c r="G50" s="12" t="n">
        <v>56449.66</v>
      </c>
      <c r="H50" s="8" t="inlineStr">
        <is>
          <t>m3</t>
        </is>
      </c>
      <c r="I50" s="8" t="inlineStr">
        <is>
          <t>cumulative</t>
        </is>
      </c>
      <c r="J50" s="8" t="inlineStr">
        <is>
          <t>EF</t>
        </is>
      </c>
      <c r="K50" s="8" t="inlineStr"/>
      <c r="L50" s="10">
        <f>IFERROR(IF(F50&lt;F49,"NEGATIVE",ROUND(F50-F49,2)),"")</f>
        <v/>
      </c>
    </row>
    <row r="51" ht="22" customHeight="1">
      <c r="B51" s="5" t="inlineStr">
        <is>
          <t>R00047</t>
        </is>
      </c>
      <c r="C51" s="5" t="inlineStr">
        <is>
          <t>MTR-BLR-003</t>
        </is>
      </c>
      <c r="D51" s="5" t="inlineStr">
        <is>
          <t>Boiler House</t>
        </is>
      </c>
      <c r="E51" s="5" t="inlineStr">
        <is>
          <t>Steam Boiler 1</t>
        </is>
      </c>
      <c r="F51" s="5" t="inlineStr">
        <is>
          <t>2024-02-16 08:00</t>
        </is>
      </c>
      <c r="G51" s="11" t="n">
        <v>56469.38</v>
      </c>
      <c r="H51" s="5" t="inlineStr">
        <is>
          <t>m3</t>
        </is>
      </c>
      <c r="I51" s="5" t="inlineStr">
        <is>
          <t>cumulative</t>
        </is>
      </c>
      <c r="J51" s="5" t="inlineStr">
        <is>
          <t>GH</t>
        </is>
      </c>
      <c r="K51" s="5" t="inlineStr"/>
      <c r="L51" s="7">
        <f>IFERROR(IF(F51&lt;F50,"NEGATIVE",ROUND(F51-F50,2)),"")</f>
        <v/>
      </c>
    </row>
    <row r="52" ht="22" customHeight="1">
      <c r="B52" s="8" t="inlineStr">
        <is>
          <t>R00048</t>
        </is>
      </c>
      <c r="C52" s="8" t="inlineStr">
        <is>
          <t>MTR-BLR-003</t>
        </is>
      </c>
      <c r="D52" s="8" t="inlineStr">
        <is>
          <t>Boiler House</t>
        </is>
      </c>
      <c r="E52" s="8" t="inlineStr">
        <is>
          <t>Steam Boiler 1</t>
        </is>
      </c>
      <c r="F52" s="8" t="inlineStr">
        <is>
          <t>2024-02-17 08:00</t>
        </is>
      </c>
      <c r="G52" s="12" t="n">
        <v>56487.23</v>
      </c>
      <c r="H52" s="8" t="inlineStr">
        <is>
          <t>m3</t>
        </is>
      </c>
      <c r="I52" s="8" t="inlineStr">
        <is>
          <t>cumulative</t>
        </is>
      </c>
      <c r="J52" s="8" t="inlineStr">
        <is>
          <t>EF</t>
        </is>
      </c>
      <c r="K52" s="8" t="inlineStr"/>
      <c r="L52" s="10">
        <f>IFERROR(IF(F52&lt;F51,"NEGATIVE",ROUND(F52-F51,2)),"")</f>
        <v/>
      </c>
    </row>
    <row r="53" ht="22" customHeight="1">
      <c r="B53" s="5" t="inlineStr">
        <is>
          <t>R00049</t>
        </is>
      </c>
      <c r="C53" s="5" t="inlineStr">
        <is>
          <t>MTR-BLR-003</t>
        </is>
      </c>
      <c r="D53" s="5" t="inlineStr">
        <is>
          <t>Boiler House</t>
        </is>
      </c>
      <c r="E53" s="5" t="inlineStr">
        <is>
          <t>Steam Boiler 1</t>
        </is>
      </c>
      <c r="F53" s="5" t="inlineStr">
        <is>
          <t>2024-02-18 08:00</t>
        </is>
      </c>
      <c r="G53" s="11" t="n">
        <v>56497.38</v>
      </c>
      <c r="H53" s="5" t="inlineStr">
        <is>
          <t>m3</t>
        </is>
      </c>
      <c r="I53" s="5" t="inlineStr">
        <is>
          <t>cumulative</t>
        </is>
      </c>
      <c r="J53" s="5" t="inlineStr">
        <is>
          <t>GH</t>
        </is>
      </c>
      <c r="K53" s="5" t="inlineStr"/>
      <c r="L53" s="7">
        <f>IFERROR(IF(F53&lt;F52,"NEGATIVE",ROUND(F53-F52,2)),"")</f>
        <v/>
      </c>
    </row>
    <row r="54" ht="22" customHeight="1">
      <c r="B54" s="8" t="inlineStr">
        <is>
          <t>R00050</t>
        </is>
      </c>
      <c r="C54" s="8" t="inlineStr">
        <is>
          <t>MTR-BLR-003</t>
        </is>
      </c>
      <c r="D54" s="8" t="inlineStr">
        <is>
          <t>Boiler House</t>
        </is>
      </c>
      <c r="E54" s="8" t="inlineStr">
        <is>
          <t>Steam Boiler 1</t>
        </is>
      </c>
      <c r="F54" s="8" t="inlineStr">
        <is>
          <t>2024-02-19 08:00</t>
        </is>
      </c>
      <c r="G54" s="12" t="n">
        <v>56517.38</v>
      </c>
      <c r="H54" s="8" t="inlineStr">
        <is>
          <t>m3</t>
        </is>
      </c>
      <c r="I54" s="8" t="inlineStr">
        <is>
          <t>cumulative</t>
        </is>
      </c>
      <c r="J54" s="8" t="inlineStr">
        <is>
          <t>KL</t>
        </is>
      </c>
      <c r="K54" s="8" t="inlineStr"/>
      <c r="L54" s="10">
        <f>IFERROR(IF(F54&lt;F53,"NEGATIVE",ROUND(F54-F53,2)),"")</f>
        <v/>
      </c>
    </row>
    <row r="55" ht="22" customHeight="1">
      <c r="B55" s="5" t="inlineStr">
        <is>
          <t>R00051</t>
        </is>
      </c>
      <c r="C55" s="5" t="inlineStr">
        <is>
          <t>MTR-BLR-003</t>
        </is>
      </c>
      <c r="D55" s="5" t="inlineStr">
        <is>
          <t>Boiler House</t>
        </is>
      </c>
      <c r="E55" s="5" t="inlineStr">
        <is>
          <t>Steam Boiler 1</t>
        </is>
      </c>
      <c r="F55" s="5" t="inlineStr">
        <is>
          <t>2024-02-20 08:00</t>
        </is>
      </c>
      <c r="G55" s="11" t="n">
        <v>56538.37</v>
      </c>
      <c r="H55" s="5" t="inlineStr">
        <is>
          <t>m3</t>
        </is>
      </c>
      <c r="I55" s="5" t="inlineStr">
        <is>
          <t>cumulative</t>
        </is>
      </c>
      <c r="J55" s="5" t="inlineStr">
        <is>
          <t>GH</t>
        </is>
      </c>
      <c r="K55" s="5" t="inlineStr"/>
      <c r="L55" s="7">
        <f>IFERROR(IF(F55&lt;F54,"NEGATIVE",ROUND(F55-F54,2)),"")</f>
        <v/>
      </c>
    </row>
    <row r="56" ht="22" customHeight="1">
      <c r="B56" s="8" t="inlineStr">
        <is>
          <t>R00052</t>
        </is>
      </c>
      <c r="C56" s="8" t="inlineStr">
        <is>
          <t>MTR-BLR-003</t>
        </is>
      </c>
      <c r="D56" s="8" t="inlineStr">
        <is>
          <t>Boiler House</t>
        </is>
      </c>
      <c r="E56" s="8" t="inlineStr">
        <is>
          <t>Steam Boiler 1</t>
        </is>
      </c>
      <c r="F56" s="8" t="inlineStr">
        <is>
          <t>2024-02-21 08:00</t>
        </is>
      </c>
      <c r="G56" s="12" t="n">
        <v>56559.48</v>
      </c>
      <c r="H56" s="8" t="inlineStr">
        <is>
          <t>m3</t>
        </is>
      </c>
      <c r="I56" s="8" t="inlineStr">
        <is>
          <t>cumulative</t>
        </is>
      </c>
      <c r="J56" s="8" t="inlineStr">
        <is>
          <t>KL</t>
        </is>
      </c>
      <c r="K56" s="8" t="inlineStr"/>
      <c r="L56" s="10">
        <f>IFERROR(IF(F56&lt;F55,"NEGATIVE",ROUND(F56-F55,2)),"")</f>
        <v/>
      </c>
    </row>
    <row r="57" ht="22" customHeight="1">
      <c r="B57" s="5" t="inlineStr">
        <is>
          <t>R00053</t>
        </is>
      </c>
      <c r="C57" s="5" t="inlineStr">
        <is>
          <t>MTR-BLR-003</t>
        </is>
      </c>
      <c r="D57" s="5" t="inlineStr">
        <is>
          <t>Boiler House</t>
        </is>
      </c>
      <c r="E57" s="5" t="inlineStr">
        <is>
          <t>Steam Boiler 1</t>
        </is>
      </c>
      <c r="F57" s="5" t="inlineStr">
        <is>
          <t>2024-02-22 08:00</t>
        </is>
      </c>
      <c r="G57" s="11" t="n">
        <v>56579.32</v>
      </c>
      <c r="H57" s="5" t="inlineStr">
        <is>
          <t>m3</t>
        </is>
      </c>
      <c r="I57" s="5" t="inlineStr">
        <is>
          <t>cumulative</t>
        </is>
      </c>
      <c r="J57" s="5" t="inlineStr">
        <is>
          <t>CD</t>
        </is>
      </c>
      <c r="K57" s="5" t="inlineStr"/>
      <c r="L57" s="7">
        <f>IFERROR(IF(F57&lt;F56,"NEGATIVE",ROUND(F57-F56,2)),"")</f>
        <v/>
      </c>
    </row>
    <row r="58" ht="22" customHeight="1">
      <c r="B58" s="8" t="inlineStr">
        <is>
          <t>R00054</t>
        </is>
      </c>
      <c r="C58" s="8" t="inlineStr">
        <is>
          <t>MTR-BLR-003</t>
        </is>
      </c>
      <c r="D58" s="8" t="inlineStr">
        <is>
          <t>Boiler House</t>
        </is>
      </c>
      <c r="E58" s="8" t="inlineStr">
        <is>
          <t>Steam Boiler 1</t>
        </is>
      </c>
      <c r="F58" s="8" t="inlineStr">
        <is>
          <t>2024-02-23 08:00</t>
        </is>
      </c>
      <c r="G58" s="12" t="n">
        <v>56599.25</v>
      </c>
      <c r="H58" s="8" t="inlineStr">
        <is>
          <t>m3</t>
        </is>
      </c>
      <c r="I58" s="8" t="inlineStr">
        <is>
          <t>cumulative</t>
        </is>
      </c>
      <c r="J58" s="8" t="inlineStr">
        <is>
          <t>EF</t>
        </is>
      </c>
      <c r="K58" s="8" t="inlineStr"/>
      <c r="L58" s="10">
        <f>IFERROR(IF(F58&lt;F57,"NEGATIVE",ROUND(F58-F57,2)),"")</f>
        <v/>
      </c>
    </row>
    <row r="59" ht="22" customHeight="1">
      <c r="B59" s="5" t="inlineStr">
        <is>
          <t>R00055</t>
        </is>
      </c>
      <c r="C59" s="5" t="inlineStr">
        <is>
          <t>MTR-BLR-003</t>
        </is>
      </c>
      <c r="D59" s="5" t="inlineStr">
        <is>
          <t>Boiler House</t>
        </is>
      </c>
      <c r="E59" s="5" t="inlineStr">
        <is>
          <t>Steam Boiler 1</t>
        </is>
      </c>
      <c r="F59" s="5" t="inlineStr">
        <is>
          <t>2024-02-24 08:00</t>
        </is>
      </c>
      <c r="G59" s="11" t="n">
        <v>56616.3</v>
      </c>
      <c r="H59" s="5" t="inlineStr">
        <is>
          <t>m3</t>
        </is>
      </c>
      <c r="I59" s="5" t="inlineStr">
        <is>
          <t>cumulative</t>
        </is>
      </c>
      <c r="J59" s="5" t="inlineStr">
        <is>
          <t>KL</t>
        </is>
      </c>
      <c r="K59" s="5" t="inlineStr"/>
      <c r="L59" s="7">
        <f>IFERROR(IF(F59&lt;F58,"NEGATIVE",ROUND(F59-F58,2)),"")</f>
        <v/>
      </c>
    </row>
    <row r="60" ht="22" customHeight="1">
      <c r="B60" s="8" t="inlineStr">
        <is>
          <t>R00056</t>
        </is>
      </c>
      <c r="C60" s="8" t="inlineStr">
        <is>
          <t>MTR-BLR-003</t>
        </is>
      </c>
      <c r="D60" s="8" t="inlineStr">
        <is>
          <t>Boiler House</t>
        </is>
      </c>
      <c r="E60" s="8" t="inlineStr">
        <is>
          <t>Steam Boiler 1</t>
        </is>
      </c>
      <c r="F60" s="8" t="inlineStr">
        <is>
          <t>2024-02-25 08:00</t>
        </is>
      </c>
      <c r="G60" s="12" t="n">
        <v>56626.95</v>
      </c>
      <c r="H60" s="8" t="inlineStr">
        <is>
          <t>m3</t>
        </is>
      </c>
      <c r="I60" s="8" t="inlineStr">
        <is>
          <t>cumulative</t>
        </is>
      </c>
      <c r="J60" s="8" t="inlineStr">
        <is>
          <t>AB</t>
        </is>
      </c>
      <c r="K60" s="8" t="inlineStr"/>
      <c r="L60" s="10">
        <f>IFERROR(IF(F60&lt;F59,"NEGATIVE",ROUND(F60-F59,2)),"")</f>
        <v/>
      </c>
    </row>
    <row r="61" ht="22" customHeight="1">
      <c r="B61" s="5" t="inlineStr">
        <is>
          <t>R00057</t>
        </is>
      </c>
      <c r="C61" s="5" t="inlineStr">
        <is>
          <t>MTR-BLR-003</t>
        </is>
      </c>
      <c r="D61" s="5" t="inlineStr">
        <is>
          <t>Boiler House</t>
        </is>
      </c>
      <c r="E61" s="5" t="inlineStr">
        <is>
          <t>Steam Boiler 1</t>
        </is>
      </c>
      <c r="F61" s="5" t="inlineStr">
        <is>
          <t>2024-02-26 08:00</t>
        </is>
      </c>
      <c r="G61" s="11" t="n">
        <v>56649.14</v>
      </c>
      <c r="H61" s="5" t="inlineStr">
        <is>
          <t>m3</t>
        </is>
      </c>
      <c r="I61" s="5" t="inlineStr">
        <is>
          <t>cumulative</t>
        </is>
      </c>
      <c r="J61" s="5" t="inlineStr">
        <is>
          <t>EF</t>
        </is>
      </c>
      <c r="K61" s="5" t="inlineStr"/>
      <c r="L61" s="7">
        <f>IFERROR(IF(F61&lt;F60,"NEGATIVE",ROUND(F61-F60,2)),"")</f>
        <v/>
      </c>
    </row>
    <row r="62" ht="22" customHeight="1">
      <c r="B62" s="8" t="inlineStr">
        <is>
          <t>R00058</t>
        </is>
      </c>
      <c r="C62" s="8" t="inlineStr">
        <is>
          <t>MTR-BLR-003</t>
        </is>
      </c>
      <c r="D62" s="8" t="inlineStr">
        <is>
          <t>Boiler House</t>
        </is>
      </c>
      <c r="E62" s="8" t="inlineStr">
        <is>
          <t>Steam Boiler 1</t>
        </is>
      </c>
      <c r="F62" s="8" t="inlineStr">
        <is>
          <t>2024-02-27 08:00</t>
        </is>
      </c>
      <c r="G62" s="12" t="n">
        <v>56667.32</v>
      </c>
      <c r="H62" s="8" t="inlineStr">
        <is>
          <t>m3</t>
        </is>
      </c>
      <c r="I62" s="8" t="inlineStr">
        <is>
          <t>cumulative</t>
        </is>
      </c>
      <c r="J62" s="8" t="inlineStr">
        <is>
          <t>GH</t>
        </is>
      </c>
      <c r="K62" s="8" t="inlineStr"/>
      <c r="L62" s="10">
        <f>IFERROR(IF(F62&lt;F61,"NEGATIVE",ROUND(F62-F61,2)),"")</f>
        <v/>
      </c>
    </row>
    <row r="63" ht="22" customHeight="1">
      <c r="B63" s="5" t="inlineStr">
        <is>
          <t>R00059</t>
        </is>
      </c>
      <c r="C63" s="5" t="inlineStr">
        <is>
          <t>MTR-BLR-003</t>
        </is>
      </c>
      <c r="D63" s="5" t="inlineStr">
        <is>
          <t>Boiler House</t>
        </is>
      </c>
      <c r="E63" s="5" t="inlineStr">
        <is>
          <t>Steam Boiler 1</t>
        </is>
      </c>
      <c r="F63" s="5" t="inlineStr">
        <is>
          <t>2024-02-28 08:00</t>
        </is>
      </c>
      <c r="G63" s="11" t="n">
        <v>56685.94</v>
      </c>
      <c r="H63" s="5" t="inlineStr">
        <is>
          <t>m3</t>
        </is>
      </c>
      <c r="I63" s="5" t="inlineStr">
        <is>
          <t>cumulative</t>
        </is>
      </c>
      <c r="J63" s="5" t="inlineStr">
        <is>
          <t>EF</t>
        </is>
      </c>
      <c r="K63" s="5" t="inlineStr"/>
      <c r="L63" s="7">
        <f>IFERROR(IF(F63&lt;F62,"NEGATIVE",ROUND(F63-F62,2)),"")</f>
        <v/>
      </c>
    </row>
    <row r="64" ht="22" customHeight="1">
      <c r="B64" s="8" t="inlineStr">
        <is>
          <t>R00060</t>
        </is>
      </c>
      <c r="C64" s="8" t="inlineStr">
        <is>
          <t>MTR-BLR-003</t>
        </is>
      </c>
      <c r="D64" s="8" t="inlineStr">
        <is>
          <t>Boiler House</t>
        </is>
      </c>
      <c r="E64" s="8" t="inlineStr">
        <is>
          <t>Steam Boiler 1</t>
        </is>
      </c>
      <c r="F64" s="8" t="inlineStr">
        <is>
          <t>2024-02-29 08:00</t>
        </is>
      </c>
      <c r="G64" s="12" t="n">
        <v>56705.34</v>
      </c>
      <c r="H64" s="8" t="inlineStr">
        <is>
          <t>m3</t>
        </is>
      </c>
      <c r="I64" s="8" t="inlineStr">
        <is>
          <t>cumulative</t>
        </is>
      </c>
      <c r="J64" s="8" t="inlineStr">
        <is>
          <t>CD</t>
        </is>
      </c>
      <c r="K64" s="8" t="inlineStr"/>
      <c r="L64" s="10">
        <f>IFERROR(IF(F64&lt;F63,"NEGATIVE",ROUND(F64-F63,2)),"")</f>
        <v/>
      </c>
    </row>
    <row r="65" ht="22" customHeight="1">
      <c r="B65" s="5" t="inlineStr">
        <is>
          <t>R00061</t>
        </is>
      </c>
      <c r="C65" s="5" t="inlineStr">
        <is>
          <t>MTR-BLR-003</t>
        </is>
      </c>
      <c r="D65" s="5" t="inlineStr">
        <is>
          <t>Boiler House</t>
        </is>
      </c>
      <c r="E65" s="5" t="inlineStr">
        <is>
          <t>Steam Boiler 1</t>
        </is>
      </c>
      <c r="F65" s="5" t="inlineStr">
        <is>
          <t>2024-03-01 08:00</t>
        </is>
      </c>
      <c r="G65" s="11" t="n">
        <v>56726.36</v>
      </c>
      <c r="H65" s="5" t="inlineStr">
        <is>
          <t>m3</t>
        </is>
      </c>
      <c r="I65" s="5" t="inlineStr">
        <is>
          <t>cumulative</t>
        </is>
      </c>
      <c r="J65" s="5" t="inlineStr">
        <is>
          <t>EF</t>
        </is>
      </c>
      <c r="K65" s="5" t="inlineStr"/>
      <c r="L65" s="7">
        <f>IFERROR(IF(F65&lt;F64,"NEGATIVE",ROUND(F65-F64,2)),"")</f>
        <v/>
      </c>
    </row>
    <row r="66" ht="22" customHeight="1">
      <c r="B66" s="8" t="inlineStr">
        <is>
          <t>R00062</t>
        </is>
      </c>
      <c r="C66" s="8" t="inlineStr">
        <is>
          <t>MTR-BLR-003</t>
        </is>
      </c>
      <c r="D66" s="8" t="inlineStr">
        <is>
          <t>Boiler House</t>
        </is>
      </c>
      <c r="E66" s="8" t="inlineStr">
        <is>
          <t>Steam Boiler 1</t>
        </is>
      </c>
      <c r="F66" s="8" t="inlineStr">
        <is>
          <t>2024-03-02 08:00</t>
        </is>
      </c>
      <c r="G66" s="12" t="n">
        <v>56740.73</v>
      </c>
      <c r="H66" s="8" t="inlineStr">
        <is>
          <t>m3</t>
        </is>
      </c>
      <c r="I66" s="8" t="inlineStr">
        <is>
          <t>cumulative</t>
        </is>
      </c>
      <c r="J66" s="8" t="inlineStr">
        <is>
          <t>CD</t>
        </is>
      </c>
      <c r="K66" s="8" t="inlineStr"/>
      <c r="L66" s="10">
        <f>IFERROR(IF(F66&lt;F65,"NEGATIVE",ROUND(F66-F65,2)),"")</f>
        <v/>
      </c>
    </row>
    <row r="67" ht="22" customHeight="1">
      <c r="B67" s="5" t="inlineStr">
        <is>
          <t>R00063</t>
        </is>
      </c>
      <c r="C67" s="5" t="inlineStr">
        <is>
          <t>MTR-BLR-003</t>
        </is>
      </c>
      <c r="D67" s="5" t="inlineStr">
        <is>
          <t>Boiler House</t>
        </is>
      </c>
      <c r="E67" s="5" t="inlineStr">
        <is>
          <t>Steam Boiler 1</t>
        </is>
      </c>
      <c r="F67" s="5" t="inlineStr">
        <is>
          <t>2024-03-03 08:00</t>
        </is>
      </c>
      <c r="G67" s="11" t="n">
        <v>56751.53</v>
      </c>
      <c r="H67" s="5" t="inlineStr">
        <is>
          <t>m3</t>
        </is>
      </c>
      <c r="I67" s="5" t="inlineStr">
        <is>
          <t>cumulative</t>
        </is>
      </c>
      <c r="J67" s="5" t="inlineStr">
        <is>
          <t>AB</t>
        </is>
      </c>
      <c r="K67" s="5" t="inlineStr"/>
      <c r="L67" s="7">
        <f>IFERROR(IF(F67&lt;F66,"NEGATIVE",ROUND(F67-F66,2)),"")</f>
        <v/>
      </c>
    </row>
    <row r="68" ht="22" customHeight="1">
      <c r="B68" s="8" t="inlineStr">
        <is>
          <t>R00064</t>
        </is>
      </c>
      <c r="C68" s="8" t="inlineStr">
        <is>
          <t>MTR-BLR-003</t>
        </is>
      </c>
      <c r="D68" s="8" t="inlineStr">
        <is>
          <t>Boiler House</t>
        </is>
      </c>
      <c r="E68" s="8" t="inlineStr">
        <is>
          <t>Steam Boiler 1</t>
        </is>
      </c>
      <c r="F68" s="8" t="inlineStr">
        <is>
          <t>2024-03-04 08:00</t>
        </is>
      </c>
      <c r="G68" s="12" t="n">
        <v>56771.88</v>
      </c>
      <c r="H68" s="8" t="inlineStr">
        <is>
          <t>m3</t>
        </is>
      </c>
      <c r="I68" s="8" t="inlineStr">
        <is>
          <t>cumulative</t>
        </is>
      </c>
      <c r="J68" s="8" t="inlineStr">
        <is>
          <t>KL</t>
        </is>
      </c>
      <c r="K68" s="8" t="inlineStr"/>
      <c r="L68" s="10">
        <f>IFERROR(IF(F68&lt;F67,"NEGATIVE",ROUND(F68-F67,2)),"")</f>
        <v/>
      </c>
    </row>
    <row r="69" ht="22" customHeight="1">
      <c r="B69" s="5" t="inlineStr">
        <is>
          <t>R00065</t>
        </is>
      </c>
      <c r="C69" s="5" t="inlineStr">
        <is>
          <t>MTR-BLR-003</t>
        </is>
      </c>
      <c r="D69" s="5" t="inlineStr">
        <is>
          <t>Boiler House</t>
        </is>
      </c>
      <c r="E69" s="5" t="inlineStr">
        <is>
          <t>Steam Boiler 1</t>
        </is>
      </c>
      <c r="F69" s="5" t="inlineStr">
        <is>
          <t>2024-03-05 08:00</t>
        </is>
      </c>
      <c r="G69" s="11" t="n">
        <v>56790.02</v>
      </c>
      <c r="H69" s="5" t="inlineStr">
        <is>
          <t>m3</t>
        </is>
      </c>
      <c r="I69" s="5" t="inlineStr">
        <is>
          <t>cumulative</t>
        </is>
      </c>
      <c r="J69" s="5" t="inlineStr">
        <is>
          <t>AB</t>
        </is>
      </c>
      <c r="K69" s="5" t="inlineStr"/>
      <c r="L69" s="7">
        <f>IFERROR(IF(F69&lt;F68,"NEGATIVE",ROUND(F69-F68,2)),"")</f>
        <v/>
      </c>
    </row>
    <row r="70" ht="22" customHeight="1">
      <c r="B70" s="8" t="inlineStr">
        <is>
          <t>R00066</t>
        </is>
      </c>
      <c r="C70" s="8" t="inlineStr">
        <is>
          <t>MTR-BLR-003</t>
        </is>
      </c>
      <c r="D70" s="8" t="inlineStr">
        <is>
          <t>Boiler House</t>
        </is>
      </c>
      <c r="E70" s="8" t="inlineStr">
        <is>
          <t>Steam Boiler 1</t>
        </is>
      </c>
      <c r="F70" s="8" t="inlineStr">
        <is>
          <t>2024-03-06 08:00</t>
        </is>
      </c>
      <c r="G70" s="12" t="n">
        <v>56811.92</v>
      </c>
      <c r="H70" s="8" t="inlineStr">
        <is>
          <t>m3</t>
        </is>
      </c>
      <c r="I70" s="8" t="inlineStr">
        <is>
          <t>cumulative</t>
        </is>
      </c>
      <c r="J70" s="8" t="inlineStr">
        <is>
          <t>EF</t>
        </is>
      </c>
      <c r="K70" s="8" t="inlineStr"/>
      <c r="L70" s="10">
        <f>IFERROR(IF(F70&lt;F69,"NEGATIVE",ROUND(F70-F69,2)),"")</f>
        <v/>
      </c>
    </row>
    <row r="71" ht="22" customHeight="1">
      <c r="B71" s="5" t="inlineStr">
        <is>
          <t>R00067</t>
        </is>
      </c>
      <c r="C71" s="5" t="inlineStr">
        <is>
          <t>MTR-BLR-003</t>
        </is>
      </c>
      <c r="D71" s="5" t="inlineStr">
        <is>
          <t>Boiler House</t>
        </is>
      </c>
      <c r="E71" s="5" t="inlineStr">
        <is>
          <t>Steam Boiler 1</t>
        </is>
      </c>
      <c r="F71" s="5" t="inlineStr">
        <is>
          <t>2024-03-07 08:00</t>
        </is>
      </c>
      <c r="G71" s="11" t="n">
        <v>56830.74</v>
      </c>
      <c r="H71" s="5" t="inlineStr">
        <is>
          <t>m3</t>
        </is>
      </c>
      <c r="I71" s="5" t="inlineStr">
        <is>
          <t>cumulative</t>
        </is>
      </c>
      <c r="J71" s="5" t="inlineStr">
        <is>
          <t>IJ</t>
        </is>
      </c>
      <c r="K71" s="5" t="inlineStr"/>
      <c r="L71" s="7">
        <f>IFERROR(IF(F71&lt;F70,"NEGATIVE",ROUND(F71-F70,2)),"")</f>
        <v/>
      </c>
    </row>
    <row r="72" ht="22" customHeight="1">
      <c r="B72" s="8" t="inlineStr">
        <is>
          <t>R00068</t>
        </is>
      </c>
      <c r="C72" s="8" t="inlineStr">
        <is>
          <t>MTR-BLR-003</t>
        </is>
      </c>
      <c r="D72" s="8" t="inlineStr">
        <is>
          <t>Boiler House</t>
        </is>
      </c>
      <c r="E72" s="8" t="inlineStr">
        <is>
          <t>Steam Boiler 1</t>
        </is>
      </c>
      <c r="F72" s="8" t="inlineStr">
        <is>
          <t>2024-03-08 08:00</t>
        </is>
      </c>
      <c r="G72" s="12" t="n">
        <v>56851.74</v>
      </c>
      <c r="H72" s="8" t="inlineStr">
        <is>
          <t>m3</t>
        </is>
      </c>
      <c r="I72" s="8" t="inlineStr">
        <is>
          <t>cumulative</t>
        </is>
      </c>
      <c r="J72" s="8" t="inlineStr">
        <is>
          <t>CD</t>
        </is>
      </c>
      <c r="K72" s="8" t="inlineStr"/>
      <c r="L72" s="10">
        <f>IFERROR(IF(F72&lt;F71,"NEGATIVE",ROUND(F72-F71,2)),"")</f>
        <v/>
      </c>
    </row>
    <row r="73" ht="22" customHeight="1">
      <c r="B73" s="5" t="inlineStr">
        <is>
          <t>R00069</t>
        </is>
      </c>
      <c r="C73" s="5" t="inlineStr">
        <is>
          <t>MTR-BLR-003</t>
        </is>
      </c>
      <c r="D73" s="5" t="inlineStr">
        <is>
          <t>Boiler House</t>
        </is>
      </c>
      <c r="E73" s="5" t="inlineStr">
        <is>
          <t>Steam Boiler 1</t>
        </is>
      </c>
      <c r="F73" s="5" t="inlineStr">
        <is>
          <t>2024-03-09 08:00</t>
        </is>
      </c>
      <c r="G73" s="11" t="n">
        <v>56868.96</v>
      </c>
      <c r="H73" s="5" t="inlineStr">
        <is>
          <t>m3</t>
        </is>
      </c>
      <c r="I73" s="5" t="inlineStr">
        <is>
          <t>cumulative</t>
        </is>
      </c>
      <c r="J73" s="5" t="inlineStr">
        <is>
          <t>KL</t>
        </is>
      </c>
      <c r="K73" s="5" t="inlineStr"/>
      <c r="L73" s="7">
        <f>IFERROR(IF(F73&lt;F72,"NEGATIVE",ROUND(F73-F72,2)),"")</f>
        <v/>
      </c>
    </row>
    <row r="74" ht="22" customHeight="1">
      <c r="B74" s="8" t="inlineStr">
        <is>
          <t>R00070</t>
        </is>
      </c>
      <c r="C74" s="8" t="inlineStr">
        <is>
          <t>MTR-BLR-003</t>
        </is>
      </c>
      <c r="D74" s="8" t="inlineStr">
        <is>
          <t>Boiler House</t>
        </is>
      </c>
      <c r="E74" s="8" t="inlineStr">
        <is>
          <t>Steam Boiler 1</t>
        </is>
      </c>
      <c r="F74" s="8" t="inlineStr">
        <is>
          <t>2024-03-10 08:00</t>
        </is>
      </c>
      <c r="G74" s="12" t="n">
        <v>56878.59</v>
      </c>
      <c r="H74" s="8" t="inlineStr">
        <is>
          <t>m3</t>
        </is>
      </c>
      <c r="I74" s="8" t="inlineStr">
        <is>
          <t>cumulative</t>
        </is>
      </c>
      <c r="J74" s="8" t="inlineStr">
        <is>
          <t>CD</t>
        </is>
      </c>
      <c r="K74" s="8" t="inlineStr"/>
      <c r="L74" s="10">
        <f>IFERROR(IF(F74&lt;F73,"NEGATIVE",ROUND(F74-F73,2)),"")</f>
        <v/>
      </c>
    </row>
    <row r="75" ht="22" customHeight="1">
      <c r="B75" s="5" t="inlineStr">
        <is>
          <t>R00071</t>
        </is>
      </c>
      <c r="C75" s="5" t="inlineStr">
        <is>
          <t>MTR-BLR-003</t>
        </is>
      </c>
      <c r="D75" s="5" t="inlineStr">
        <is>
          <t>Boiler House</t>
        </is>
      </c>
      <c r="E75" s="5" t="inlineStr">
        <is>
          <t>Steam Boiler 1</t>
        </is>
      </c>
      <c r="F75" s="5" t="inlineStr">
        <is>
          <t>2024-03-11 08:00</t>
        </is>
      </c>
      <c r="G75" s="11" t="n">
        <v>56896.37</v>
      </c>
      <c r="H75" s="5" t="inlineStr">
        <is>
          <t>m3</t>
        </is>
      </c>
      <c r="I75" s="5" t="inlineStr">
        <is>
          <t>cumulative</t>
        </is>
      </c>
      <c r="J75" s="5" t="inlineStr">
        <is>
          <t>KL</t>
        </is>
      </c>
      <c r="K75" s="5" t="inlineStr"/>
      <c r="L75" s="7">
        <f>IFERROR(IF(F75&lt;F74,"NEGATIVE",ROUND(F75-F74,2)),"")</f>
        <v/>
      </c>
    </row>
    <row r="76" ht="22" customHeight="1">
      <c r="B76" s="8" t="inlineStr">
        <is>
          <t>R00072</t>
        </is>
      </c>
      <c r="C76" s="8" t="inlineStr">
        <is>
          <t>MTR-BLR-003</t>
        </is>
      </c>
      <c r="D76" s="8" t="inlineStr">
        <is>
          <t>Boiler House</t>
        </is>
      </c>
      <c r="E76" s="8" t="inlineStr">
        <is>
          <t>Steam Boiler 1</t>
        </is>
      </c>
      <c r="F76" s="8" t="inlineStr">
        <is>
          <t>2024-03-12 08:00</t>
        </is>
      </c>
      <c r="G76" s="12" t="n">
        <v>56915.34</v>
      </c>
      <c r="H76" s="8" t="inlineStr">
        <is>
          <t>m3</t>
        </is>
      </c>
      <c r="I76" s="8" t="inlineStr">
        <is>
          <t>cumulative</t>
        </is>
      </c>
      <c r="J76" s="8" t="inlineStr">
        <is>
          <t>EF</t>
        </is>
      </c>
      <c r="K76" s="8" t="inlineStr"/>
      <c r="L76" s="10">
        <f>IFERROR(IF(F76&lt;F75,"NEGATIVE",ROUND(F76-F75,2)),"")</f>
        <v/>
      </c>
    </row>
    <row r="77" ht="22" customHeight="1">
      <c r="B77" s="5" t="inlineStr">
        <is>
          <t>R00073</t>
        </is>
      </c>
      <c r="C77" s="5" t="inlineStr">
        <is>
          <t>MTR-BLR-003</t>
        </is>
      </c>
      <c r="D77" s="5" t="inlineStr">
        <is>
          <t>Boiler House</t>
        </is>
      </c>
      <c r="E77" s="5" t="inlineStr">
        <is>
          <t>Steam Boiler 1</t>
        </is>
      </c>
      <c r="F77" s="5" t="inlineStr">
        <is>
          <t>2024-03-13 08:00</t>
        </is>
      </c>
      <c r="G77" s="11" t="n">
        <v>56932.61</v>
      </c>
      <c r="H77" s="5" t="inlineStr">
        <is>
          <t>m3</t>
        </is>
      </c>
      <c r="I77" s="5" t="inlineStr">
        <is>
          <t>cumulative</t>
        </is>
      </c>
      <c r="J77" s="5" t="inlineStr">
        <is>
          <t>CD</t>
        </is>
      </c>
      <c r="K77" s="5" t="inlineStr"/>
      <c r="L77" s="7">
        <f>IFERROR(IF(F77&lt;F76,"NEGATIVE",ROUND(F77-F76,2)),"")</f>
        <v/>
      </c>
    </row>
    <row r="78" ht="22" customHeight="1">
      <c r="B78" s="8" t="inlineStr">
        <is>
          <t>R00074</t>
        </is>
      </c>
      <c r="C78" s="8" t="inlineStr">
        <is>
          <t>MTR-BLR-003</t>
        </is>
      </c>
      <c r="D78" s="8" t="inlineStr">
        <is>
          <t>Boiler House</t>
        </is>
      </c>
      <c r="E78" s="8" t="inlineStr">
        <is>
          <t>Steam Boiler 1</t>
        </is>
      </c>
      <c r="F78" s="8" t="inlineStr">
        <is>
          <t>2024-03-14 08:00</t>
        </is>
      </c>
      <c r="G78" s="12" t="n">
        <v>56951.73</v>
      </c>
      <c r="H78" s="8" t="inlineStr">
        <is>
          <t>m3</t>
        </is>
      </c>
      <c r="I78" s="8" t="inlineStr">
        <is>
          <t>cumulative</t>
        </is>
      </c>
      <c r="J78" s="8" t="inlineStr">
        <is>
          <t>EF</t>
        </is>
      </c>
      <c r="K78" s="8" t="inlineStr"/>
      <c r="L78" s="10">
        <f>IFERROR(IF(F78&lt;F77,"NEGATIVE",ROUND(F78-F77,2)),"")</f>
        <v/>
      </c>
    </row>
    <row r="79" ht="22" customHeight="1">
      <c r="B79" s="5" t="inlineStr">
        <is>
          <t>R00075</t>
        </is>
      </c>
      <c r="C79" s="5" t="inlineStr">
        <is>
          <t>MTR-BLR-003</t>
        </is>
      </c>
      <c r="D79" s="5" t="inlineStr">
        <is>
          <t>Boiler House</t>
        </is>
      </c>
      <c r="E79" s="5" t="inlineStr">
        <is>
          <t>Steam Boiler 1</t>
        </is>
      </c>
      <c r="F79" s="5" t="inlineStr">
        <is>
          <t>2024-03-16 08:00</t>
        </is>
      </c>
      <c r="G79" s="11" t="n">
        <v>56967.76</v>
      </c>
      <c r="H79" s="5" t="inlineStr">
        <is>
          <t>m3</t>
        </is>
      </c>
      <c r="I79" s="5" t="inlineStr">
        <is>
          <t>cumulative</t>
        </is>
      </c>
      <c r="J79" s="5" t="inlineStr">
        <is>
          <t>AB</t>
        </is>
      </c>
      <c r="K79" s="5" t="inlineStr"/>
      <c r="L79" s="7">
        <f>IFERROR(IF(F79&lt;F78,"NEGATIVE",ROUND(F79-F78,2)),"")</f>
        <v/>
      </c>
    </row>
    <row r="80" ht="22" customHeight="1">
      <c r="B80" s="8" t="inlineStr">
        <is>
          <t>R00076</t>
        </is>
      </c>
      <c r="C80" s="8" t="inlineStr">
        <is>
          <t>MTR-BLR-003</t>
        </is>
      </c>
      <c r="D80" s="8" t="inlineStr">
        <is>
          <t>Boiler House</t>
        </is>
      </c>
      <c r="E80" s="8" t="inlineStr">
        <is>
          <t>Steam Boiler 1</t>
        </is>
      </c>
      <c r="F80" s="8" t="inlineStr">
        <is>
          <t>2024-03-17 08:00</t>
        </is>
      </c>
      <c r="G80" s="12" t="n">
        <v>56978.06</v>
      </c>
      <c r="H80" s="8" t="inlineStr">
        <is>
          <t>m3</t>
        </is>
      </c>
      <c r="I80" s="8" t="inlineStr">
        <is>
          <t>cumulative</t>
        </is>
      </c>
      <c r="J80" s="8" t="inlineStr">
        <is>
          <t>KL</t>
        </is>
      </c>
      <c r="K80" s="8" t="inlineStr"/>
      <c r="L80" s="10">
        <f>IFERROR(IF(F80&lt;F79,"NEGATIVE",ROUND(F80-F79,2)),"")</f>
        <v/>
      </c>
    </row>
    <row r="81" ht="22" customHeight="1">
      <c r="B81" s="5" t="inlineStr">
        <is>
          <t>R00077</t>
        </is>
      </c>
      <c r="C81" s="5" t="inlineStr">
        <is>
          <t>MTR-BLR-003</t>
        </is>
      </c>
      <c r="D81" s="5" t="inlineStr">
        <is>
          <t>Boiler House</t>
        </is>
      </c>
      <c r="E81" s="5" t="inlineStr">
        <is>
          <t>Steam Boiler 1</t>
        </is>
      </c>
      <c r="F81" s="5" t="inlineStr">
        <is>
          <t>2024-03-18 08:00</t>
        </is>
      </c>
      <c r="G81" s="11" t="n">
        <v>56995.65</v>
      </c>
      <c r="H81" s="5" t="inlineStr">
        <is>
          <t>m3</t>
        </is>
      </c>
      <c r="I81" s="5" t="inlineStr">
        <is>
          <t>cumulative</t>
        </is>
      </c>
      <c r="J81" s="5" t="inlineStr">
        <is>
          <t>AB</t>
        </is>
      </c>
      <c r="K81" s="5" t="inlineStr"/>
      <c r="L81" s="7">
        <f>IFERROR(IF(F81&lt;F80,"NEGATIVE",ROUND(F81-F80,2)),"")</f>
        <v/>
      </c>
    </row>
    <row r="82" ht="22" customHeight="1">
      <c r="B82" s="8" t="inlineStr">
        <is>
          <t>R00078</t>
        </is>
      </c>
      <c r="C82" s="8" t="inlineStr">
        <is>
          <t>MTR-BLR-003</t>
        </is>
      </c>
      <c r="D82" s="8" t="inlineStr">
        <is>
          <t>Boiler House</t>
        </is>
      </c>
      <c r="E82" s="8" t="inlineStr">
        <is>
          <t>Steam Boiler 1</t>
        </is>
      </c>
      <c r="F82" s="8" t="inlineStr">
        <is>
          <t>2024-03-19 08:00</t>
        </is>
      </c>
      <c r="G82" s="12" t="n">
        <v>57018.57</v>
      </c>
      <c r="H82" s="8" t="inlineStr">
        <is>
          <t>m3</t>
        </is>
      </c>
      <c r="I82" s="8" t="inlineStr">
        <is>
          <t>cumulative</t>
        </is>
      </c>
      <c r="J82" s="8" t="inlineStr">
        <is>
          <t>CD</t>
        </is>
      </c>
      <c r="K82" s="8" t="inlineStr"/>
      <c r="L82" s="10">
        <f>IFERROR(IF(F82&lt;F81,"NEGATIVE",ROUND(F82-F81,2)),"")</f>
        <v/>
      </c>
    </row>
    <row r="83" ht="22" customHeight="1">
      <c r="B83" s="5" t="inlineStr">
        <is>
          <t>R00079</t>
        </is>
      </c>
      <c r="C83" s="5" t="inlineStr">
        <is>
          <t>MTR-BLR-003</t>
        </is>
      </c>
      <c r="D83" s="5" t="inlineStr">
        <is>
          <t>Boiler House</t>
        </is>
      </c>
      <c r="E83" s="5" t="inlineStr">
        <is>
          <t>Steam Boiler 1</t>
        </is>
      </c>
      <c r="F83" s="5" t="inlineStr">
        <is>
          <t>2024-03-20 08:00</t>
        </is>
      </c>
      <c r="G83" s="11" t="n">
        <v>57037.64</v>
      </c>
      <c r="H83" s="5" t="inlineStr">
        <is>
          <t>m3</t>
        </is>
      </c>
      <c r="I83" s="5" t="inlineStr">
        <is>
          <t>cumulative</t>
        </is>
      </c>
      <c r="J83" s="5" t="inlineStr">
        <is>
          <t>IJ</t>
        </is>
      </c>
      <c r="K83" s="5" t="inlineStr"/>
      <c r="L83" s="7">
        <f>IFERROR(IF(F83&lt;F82,"NEGATIVE",ROUND(F83-F82,2)),"")</f>
        <v/>
      </c>
    </row>
    <row r="84" ht="22" customHeight="1">
      <c r="B84" s="8" t="inlineStr">
        <is>
          <t>R00080</t>
        </is>
      </c>
      <c r="C84" s="8" t="inlineStr">
        <is>
          <t>MTR-BLR-003</t>
        </is>
      </c>
      <c r="D84" s="8" t="inlineStr">
        <is>
          <t>Boiler House</t>
        </is>
      </c>
      <c r="E84" s="8" t="inlineStr">
        <is>
          <t>Steam Boiler 1</t>
        </is>
      </c>
      <c r="F84" s="8" t="inlineStr">
        <is>
          <t>2024-03-21 08:00</t>
        </is>
      </c>
      <c r="G84" s="12" t="n">
        <v>57057.91</v>
      </c>
      <c r="H84" s="8" t="inlineStr">
        <is>
          <t>m3</t>
        </is>
      </c>
      <c r="I84" s="8" t="inlineStr">
        <is>
          <t>cumulative</t>
        </is>
      </c>
      <c r="J84" s="8" t="inlineStr">
        <is>
          <t>EF</t>
        </is>
      </c>
      <c r="K84" s="8" t="inlineStr"/>
      <c r="L84" s="10">
        <f>IFERROR(IF(F84&lt;F83,"NEGATIVE",ROUND(F84-F83,2)),"")</f>
        <v/>
      </c>
    </row>
    <row r="85" ht="22" customHeight="1">
      <c r="B85" s="5" t="inlineStr">
        <is>
          <t>R00081</t>
        </is>
      </c>
      <c r="C85" s="5" t="inlineStr">
        <is>
          <t>MTR-BLR-003</t>
        </is>
      </c>
      <c r="D85" s="5" t="inlineStr">
        <is>
          <t>Boiler House</t>
        </is>
      </c>
      <c r="E85" s="5" t="inlineStr">
        <is>
          <t>Steam Boiler 1</t>
        </is>
      </c>
      <c r="F85" s="5" t="inlineStr">
        <is>
          <t>2024-03-22 08:00</t>
        </is>
      </c>
      <c r="G85" s="11" t="n">
        <v>57075.2</v>
      </c>
      <c r="H85" s="5" t="inlineStr">
        <is>
          <t>m3</t>
        </is>
      </c>
      <c r="I85" s="5" t="inlineStr">
        <is>
          <t>cumulative</t>
        </is>
      </c>
      <c r="J85" s="5" t="inlineStr">
        <is>
          <t>KL</t>
        </is>
      </c>
      <c r="K85" s="5" t="inlineStr"/>
      <c r="L85" s="7">
        <f>IFERROR(IF(F85&lt;F84,"NEGATIVE",ROUND(F85-F84,2)),"")</f>
        <v/>
      </c>
    </row>
    <row r="86" ht="22" customHeight="1">
      <c r="B86" s="8" t="inlineStr">
        <is>
          <t>R00082</t>
        </is>
      </c>
      <c r="C86" s="8" t="inlineStr">
        <is>
          <t>MTR-BLR-003</t>
        </is>
      </c>
      <c r="D86" s="8" t="inlineStr">
        <is>
          <t>Boiler House</t>
        </is>
      </c>
      <c r="E86" s="8" t="inlineStr">
        <is>
          <t>Steam Boiler 1</t>
        </is>
      </c>
      <c r="F86" s="8" t="inlineStr">
        <is>
          <t>2024-03-23 08:00</t>
        </is>
      </c>
      <c r="G86" s="12" t="n">
        <v>57091.43</v>
      </c>
      <c r="H86" s="8" t="inlineStr">
        <is>
          <t>m3</t>
        </is>
      </c>
      <c r="I86" s="8" t="inlineStr">
        <is>
          <t>cumulative</t>
        </is>
      </c>
      <c r="J86" s="8" t="inlineStr">
        <is>
          <t>IJ</t>
        </is>
      </c>
      <c r="K86" s="8" t="inlineStr"/>
      <c r="L86" s="10">
        <f>IFERROR(IF(F86&lt;F85,"NEGATIVE",ROUND(F86-F85,2)),"")</f>
        <v/>
      </c>
    </row>
    <row r="87" ht="22" customHeight="1">
      <c r="B87" s="5" t="inlineStr">
        <is>
          <t>R00083</t>
        </is>
      </c>
      <c r="C87" s="5" t="inlineStr">
        <is>
          <t>MTR-BLR-003</t>
        </is>
      </c>
      <c r="D87" s="5" t="inlineStr">
        <is>
          <t>Boiler House</t>
        </is>
      </c>
      <c r="E87" s="5" t="inlineStr">
        <is>
          <t>Steam Boiler 1</t>
        </is>
      </c>
      <c r="F87" s="5" t="inlineStr">
        <is>
          <t>2024-03-24 08:00</t>
        </is>
      </c>
      <c r="G87" s="11" t="n">
        <v>57103.4</v>
      </c>
      <c r="H87" s="5" t="inlineStr">
        <is>
          <t>m3</t>
        </is>
      </c>
      <c r="I87" s="5" t="inlineStr">
        <is>
          <t>cumulative</t>
        </is>
      </c>
      <c r="J87" s="5" t="inlineStr">
        <is>
          <t>AB</t>
        </is>
      </c>
      <c r="K87" s="5" t="inlineStr"/>
      <c r="L87" s="7">
        <f>IFERROR(IF(F87&lt;F86,"NEGATIVE",ROUND(F87-F86,2)),"")</f>
        <v/>
      </c>
    </row>
    <row r="88" ht="22" customHeight="1">
      <c r="B88" s="8" t="inlineStr">
        <is>
          <t>R00084</t>
        </is>
      </c>
      <c r="C88" s="8" t="inlineStr">
        <is>
          <t>MTR-BLR-003</t>
        </is>
      </c>
      <c r="D88" s="8" t="inlineStr">
        <is>
          <t>Boiler House</t>
        </is>
      </c>
      <c r="E88" s="8" t="inlineStr">
        <is>
          <t>Steam Boiler 1</t>
        </is>
      </c>
      <c r="F88" s="8" t="inlineStr">
        <is>
          <t>2024-03-25 08:00</t>
        </is>
      </c>
      <c r="G88" s="12" t="n">
        <v>57126.16</v>
      </c>
      <c r="H88" s="8" t="inlineStr">
        <is>
          <t>m3</t>
        </is>
      </c>
      <c r="I88" s="8" t="inlineStr">
        <is>
          <t>cumulative</t>
        </is>
      </c>
      <c r="J88" s="8" t="inlineStr">
        <is>
          <t>KL</t>
        </is>
      </c>
      <c r="K88" s="8" t="inlineStr"/>
      <c r="L88" s="10">
        <f>IFERROR(IF(F88&lt;F87,"NEGATIVE",ROUND(F88-F87,2)),"")</f>
        <v/>
      </c>
    </row>
    <row r="89" ht="22" customHeight="1">
      <c r="B89" s="5" t="inlineStr">
        <is>
          <t>R00085</t>
        </is>
      </c>
      <c r="C89" s="5" t="inlineStr">
        <is>
          <t>MTR-BLR-003</t>
        </is>
      </c>
      <c r="D89" s="5" t="inlineStr">
        <is>
          <t>Boiler House</t>
        </is>
      </c>
      <c r="E89" s="5" t="inlineStr">
        <is>
          <t>Steam Boiler 1</t>
        </is>
      </c>
      <c r="F89" s="5" t="inlineStr">
        <is>
          <t>2024-03-26 08:00</t>
        </is>
      </c>
      <c r="G89" s="11" t="n">
        <v>57143.73</v>
      </c>
      <c r="H89" s="5" t="inlineStr">
        <is>
          <t>m3</t>
        </is>
      </c>
      <c r="I89" s="5" t="inlineStr">
        <is>
          <t>cumulative</t>
        </is>
      </c>
      <c r="J89" s="5" t="inlineStr">
        <is>
          <t>AB</t>
        </is>
      </c>
      <c r="K89" s="5" t="inlineStr"/>
      <c r="L89" s="7">
        <f>IFERROR(IF(F89&lt;F88,"NEGATIVE",ROUND(F89-F88,2)),"")</f>
        <v/>
      </c>
    </row>
    <row r="90" ht="22" customHeight="1">
      <c r="B90" s="8" t="inlineStr">
        <is>
          <t>R00086</t>
        </is>
      </c>
      <c r="C90" s="8" t="inlineStr">
        <is>
          <t>MTR-BLR-003</t>
        </is>
      </c>
      <c r="D90" s="8" t="inlineStr">
        <is>
          <t>Boiler House</t>
        </is>
      </c>
      <c r="E90" s="8" t="inlineStr">
        <is>
          <t>Steam Boiler 1</t>
        </is>
      </c>
      <c r="F90" s="8" t="inlineStr">
        <is>
          <t>2024-03-27 08:00</t>
        </is>
      </c>
      <c r="G90" s="12" t="n">
        <v>57162.52</v>
      </c>
      <c r="H90" s="8" t="inlineStr">
        <is>
          <t>m3</t>
        </is>
      </c>
      <c r="I90" s="8" t="inlineStr">
        <is>
          <t>cumulative</t>
        </is>
      </c>
      <c r="J90" s="8" t="inlineStr">
        <is>
          <t>EF</t>
        </is>
      </c>
      <c r="K90" s="8" t="inlineStr"/>
      <c r="L90" s="10">
        <f>IFERROR(IF(F90&lt;F89,"NEGATIVE",ROUND(F90-F89,2)),"")</f>
        <v/>
      </c>
    </row>
    <row r="91" ht="22" customHeight="1">
      <c r="B91" s="5" t="inlineStr">
        <is>
          <t>R00087</t>
        </is>
      </c>
      <c r="C91" s="5" t="inlineStr">
        <is>
          <t>MTR-BLR-003</t>
        </is>
      </c>
      <c r="D91" s="5" t="inlineStr">
        <is>
          <t>Boiler House</t>
        </is>
      </c>
      <c r="E91" s="5" t="inlineStr">
        <is>
          <t>Steam Boiler 1</t>
        </is>
      </c>
      <c r="F91" s="5" t="inlineStr">
        <is>
          <t>2024-03-28 08:00</t>
        </is>
      </c>
      <c r="G91" s="11" t="n">
        <v>57183.27</v>
      </c>
      <c r="H91" s="5" t="inlineStr">
        <is>
          <t>m3</t>
        </is>
      </c>
      <c r="I91" s="5" t="inlineStr">
        <is>
          <t>cumulative</t>
        </is>
      </c>
      <c r="J91" s="5" t="inlineStr">
        <is>
          <t>CD</t>
        </is>
      </c>
      <c r="K91" s="5" t="inlineStr"/>
      <c r="L91" s="7">
        <f>IFERROR(IF(F91&lt;F90,"NEGATIVE",ROUND(F91-F90,2)),"")</f>
        <v/>
      </c>
    </row>
    <row r="92" ht="22" customHeight="1">
      <c r="B92" s="8" t="inlineStr">
        <is>
          <t>R00088</t>
        </is>
      </c>
      <c r="C92" s="8" t="inlineStr">
        <is>
          <t>MTR-BLR-003</t>
        </is>
      </c>
      <c r="D92" s="8" t="inlineStr">
        <is>
          <t>Boiler House</t>
        </is>
      </c>
      <c r="E92" s="8" t="inlineStr">
        <is>
          <t>Steam Boiler 1</t>
        </is>
      </c>
      <c r="F92" s="8" t="inlineStr">
        <is>
          <t>2024-03-29 08:00</t>
        </is>
      </c>
      <c r="G92" s="12" t="n">
        <v>57205.72</v>
      </c>
      <c r="H92" s="8" t="inlineStr">
        <is>
          <t>m3</t>
        </is>
      </c>
      <c r="I92" s="8" t="inlineStr">
        <is>
          <t>cumulative</t>
        </is>
      </c>
      <c r="J92" s="8" t="inlineStr">
        <is>
          <t>KL</t>
        </is>
      </c>
      <c r="K92" s="8" t="inlineStr"/>
      <c r="L92" s="10">
        <f>IFERROR(IF(F92&lt;F91,"NEGATIVE",ROUND(F92-F91,2)),"")</f>
        <v/>
      </c>
    </row>
    <row r="93" ht="22" customHeight="1">
      <c r="B93" s="5" t="inlineStr">
        <is>
          <t>R00089</t>
        </is>
      </c>
      <c r="C93" s="5" t="inlineStr">
        <is>
          <t>MTR-BLR-003</t>
        </is>
      </c>
      <c r="D93" s="5" t="inlineStr">
        <is>
          <t>Boiler House</t>
        </is>
      </c>
      <c r="E93" s="5" t="inlineStr">
        <is>
          <t>Steam Boiler 1</t>
        </is>
      </c>
      <c r="F93" s="5" t="inlineStr">
        <is>
          <t>2024-03-30 08:00</t>
        </is>
      </c>
      <c r="G93" s="11" t="n">
        <v>57223.62</v>
      </c>
      <c r="H93" s="5" t="inlineStr">
        <is>
          <t>m3</t>
        </is>
      </c>
      <c r="I93" s="5" t="inlineStr">
        <is>
          <t>cumulative</t>
        </is>
      </c>
      <c r="J93" s="5" t="inlineStr">
        <is>
          <t>CD</t>
        </is>
      </c>
      <c r="K93" s="5" t="inlineStr"/>
      <c r="L93" s="7">
        <f>IFERROR(IF(F93&lt;F92,"NEGATIVE",ROUND(F93-F92,2)),"")</f>
        <v/>
      </c>
    </row>
    <row r="94" ht="22" customHeight="1">
      <c r="B94" s="8" t="inlineStr">
        <is>
          <t>R00090</t>
        </is>
      </c>
      <c r="C94" s="8" t="inlineStr">
        <is>
          <t>MTR-BLR-003</t>
        </is>
      </c>
      <c r="D94" s="8" t="inlineStr">
        <is>
          <t>Boiler House</t>
        </is>
      </c>
      <c r="E94" s="8" t="inlineStr">
        <is>
          <t>Steam Boiler 1</t>
        </is>
      </c>
      <c r="F94" s="8" t="inlineStr">
        <is>
          <t>2024-03-31 08:00</t>
        </is>
      </c>
      <c r="G94" s="12" t="n">
        <v>57233.79</v>
      </c>
      <c r="H94" s="8" t="inlineStr">
        <is>
          <t>m3</t>
        </is>
      </c>
      <c r="I94" s="8" t="inlineStr">
        <is>
          <t>cumulative</t>
        </is>
      </c>
      <c r="J94" s="8" t="inlineStr">
        <is>
          <t>AB</t>
        </is>
      </c>
      <c r="K94" s="8" t="inlineStr"/>
      <c r="L94" s="10">
        <f>IFERROR(IF(F94&lt;F93,"NEGATIVE",ROUND(F94-F93,2)),"")</f>
        <v/>
      </c>
    </row>
    <row r="95" ht="22" customHeight="1">
      <c r="B95" s="5" t="inlineStr">
        <is>
          <t>R00091</t>
        </is>
      </c>
      <c r="C95" s="5" t="inlineStr">
        <is>
          <t>MTR-BLR-003</t>
        </is>
      </c>
      <c r="D95" s="5" t="inlineStr">
        <is>
          <t>Boiler House</t>
        </is>
      </c>
      <c r="E95" s="5" t="inlineStr">
        <is>
          <t>Steam Boiler 1</t>
        </is>
      </c>
      <c r="F95" s="5" t="inlineStr">
        <is>
          <t>2024-04-01 08:00</t>
        </is>
      </c>
      <c r="G95" s="11" t="n">
        <v>57255.05</v>
      </c>
      <c r="H95" s="5" t="inlineStr">
        <is>
          <t>m3</t>
        </is>
      </c>
      <c r="I95" s="5" t="inlineStr">
        <is>
          <t>cumulative</t>
        </is>
      </c>
      <c r="J95" s="5" t="inlineStr">
        <is>
          <t>EF</t>
        </is>
      </c>
      <c r="K95" s="5" t="inlineStr"/>
      <c r="L95" s="7">
        <f>IFERROR(IF(F95&lt;F94,"NEGATIVE",ROUND(F95-F94,2)),"")</f>
        <v/>
      </c>
    </row>
    <row r="96" ht="22" customHeight="1">
      <c r="B96" s="8" t="inlineStr">
        <is>
          <t>R00092</t>
        </is>
      </c>
      <c r="C96" s="8" t="inlineStr">
        <is>
          <t>MTR-BLR-003</t>
        </is>
      </c>
      <c r="D96" s="8" t="inlineStr">
        <is>
          <t>Boiler House</t>
        </is>
      </c>
      <c r="E96" s="8" t="inlineStr">
        <is>
          <t>Steam Boiler 1</t>
        </is>
      </c>
      <c r="F96" s="8" t="inlineStr">
        <is>
          <t>2024-04-02 08:00</t>
        </is>
      </c>
      <c r="G96" s="12" t="n">
        <v>57276.56</v>
      </c>
      <c r="H96" s="8" t="inlineStr">
        <is>
          <t>m3</t>
        </is>
      </c>
      <c r="I96" s="8" t="inlineStr">
        <is>
          <t>cumulative</t>
        </is>
      </c>
      <c r="J96" s="8" t="inlineStr">
        <is>
          <t>EF</t>
        </is>
      </c>
      <c r="K96" s="8" t="inlineStr"/>
      <c r="L96" s="10">
        <f>IFERROR(IF(F96&lt;F95,"NEGATIVE",ROUND(F96-F95,2)),"")</f>
        <v/>
      </c>
    </row>
    <row r="97" ht="22" customHeight="1">
      <c r="B97" s="5" t="inlineStr">
        <is>
          <t>R00093</t>
        </is>
      </c>
      <c r="C97" s="5" t="inlineStr">
        <is>
          <t>MTR-BLR-003</t>
        </is>
      </c>
      <c r="D97" s="5" t="inlineStr">
        <is>
          <t>Boiler House</t>
        </is>
      </c>
      <c r="E97" s="5" t="inlineStr">
        <is>
          <t>Steam Boiler 1</t>
        </is>
      </c>
      <c r="F97" s="5" t="inlineStr">
        <is>
          <t>2024-04-03 08:00</t>
        </is>
      </c>
      <c r="G97" s="11" t="n">
        <v>57298.93</v>
      </c>
      <c r="H97" s="5" t="inlineStr">
        <is>
          <t>m3</t>
        </is>
      </c>
      <c r="I97" s="5" t="inlineStr">
        <is>
          <t>cumulative</t>
        </is>
      </c>
      <c r="J97" s="5" t="inlineStr">
        <is>
          <t>EF</t>
        </is>
      </c>
      <c r="K97" s="5" t="inlineStr"/>
      <c r="L97" s="7">
        <f>IFERROR(IF(F97&lt;F96,"NEGATIVE",ROUND(F97-F96,2)),"")</f>
        <v/>
      </c>
    </row>
    <row r="98" ht="22" customHeight="1">
      <c r="B98" s="8" t="inlineStr">
        <is>
          <t>R00094</t>
        </is>
      </c>
      <c r="C98" s="8" t="inlineStr">
        <is>
          <t>MTR-BLR-003</t>
        </is>
      </c>
      <c r="D98" s="8" t="inlineStr">
        <is>
          <t>Boiler House</t>
        </is>
      </c>
      <c r="E98" s="8" t="inlineStr">
        <is>
          <t>Steam Boiler 1</t>
        </is>
      </c>
      <c r="F98" s="8" t="inlineStr">
        <is>
          <t>2024-04-04 08:00</t>
        </is>
      </c>
      <c r="G98" s="12" t="n">
        <v>57321.41</v>
      </c>
      <c r="H98" s="8" t="inlineStr">
        <is>
          <t>m3</t>
        </is>
      </c>
      <c r="I98" s="8" t="inlineStr">
        <is>
          <t>cumulative</t>
        </is>
      </c>
      <c r="J98" s="8" t="inlineStr">
        <is>
          <t>GH</t>
        </is>
      </c>
      <c r="K98" s="8" t="inlineStr"/>
      <c r="L98" s="10">
        <f>IFERROR(IF(F98&lt;F97,"NEGATIVE",ROUND(F98-F97,2)),"")</f>
        <v/>
      </c>
    </row>
    <row r="99" ht="22" customHeight="1">
      <c r="B99" s="5" t="inlineStr">
        <is>
          <t>R00095</t>
        </is>
      </c>
      <c r="C99" s="5" t="inlineStr">
        <is>
          <t>MTR-BLR-003</t>
        </is>
      </c>
      <c r="D99" s="5" t="inlineStr">
        <is>
          <t>Boiler House</t>
        </is>
      </c>
      <c r="E99" s="5" t="inlineStr">
        <is>
          <t>Steam Boiler 1</t>
        </is>
      </c>
      <c r="F99" s="5" t="inlineStr">
        <is>
          <t>2024-04-05 08:00</t>
        </is>
      </c>
      <c r="G99" s="11" t="n">
        <v>57341.18</v>
      </c>
      <c r="H99" s="5" t="inlineStr">
        <is>
          <t>m3</t>
        </is>
      </c>
      <c r="I99" s="5" t="inlineStr">
        <is>
          <t>cumulative</t>
        </is>
      </c>
      <c r="J99" s="5" t="inlineStr">
        <is>
          <t>GH</t>
        </is>
      </c>
      <c r="K99" s="5" t="inlineStr"/>
      <c r="L99" s="7">
        <f>IFERROR(IF(F99&lt;F98,"NEGATIVE",ROUND(F99-F98,2)),"")</f>
        <v/>
      </c>
    </row>
    <row r="100" ht="22" customHeight="1">
      <c r="B100" s="8" t="inlineStr">
        <is>
          <t>R00096</t>
        </is>
      </c>
      <c r="C100" s="8" t="inlineStr">
        <is>
          <t>MTR-BLR-003</t>
        </is>
      </c>
      <c r="D100" s="8" t="inlineStr">
        <is>
          <t>Boiler House</t>
        </is>
      </c>
      <c r="E100" s="8" t="inlineStr">
        <is>
          <t>Steam Boiler 1</t>
        </is>
      </c>
      <c r="F100" s="8" t="inlineStr">
        <is>
          <t>2024-04-06 08:00</t>
        </is>
      </c>
      <c r="G100" s="12" t="n">
        <v>57355.9</v>
      </c>
      <c r="H100" s="8" t="inlineStr">
        <is>
          <t>m3</t>
        </is>
      </c>
      <c r="I100" s="8" t="inlineStr">
        <is>
          <t>cumulative</t>
        </is>
      </c>
      <c r="J100" s="8" t="inlineStr">
        <is>
          <t>CD</t>
        </is>
      </c>
      <c r="K100" s="8" t="inlineStr"/>
      <c r="L100" s="10">
        <f>IFERROR(IF(F100&lt;F99,"NEGATIVE",ROUND(F100-F99,2)),"")</f>
        <v/>
      </c>
    </row>
    <row r="101" ht="22" customHeight="1">
      <c r="B101" s="5" t="inlineStr">
        <is>
          <t>R00097</t>
        </is>
      </c>
      <c r="C101" s="5" t="inlineStr">
        <is>
          <t>MTR-BLR-003</t>
        </is>
      </c>
      <c r="D101" s="5" t="inlineStr">
        <is>
          <t>Boiler House</t>
        </is>
      </c>
      <c r="E101" s="5" t="inlineStr">
        <is>
          <t>Steam Boiler 1</t>
        </is>
      </c>
      <c r="F101" s="5" t="inlineStr">
        <is>
          <t>2024-04-07 08:00</t>
        </is>
      </c>
      <c r="G101" s="11" t="n">
        <v>57368.02</v>
      </c>
      <c r="H101" s="5" t="inlineStr">
        <is>
          <t>m3</t>
        </is>
      </c>
      <c r="I101" s="5" t="inlineStr">
        <is>
          <t>cumulative</t>
        </is>
      </c>
      <c r="J101" s="5" t="inlineStr">
        <is>
          <t>EF</t>
        </is>
      </c>
      <c r="K101" s="5" t="inlineStr"/>
      <c r="L101" s="7">
        <f>IFERROR(IF(F101&lt;F100,"NEGATIVE",ROUND(F101-F100,2)),"")</f>
        <v/>
      </c>
    </row>
    <row r="102" ht="22" customHeight="1">
      <c r="B102" s="8" t="inlineStr">
        <is>
          <t>R00098</t>
        </is>
      </c>
      <c r="C102" s="8" t="inlineStr">
        <is>
          <t>MTR-BLR-003</t>
        </is>
      </c>
      <c r="D102" s="8" t="inlineStr">
        <is>
          <t>Boiler House</t>
        </is>
      </c>
      <c r="E102" s="8" t="inlineStr">
        <is>
          <t>Steam Boiler 1</t>
        </is>
      </c>
      <c r="F102" s="8" t="inlineStr">
        <is>
          <t>2024-04-08 08:00</t>
        </is>
      </c>
      <c r="G102" s="12" t="n">
        <v>57387.93</v>
      </c>
      <c r="H102" s="8" t="inlineStr">
        <is>
          <t>m3</t>
        </is>
      </c>
      <c r="I102" s="8" t="inlineStr">
        <is>
          <t>cumulative</t>
        </is>
      </c>
      <c r="J102" s="8" t="inlineStr">
        <is>
          <t>EF</t>
        </is>
      </c>
      <c r="K102" s="8" t="inlineStr"/>
      <c r="L102" s="10">
        <f>IFERROR(IF(F102&lt;F101,"NEGATIVE",ROUND(F102-F101,2)),"")</f>
        <v/>
      </c>
    </row>
    <row r="103" ht="22" customHeight="1">
      <c r="B103" s="5" t="inlineStr">
        <is>
          <t>R00099</t>
        </is>
      </c>
      <c r="C103" s="5" t="inlineStr">
        <is>
          <t>MTR-BLR-003</t>
        </is>
      </c>
      <c r="D103" s="5" t="inlineStr">
        <is>
          <t>Boiler House</t>
        </is>
      </c>
      <c r="E103" s="5" t="inlineStr">
        <is>
          <t>Steam Boiler 1</t>
        </is>
      </c>
      <c r="F103" s="5" t="inlineStr">
        <is>
          <t>2024-04-09 08:00</t>
        </is>
      </c>
      <c r="G103" s="11" t="n">
        <v>57409.25</v>
      </c>
      <c r="H103" s="5" t="inlineStr">
        <is>
          <t>m3</t>
        </is>
      </c>
      <c r="I103" s="5" t="inlineStr">
        <is>
          <t>cumulative</t>
        </is>
      </c>
      <c r="J103" s="5" t="inlineStr">
        <is>
          <t>EF</t>
        </is>
      </c>
      <c r="K103" s="5" t="inlineStr"/>
      <c r="L103" s="7">
        <f>IFERROR(IF(F103&lt;F102,"NEGATIVE",ROUND(F103-F102,2)),"")</f>
        <v/>
      </c>
    </row>
    <row r="104" ht="22" customHeight="1">
      <c r="B104" s="8" t="inlineStr">
        <is>
          <t>R00100</t>
        </is>
      </c>
      <c r="C104" s="8" t="inlineStr">
        <is>
          <t>MTR-BLR-003</t>
        </is>
      </c>
      <c r="D104" s="8" t="inlineStr">
        <is>
          <t>Boiler House</t>
        </is>
      </c>
      <c r="E104" s="8" t="inlineStr">
        <is>
          <t>Steam Boiler 1</t>
        </is>
      </c>
      <c r="F104" s="8" t="inlineStr">
        <is>
          <t>2024-04-10 08:00</t>
        </is>
      </c>
      <c r="G104" s="12" t="n">
        <v>57428.98</v>
      </c>
      <c r="H104" s="8" t="inlineStr">
        <is>
          <t>m3</t>
        </is>
      </c>
      <c r="I104" s="8" t="inlineStr">
        <is>
          <t>cumulative</t>
        </is>
      </c>
      <c r="J104" s="8" t="inlineStr">
        <is>
          <t>GH</t>
        </is>
      </c>
      <c r="K104" s="8" t="inlineStr"/>
      <c r="L104" s="10">
        <f>IFERROR(IF(F104&lt;F103,"NEGATIVE",ROUND(F104-F103,2)),"")</f>
        <v/>
      </c>
    </row>
    <row r="105" ht="22" customHeight="1">
      <c r="B105" s="5" t="inlineStr">
        <is>
          <t>R00101</t>
        </is>
      </c>
      <c r="C105" s="5" t="inlineStr">
        <is>
          <t>MTR-BLR-003</t>
        </is>
      </c>
      <c r="D105" s="5" t="inlineStr">
        <is>
          <t>Boiler House</t>
        </is>
      </c>
      <c r="E105" s="5" t="inlineStr">
        <is>
          <t>Steam Boiler 1</t>
        </is>
      </c>
      <c r="F105" s="5" t="inlineStr">
        <is>
          <t>2024-04-11 08:00</t>
        </is>
      </c>
      <c r="G105" s="11" t="n">
        <v>57451.35</v>
      </c>
      <c r="H105" s="5" t="inlineStr">
        <is>
          <t>m3</t>
        </is>
      </c>
      <c r="I105" s="5" t="inlineStr">
        <is>
          <t>cumulative</t>
        </is>
      </c>
      <c r="J105" s="5" t="inlineStr">
        <is>
          <t>CD</t>
        </is>
      </c>
      <c r="K105" s="5" t="inlineStr"/>
      <c r="L105" s="7">
        <f>IFERROR(IF(F105&lt;F104,"NEGATIVE",ROUND(F105-F104,2)),"")</f>
        <v/>
      </c>
    </row>
    <row r="106" ht="22" customHeight="1">
      <c r="B106" s="8" t="inlineStr">
        <is>
          <t>R00102</t>
        </is>
      </c>
      <c r="C106" s="8" t="inlineStr">
        <is>
          <t>MTR-BLR-003</t>
        </is>
      </c>
      <c r="D106" s="8" t="inlineStr">
        <is>
          <t>Boiler House</t>
        </is>
      </c>
      <c r="E106" s="8" t="inlineStr">
        <is>
          <t>Steam Boiler 1</t>
        </is>
      </c>
      <c r="F106" s="8" t="inlineStr">
        <is>
          <t>2024-04-12 08:00</t>
        </is>
      </c>
      <c r="G106" s="12" t="n">
        <v>57473.73</v>
      </c>
      <c r="H106" s="8" t="inlineStr">
        <is>
          <t>m3</t>
        </is>
      </c>
      <c r="I106" s="8" t="inlineStr">
        <is>
          <t>cumulative</t>
        </is>
      </c>
      <c r="J106" s="8" t="inlineStr">
        <is>
          <t>IJ</t>
        </is>
      </c>
      <c r="K106" s="8" t="inlineStr"/>
      <c r="L106" s="10">
        <f>IFERROR(IF(F106&lt;F105,"NEGATIVE",ROUND(F106-F105,2)),"")</f>
        <v/>
      </c>
    </row>
    <row r="107" ht="22" customHeight="1">
      <c r="B107" s="5" t="inlineStr">
        <is>
          <t>R00103</t>
        </is>
      </c>
      <c r="C107" s="5" t="inlineStr">
        <is>
          <t>MTR-BLR-003</t>
        </is>
      </c>
      <c r="D107" s="5" t="inlineStr">
        <is>
          <t>Boiler House</t>
        </is>
      </c>
      <c r="E107" s="5" t="inlineStr">
        <is>
          <t>Steam Boiler 1</t>
        </is>
      </c>
      <c r="F107" s="5" t="inlineStr">
        <is>
          <t>2024-04-13 08:00</t>
        </is>
      </c>
      <c r="G107" s="11" t="n">
        <v>57491.86</v>
      </c>
      <c r="H107" s="5" t="inlineStr">
        <is>
          <t>m3</t>
        </is>
      </c>
      <c r="I107" s="5" t="inlineStr">
        <is>
          <t>cumulative</t>
        </is>
      </c>
      <c r="J107" s="5" t="inlineStr">
        <is>
          <t>CD</t>
        </is>
      </c>
      <c r="K107" s="5" t="inlineStr"/>
      <c r="L107" s="7">
        <f>IFERROR(IF(F107&lt;F106,"NEGATIVE",ROUND(F107-F106,2)),"")</f>
        <v/>
      </c>
    </row>
    <row r="108" ht="22" customHeight="1">
      <c r="B108" s="8" t="inlineStr">
        <is>
          <t>R00104</t>
        </is>
      </c>
      <c r="C108" s="8" t="inlineStr">
        <is>
          <t>MTR-BLR-003</t>
        </is>
      </c>
      <c r="D108" s="8" t="inlineStr">
        <is>
          <t>Boiler House</t>
        </is>
      </c>
      <c r="E108" s="8" t="inlineStr">
        <is>
          <t>Steam Boiler 1</t>
        </is>
      </c>
      <c r="F108" s="8" t="inlineStr">
        <is>
          <t>2024-04-14 08:00</t>
        </is>
      </c>
      <c r="G108" s="12" t="n">
        <v>57503.55</v>
      </c>
      <c r="H108" s="8" t="inlineStr">
        <is>
          <t>m3</t>
        </is>
      </c>
      <c r="I108" s="8" t="inlineStr">
        <is>
          <t>cumulative</t>
        </is>
      </c>
      <c r="J108" s="8" t="inlineStr">
        <is>
          <t>IJ</t>
        </is>
      </c>
      <c r="K108" s="8" t="inlineStr"/>
      <c r="L108" s="10">
        <f>IFERROR(IF(F108&lt;F107,"NEGATIVE",ROUND(F108-F107,2)),"")</f>
        <v/>
      </c>
    </row>
    <row r="109" ht="22" customHeight="1">
      <c r="B109" s="5" t="inlineStr">
        <is>
          <t>R00105</t>
        </is>
      </c>
      <c r="C109" s="5" t="inlineStr">
        <is>
          <t>MTR-BLR-003</t>
        </is>
      </c>
      <c r="D109" s="5" t="inlineStr">
        <is>
          <t>Boiler House</t>
        </is>
      </c>
      <c r="E109" s="5" t="inlineStr">
        <is>
          <t>Steam Boiler 1</t>
        </is>
      </c>
      <c r="F109" s="5" t="inlineStr">
        <is>
          <t>2024-04-15 08:00</t>
        </is>
      </c>
      <c r="G109" s="11" t="n">
        <v>57521.44</v>
      </c>
      <c r="H109" s="5" t="inlineStr">
        <is>
          <t>m3</t>
        </is>
      </c>
      <c r="I109" s="5" t="inlineStr">
        <is>
          <t>cumulative</t>
        </is>
      </c>
      <c r="J109" s="5" t="inlineStr">
        <is>
          <t>GH</t>
        </is>
      </c>
      <c r="K109" s="5" t="inlineStr"/>
      <c r="L109" s="7">
        <f>IFERROR(IF(F109&lt;F108,"NEGATIVE",ROUND(F109-F108,2)),"")</f>
        <v/>
      </c>
    </row>
    <row r="110" ht="22" customHeight="1">
      <c r="B110" s="8" t="inlineStr">
        <is>
          <t>R00106</t>
        </is>
      </c>
      <c r="C110" s="8" t="inlineStr">
        <is>
          <t>MTR-BLR-003</t>
        </is>
      </c>
      <c r="D110" s="8" t="inlineStr">
        <is>
          <t>Boiler House</t>
        </is>
      </c>
      <c r="E110" s="8" t="inlineStr">
        <is>
          <t>Steam Boiler 1</t>
        </is>
      </c>
      <c r="F110" s="8" t="inlineStr">
        <is>
          <t>2024-04-16 08:00</t>
        </is>
      </c>
      <c r="G110" s="12" t="n">
        <v>57539.36</v>
      </c>
      <c r="H110" s="8" t="inlineStr">
        <is>
          <t>m3</t>
        </is>
      </c>
      <c r="I110" s="8" t="inlineStr">
        <is>
          <t>cumulative</t>
        </is>
      </c>
      <c r="J110" s="8" t="inlineStr">
        <is>
          <t>EF</t>
        </is>
      </c>
      <c r="K110" s="8" t="inlineStr"/>
      <c r="L110" s="10">
        <f>IFERROR(IF(F110&lt;F109,"NEGATIVE",ROUND(F110-F109,2)),"")</f>
        <v/>
      </c>
    </row>
    <row r="111" ht="22" customHeight="1">
      <c r="B111" s="5" t="inlineStr">
        <is>
          <t>R00107</t>
        </is>
      </c>
      <c r="C111" s="5" t="inlineStr">
        <is>
          <t>MTR-BLR-003</t>
        </is>
      </c>
      <c r="D111" s="5" t="inlineStr">
        <is>
          <t>Boiler House</t>
        </is>
      </c>
      <c r="E111" s="5" t="inlineStr">
        <is>
          <t>Steam Boiler 1</t>
        </is>
      </c>
      <c r="F111" s="5" t="inlineStr">
        <is>
          <t>2024-04-17 08:00</t>
        </is>
      </c>
      <c r="G111" s="11" t="n">
        <v>57557.48</v>
      </c>
      <c r="H111" s="5" t="inlineStr">
        <is>
          <t>m3</t>
        </is>
      </c>
      <c r="I111" s="5" t="inlineStr">
        <is>
          <t>cumulative</t>
        </is>
      </c>
      <c r="J111" s="5" t="inlineStr">
        <is>
          <t>KL</t>
        </is>
      </c>
      <c r="K111" s="5" t="inlineStr"/>
      <c r="L111" s="7">
        <f>IFERROR(IF(F111&lt;F110,"NEGATIVE",ROUND(F111-F110,2)),"")</f>
        <v/>
      </c>
    </row>
    <row r="112" ht="22" customHeight="1">
      <c r="B112" s="8" t="inlineStr">
        <is>
          <t>R00108</t>
        </is>
      </c>
      <c r="C112" s="8" t="inlineStr">
        <is>
          <t>MTR-BLR-003</t>
        </is>
      </c>
      <c r="D112" s="8" t="inlineStr">
        <is>
          <t>Boiler House</t>
        </is>
      </c>
      <c r="E112" s="8" t="inlineStr">
        <is>
          <t>Steam Boiler 1</t>
        </is>
      </c>
      <c r="F112" s="8" t="inlineStr">
        <is>
          <t>2024-04-18 08:00</t>
        </is>
      </c>
      <c r="G112" s="12" t="n">
        <v>57577.46</v>
      </c>
      <c r="H112" s="8" t="inlineStr">
        <is>
          <t>m3</t>
        </is>
      </c>
      <c r="I112" s="8" t="inlineStr">
        <is>
          <t>cumulative</t>
        </is>
      </c>
      <c r="J112" s="8" t="inlineStr">
        <is>
          <t>KL</t>
        </is>
      </c>
      <c r="K112" s="8" t="inlineStr"/>
      <c r="L112" s="10">
        <f>IFERROR(IF(F112&lt;F111,"NEGATIVE",ROUND(F112-F111,2)),"")</f>
        <v/>
      </c>
    </row>
    <row r="113" ht="22" customHeight="1">
      <c r="B113" s="5" t="inlineStr">
        <is>
          <t>R00109</t>
        </is>
      </c>
      <c r="C113" s="5" t="inlineStr">
        <is>
          <t>MTR-BLR-003</t>
        </is>
      </c>
      <c r="D113" s="5" t="inlineStr">
        <is>
          <t>Boiler House</t>
        </is>
      </c>
      <c r="E113" s="5" t="inlineStr">
        <is>
          <t>Steam Boiler 1</t>
        </is>
      </c>
      <c r="F113" s="5" t="inlineStr">
        <is>
          <t>2024-04-19 08:00</t>
        </is>
      </c>
      <c r="G113" s="11" t="n">
        <v>57595.55</v>
      </c>
      <c r="H113" s="5" t="inlineStr">
        <is>
          <t>m3</t>
        </is>
      </c>
      <c r="I113" s="5" t="inlineStr">
        <is>
          <t>cumulative</t>
        </is>
      </c>
      <c r="J113" s="5" t="inlineStr">
        <is>
          <t>AB</t>
        </is>
      </c>
      <c r="K113" s="5" t="inlineStr"/>
      <c r="L113" s="7">
        <f>IFERROR(IF(F113&lt;F112,"NEGATIVE",ROUND(F113-F112,2)),"")</f>
        <v/>
      </c>
    </row>
    <row r="114" ht="22" customHeight="1">
      <c r="B114" s="8" t="inlineStr">
        <is>
          <t>R00110</t>
        </is>
      </c>
      <c r="C114" s="8" t="inlineStr">
        <is>
          <t>MTR-BLR-003</t>
        </is>
      </c>
      <c r="D114" s="8" t="inlineStr">
        <is>
          <t>Boiler House</t>
        </is>
      </c>
      <c r="E114" s="8" t="inlineStr">
        <is>
          <t>Steam Boiler 1</t>
        </is>
      </c>
      <c r="F114" s="8" t="inlineStr">
        <is>
          <t>2024-04-20 08:00</t>
        </is>
      </c>
      <c r="G114" s="12" t="n">
        <v>57614.1</v>
      </c>
      <c r="H114" s="8" t="inlineStr">
        <is>
          <t>m3</t>
        </is>
      </c>
      <c r="I114" s="8" t="inlineStr">
        <is>
          <t>cumulative</t>
        </is>
      </c>
      <c r="J114" s="8" t="inlineStr">
        <is>
          <t>GH</t>
        </is>
      </c>
      <c r="K114" s="8" t="inlineStr"/>
      <c r="L114" s="10">
        <f>IFERROR(IF(F114&lt;F113,"NEGATIVE",ROUND(F114-F113,2)),"")</f>
        <v/>
      </c>
    </row>
    <row r="115" ht="22" customHeight="1">
      <c r="B115" s="5" t="inlineStr">
        <is>
          <t>R00111</t>
        </is>
      </c>
      <c r="C115" s="5" t="inlineStr">
        <is>
          <t>MTR-BLR-003</t>
        </is>
      </c>
      <c r="D115" s="5" t="inlineStr">
        <is>
          <t>Boiler House</t>
        </is>
      </c>
      <c r="E115" s="5" t="inlineStr">
        <is>
          <t>Steam Boiler 1</t>
        </is>
      </c>
      <c r="F115" s="5" t="inlineStr">
        <is>
          <t>2024-04-21 08:00</t>
        </is>
      </c>
      <c r="G115" s="11" t="n">
        <v>57624.83</v>
      </c>
      <c r="H115" s="5" t="inlineStr">
        <is>
          <t>m3</t>
        </is>
      </c>
      <c r="I115" s="5" t="inlineStr">
        <is>
          <t>cumulative</t>
        </is>
      </c>
      <c r="J115" s="5" t="inlineStr">
        <is>
          <t>AB</t>
        </is>
      </c>
      <c r="K115" s="5" t="inlineStr"/>
      <c r="L115" s="7">
        <f>IFERROR(IF(F115&lt;F114,"NEGATIVE",ROUND(F115-F114,2)),"")</f>
        <v/>
      </c>
    </row>
    <row r="116" ht="22" customHeight="1">
      <c r="B116" s="8" t="inlineStr">
        <is>
          <t>R00112</t>
        </is>
      </c>
      <c r="C116" s="8" t="inlineStr">
        <is>
          <t>MTR-BLR-003</t>
        </is>
      </c>
      <c r="D116" s="8" t="inlineStr">
        <is>
          <t>Boiler House</t>
        </is>
      </c>
      <c r="E116" s="8" t="inlineStr">
        <is>
          <t>Steam Boiler 1</t>
        </is>
      </c>
      <c r="F116" s="8" t="inlineStr">
        <is>
          <t>2024-04-22 08:00</t>
        </is>
      </c>
      <c r="G116" s="12" t="n">
        <v>57645.78</v>
      </c>
      <c r="H116" s="8" t="inlineStr">
        <is>
          <t>m3</t>
        </is>
      </c>
      <c r="I116" s="8" t="inlineStr">
        <is>
          <t>cumulative</t>
        </is>
      </c>
      <c r="J116" s="8" t="inlineStr">
        <is>
          <t>IJ</t>
        </is>
      </c>
      <c r="K116" s="8" t="inlineStr"/>
      <c r="L116" s="10">
        <f>IFERROR(IF(F116&lt;F115,"NEGATIVE",ROUND(F116-F115,2)),"")</f>
        <v/>
      </c>
    </row>
    <row r="117" ht="22" customHeight="1">
      <c r="B117" s="5" t="inlineStr">
        <is>
          <t>R00113</t>
        </is>
      </c>
      <c r="C117" s="5" t="inlineStr">
        <is>
          <t>MTR-BLR-003</t>
        </is>
      </c>
      <c r="D117" s="5" t="inlineStr">
        <is>
          <t>Boiler House</t>
        </is>
      </c>
      <c r="E117" s="5" t="inlineStr">
        <is>
          <t>Steam Boiler 1</t>
        </is>
      </c>
      <c r="F117" s="5" t="inlineStr">
        <is>
          <t>2024-04-23 08:00</t>
        </is>
      </c>
      <c r="G117" s="11" t="n">
        <v>57666.79</v>
      </c>
      <c r="H117" s="5" t="inlineStr">
        <is>
          <t>m3</t>
        </is>
      </c>
      <c r="I117" s="5" t="inlineStr">
        <is>
          <t>cumulative</t>
        </is>
      </c>
      <c r="J117" s="5" t="inlineStr">
        <is>
          <t>GH</t>
        </is>
      </c>
      <c r="K117" s="5" t="inlineStr"/>
      <c r="L117" s="7">
        <f>IFERROR(IF(F117&lt;F116,"NEGATIVE",ROUND(F117-F116,2)),"")</f>
        <v/>
      </c>
    </row>
    <row r="118" ht="22" customHeight="1">
      <c r="B118" s="8" t="inlineStr">
        <is>
          <t>R00114</t>
        </is>
      </c>
      <c r="C118" s="8" t="inlineStr">
        <is>
          <t>MTR-BLR-003</t>
        </is>
      </c>
      <c r="D118" s="8" t="inlineStr">
        <is>
          <t>Boiler House</t>
        </is>
      </c>
      <c r="E118" s="8" t="inlineStr">
        <is>
          <t>Steam Boiler 1</t>
        </is>
      </c>
      <c r="F118" s="8" t="inlineStr">
        <is>
          <t>2024-04-24 08:00</t>
        </is>
      </c>
      <c r="G118" s="12" t="n">
        <v>57686.59</v>
      </c>
      <c r="H118" s="8" t="inlineStr">
        <is>
          <t>m3</t>
        </is>
      </c>
      <c r="I118" s="8" t="inlineStr">
        <is>
          <t>cumulative</t>
        </is>
      </c>
      <c r="J118" s="8" t="inlineStr">
        <is>
          <t>KL</t>
        </is>
      </c>
      <c r="K118" s="8" t="inlineStr"/>
      <c r="L118" s="10">
        <f>IFERROR(IF(F118&lt;F117,"NEGATIVE",ROUND(F118-F117,2)),"")</f>
        <v/>
      </c>
    </row>
    <row r="119" ht="22" customHeight="1">
      <c r="B119" s="5" t="inlineStr">
        <is>
          <t>R00115</t>
        </is>
      </c>
      <c r="C119" s="5" t="inlineStr">
        <is>
          <t>MTR-BLR-003</t>
        </is>
      </c>
      <c r="D119" s="5" t="inlineStr">
        <is>
          <t>Boiler House</t>
        </is>
      </c>
      <c r="E119" s="5" t="inlineStr">
        <is>
          <t>Steam Boiler 1</t>
        </is>
      </c>
      <c r="F119" s="5" t="inlineStr">
        <is>
          <t>2024-04-25 08:00</t>
        </is>
      </c>
      <c r="G119" s="11" t="n">
        <v>57706.72</v>
      </c>
      <c r="H119" s="5" t="inlineStr">
        <is>
          <t>m3</t>
        </is>
      </c>
      <c r="I119" s="5" t="inlineStr">
        <is>
          <t>cumulative</t>
        </is>
      </c>
      <c r="J119" s="5" t="inlineStr">
        <is>
          <t>IJ</t>
        </is>
      </c>
      <c r="K119" s="5" t="inlineStr"/>
      <c r="L119" s="7">
        <f>IFERROR(IF(F119&lt;F118,"NEGATIVE",ROUND(F119-F118,2)),"")</f>
        <v/>
      </c>
    </row>
    <row r="120" ht="22" customHeight="1">
      <c r="B120" s="8" t="inlineStr">
        <is>
          <t>R00116</t>
        </is>
      </c>
      <c r="C120" s="8" t="inlineStr">
        <is>
          <t>MTR-BLR-003</t>
        </is>
      </c>
      <c r="D120" s="8" t="inlineStr">
        <is>
          <t>Boiler House</t>
        </is>
      </c>
      <c r="E120" s="8" t="inlineStr">
        <is>
          <t>Steam Boiler 1</t>
        </is>
      </c>
      <c r="F120" s="8" t="inlineStr">
        <is>
          <t>2024-04-26 08:00</t>
        </is>
      </c>
      <c r="G120" s="12" t="n">
        <v>57727.49</v>
      </c>
      <c r="H120" s="8" t="inlineStr">
        <is>
          <t>m3</t>
        </is>
      </c>
      <c r="I120" s="8" t="inlineStr">
        <is>
          <t>cumulative</t>
        </is>
      </c>
      <c r="J120" s="8" t="inlineStr">
        <is>
          <t>EF</t>
        </is>
      </c>
      <c r="K120" s="8" t="inlineStr"/>
      <c r="L120" s="10">
        <f>IFERROR(IF(F120&lt;F119,"NEGATIVE",ROUND(F120-F119,2)),"")</f>
        <v/>
      </c>
    </row>
    <row r="121" ht="22" customHeight="1">
      <c r="B121" s="5" t="inlineStr">
        <is>
          <t>R00117</t>
        </is>
      </c>
      <c r="C121" s="5" t="inlineStr">
        <is>
          <t>MTR-BLR-003</t>
        </is>
      </c>
      <c r="D121" s="5" t="inlineStr">
        <is>
          <t>Boiler House</t>
        </is>
      </c>
      <c r="E121" s="5" t="inlineStr">
        <is>
          <t>Steam Boiler 1</t>
        </is>
      </c>
      <c r="F121" s="5" t="inlineStr">
        <is>
          <t>2024-04-27 08:00</t>
        </is>
      </c>
      <c r="G121" s="11" t="n">
        <v>57743.31</v>
      </c>
      <c r="H121" s="5" t="inlineStr">
        <is>
          <t>m3</t>
        </is>
      </c>
      <c r="I121" s="5" t="inlineStr">
        <is>
          <t>cumulative</t>
        </is>
      </c>
      <c r="J121" s="5" t="inlineStr">
        <is>
          <t>AB</t>
        </is>
      </c>
      <c r="K121" s="5" t="inlineStr"/>
      <c r="L121" s="7">
        <f>IFERROR(IF(F121&lt;F120,"NEGATIVE",ROUND(F121-F120,2)),"")</f>
        <v/>
      </c>
    </row>
    <row r="122" ht="22" customHeight="1">
      <c r="B122" s="8" t="inlineStr">
        <is>
          <t>R00118</t>
        </is>
      </c>
      <c r="C122" s="8" t="inlineStr">
        <is>
          <t>MTR-BLR-003</t>
        </is>
      </c>
      <c r="D122" s="8" t="inlineStr">
        <is>
          <t>Boiler House</t>
        </is>
      </c>
      <c r="E122" s="8" t="inlineStr">
        <is>
          <t>Steam Boiler 1</t>
        </is>
      </c>
      <c r="F122" s="8" t="inlineStr">
        <is>
          <t>2024-04-28 08:00</t>
        </is>
      </c>
      <c r="G122" s="12" t="n">
        <v>57753.77</v>
      </c>
      <c r="H122" s="8" t="inlineStr">
        <is>
          <t>m3</t>
        </is>
      </c>
      <c r="I122" s="8" t="inlineStr">
        <is>
          <t>cumulative</t>
        </is>
      </c>
      <c r="J122" s="8" t="inlineStr">
        <is>
          <t>KL</t>
        </is>
      </c>
      <c r="K122" s="8" t="inlineStr"/>
      <c r="L122" s="10">
        <f>IFERROR(IF(F122&lt;F121,"NEGATIVE",ROUND(F122-F121,2)),"")</f>
        <v/>
      </c>
    </row>
    <row r="123" ht="22" customHeight="1">
      <c r="B123" s="5" t="inlineStr">
        <is>
          <t>R00119</t>
        </is>
      </c>
      <c r="C123" s="5" t="inlineStr">
        <is>
          <t>MTR-BLR-003</t>
        </is>
      </c>
      <c r="D123" s="5" t="inlineStr">
        <is>
          <t>Boiler House</t>
        </is>
      </c>
      <c r="E123" s="5" t="inlineStr">
        <is>
          <t>Steam Boiler 1</t>
        </is>
      </c>
      <c r="F123" s="5" t="inlineStr">
        <is>
          <t>2024-04-29 08:00</t>
        </is>
      </c>
      <c r="G123" s="11" t="n">
        <v>57773.07</v>
      </c>
      <c r="H123" s="5" t="inlineStr">
        <is>
          <t>m3</t>
        </is>
      </c>
      <c r="I123" s="5" t="inlineStr">
        <is>
          <t>cumulative</t>
        </is>
      </c>
      <c r="J123" s="5" t="inlineStr">
        <is>
          <t>GH</t>
        </is>
      </c>
      <c r="K123" s="5" t="inlineStr"/>
      <c r="L123" s="7">
        <f>IFERROR(IF(F123&lt;F122,"NEGATIVE",ROUND(F123-F122,2)),"")</f>
        <v/>
      </c>
    </row>
    <row r="124" ht="22" customHeight="1">
      <c r="B124" s="8" t="inlineStr">
        <is>
          <t>R00120</t>
        </is>
      </c>
      <c r="C124" s="8" t="inlineStr">
        <is>
          <t>MTR-BLR-003</t>
        </is>
      </c>
      <c r="D124" s="8" t="inlineStr">
        <is>
          <t>Boiler House</t>
        </is>
      </c>
      <c r="E124" s="8" t="inlineStr">
        <is>
          <t>Steam Boiler 1</t>
        </is>
      </c>
      <c r="F124" s="8" t="inlineStr">
        <is>
          <t>2024-04-30 08:00</t>
        </is>
      </c>
      <c r="G124" s="12" t="n">
        <v>57792.08</v>
      </c>
      <c r="H124" s="8" t="inlineStr">
        <is>
          <t>m3</t>
        </is>
      </c>
      <c r="I124" s="8" t="inlineStr">
        <is>
          <t>cumulative</t>
        </is>
      </c>
      <c r="J124" s="8" t="inlineStr">
        <is>
          <t>IJ</t>
        </is>
      </c>
      <c r="K124" s="8" t="inlineStr"/>
      <c r="L124" s="10">
        <f>IFERROR(IF(F124&lt;F123,"NEGATIVE",ROUND(F124-F123,2)),"")</f>
        <v/>
      </c>
    </row>
    <row r="125" ht="22" customHeight="1">
      <c r="B125" s="5" t="inlineStr">
        <is>
          <t>R00121</t>
        </is>
      </c>
      <c r="C125" s="5" t="inlineStr">
        <is>
          <t>MTR-BLR-003</t>
        </is>
      </c>
      <c r="D125" s="5" t="inlineStr">
        <is>
          <t>Boiler House</t>
        </is>
      </c>
      <c r="E125" s="5" t="inlineStr">
        <is>
          <t>Steam Boiler 1</t>
        </is>
      </c>
      <c r="F125" s="5" t="inlineStr">
        <is>
          <t>2024-05-01 08:00</t>
        </is>
      </c>
      <c r="G125" s="11" t="n">
        <v>57810.8</v>
      </c>
      <c r="H125" s="5" t="inlineStr">
        <is>
          <t>m3</t>
        </is>
      </c>
      <c r="I125" s="5" t="inlineStr">
        <is>
          <t>cumulative</t>
        </is>
      </c>
      <c r="J125" s="5" t="inlineStr">
        <is>
          <t>IJ</t>
        </is>
      </c>
      <c r="K125" s="5" t="inlineStr"/>
      <c r="L125" s="7">
        <f>IFERROR(IF(F125&lt;F124,"NEGATIVE",ROUND(F125-F124,2)),"")</f>
        <v/>
      </c>
    </row>
    <row r="126" ht="22" customHeight="1">
      <c r="B126" s="8" t="inlineStr">
        <is>
          <t>R00122</t>
        </is>
      </c>
      <c r="C126" s="8" t="inlineStr">
        <is>
          <t>MTR-BLR-003</t>
        </is>
      </c>
      <c r="D126" s="8" t="inlineStr">
        <is>
          <t>Boiler House</t>
        </is>
      </c>
      <c r="E126" s="8" t="inlineStr">
        <is>
          <t>Steam Boiler 1</t>
        </is>
      </c>
      <c r="F126" s="8" t="inlineStr">
        <is>
          <t>2024-05-02 08:00</t>
        </is>
      </c>
      <c r="G126" s="12" t="n">
        <v>57829.76</v>
      </c>
      <c r="H126" s="8" t="inlineStr">
        <is>
          <t>m3</t>
        </is>
      </c>
      <c r="I126" s="8" t="inlineStr">
        <is>
          <t>cumulative</t>
        </is>
      </c>
      <c r="J126" s="8" t="inlineStr">
        <is>
          <t>KL</t>
        </is>
      </c>
      <c r="K126" s="8" t="inlineStr"/>
      <c r="L126" s="10">
        <f>IFERROR(IF(F126&lt;F125,"NEGATIVE",ROUND(F126-F125,2)),"")</f>
        <v/>
      </c>
    </row>
    <row r="127" ht="22" customHeight="1">
      <c r="B127" s="5" t="inlineStr">
        <is>
          <t>R00123</t>
        </is>
      </c>
      <c r="C127" s="5" t="inlineStr">
        <is>
          <t>MTR-BLR-003</t>
        </is>
      </c>
      <c r="D127" s="5" t="inlineStr">
        <is>
          <t>Boiler House</t>
        </is>
      </c>
      <c r="E127" s="5" t="inlineStr">
        <is>
          <t>Steam Boiler 1</t>
        </is>
      </c>
      <c r="F127" s="5" t="inlineStr">
        <is>
          <t>2024-05-03 08:00</t>
        </is>
      </c>
      <c r="G127" s="11" t="n">
        <v>57849.81</v>
      </c>
      <c r="H127" s="5" t="inlineStr">
        <is>
          <t>m3</t>
        </is>
      </c>
      <c r="I127" s="5" t="inlineStr">
        <is>
          <t>cumulative</t>
        </is>
      </c>
      <c r="J127" s="5" t="inlineStr">
        <is>
          <t>KL</t>
        </is>
      </c>
      <c r="K127" s="5" t="inlineStr"/>
      <c r="L127" s="7">
        <f>IFERROR(IF(F127&lt;F126,"NEGATIVE",ROUND(F127-F126,2)),"")</f>
        <v/>
      </c>
    </row>
    <row r="128" ht="22" customHeight="1">
      <c r="B128" s="8" t="inlineStr">
        <is>
          <t>R00124</t>
        </is>
      </c>
      <c r="C128" s="8" t="inlineStr">
        <is>
          <t>MTR-BLR-003</t>
        </is>
      </c>
      <c r="D128" s="8" t="inlineStr">
        <is>
          <t>Boiler House</t>
        </is>
      </c>
      <c r="E128" s="8" t="inlineStr">
        <is>
          <t>Steam Boiler 1</t>
        </is>
      </c>
      <c r="F128" s="8" t="inlineStr">
        <is>
          <t>2024-05-04 08:00</t>
        </is>
      </c>
      <c r="G128" s="12" t="n">
        <v>57866.75</v>
      </c>
      <c r="H128" s="8" t="inlineStr">
        <is>
          <t>m3</t>
        </is>
      </c>
      <c r="I128" s="8" t="inlineStr">
        <is>
          <t>cumulative</t>
        </is>
      </c>
      <c r="J128" s="8" t="inlineStr">
        <is>
          <t>AB</t>
        </is>
      </c>
      <c r="K128" s="8" t="inlineStr"/>
      <c r="L128" s="10">
        <f>IFERROR(IF(F128&lt;F127,"NEGATIVE",ROUND(F128-F127,2)),"")</f>
        <v/>
      </c>
    </row>
    <row r="129" ht="22" customHeight="1">
      <c r="B129" s="5" t="inlineStr">
        <is>
          <t>R00125</t>
        </is>
      </c>
      <c r="C129" s="5" t="inlineStr">
        <is>
          <t>MTR-BLR-003</t>
        </is>
      </c>
      <c r="D129" s="5" t="inlineStr">
        <is>
          <t>Boiler House</t>
        </is>
      </c>
      <c r="E129" s="5" t="inlineStr">
        <is>
          <t>Steam Boiler 1</t>
        </is>
      </c>
      <c r="F129" s="5" t="inlineStr">
        <is>
          <t>2024-05-05 08:00</t>
        </is>
      </c>
      <c r="G129" s="11" t="n">
        <v>57879.15</v>
      </c>
      <c r="H129" s="5" t="inlineStr">
        <is>
          <t>m3</t>
        </is>
      </c>
      <c r="I129" s="5" t="inlineStr">
        <is>
          <t>cumulative</t>
        </is>
      </c>
      <c r="J129" s="5" t="inlineStr">
        <is>
          <t>GH</t>
        </is>
      </c>
      <c r="K129" s="5" t="inlineStr"/>
      <c r="L129" s="7">
        <f>IFERROR(IF(F129&lt;F128,"NEGATIVE",ROUND(F129-F128,2)),"")</f>
        <v/>
      </c>
    </row>
    <row r="130" ht="22" customHeight="1">
      <c r="B130" s="8" t="inlineStr">
        <is>
          <t>R00126</t>
        </is>
      </c>
      <c r="C130" s="8" t="inlineStr">
        <is>
          <t>MTR-BLR-003</t>
        </is>
      </c>
      <c r="D130" s="8" t="inlineStr">
        <is>
          <t>Boiler House</t>
        </is>
      </c>
      <c r="E130" s="8" t="inlineStr">
        <is>
          <t>Steam Boiler 1</t>
        </is>
      </c>
      <c r="F130" s="8" t="inlineStr">
        <is>
          <t>2024-05-06 08:00</t>
        </is>
      </c>
      <c r="G130" s="12" t="n">
        <v>57903.38</v>
      </c>
      <c r="H130" s="8" t="inlineStr">
        <is>
          <t>m3</t>
        </is>
      </c>
      <c r="I130" s="8" t="inlineStr">
        <is>
          <t>cumulative</t>
        </is>
      </c>
      <c r="J130" s="8" t="inlineStr">
        <is>
          <t>AB</t>
        </is>
      </c>
      <c r="K130" s="8" t="inlineStr"/>
      <c r="L130" s="10">
        <f>IFERROR(IF(F130&lt;F129,"NEGATIVE",ROUND(F130-F129,2)),"")</f>
        <v/>
      </c>
    </row>
    <row r="131" ht="22" customHeight="1">
      <c r="B131" s="5" t="inlineStr">
        <is>
          <t>R00127</t>
        </is>
      </c>
      <c r="C131" s="5" t="inlineStr">
        <is>
          <t>MTR-BLR-003</t>
        </is>
      </c>
      <c r="D131" s="5" t="inlineStr">
        <is>
          <t>Boiler House</t>
        </is>
      </c>
      <c r="E131" s="5" t="inlineStr">
        <is>
          <t>Steam Boiler 1</t>
        </is>
      </c>
      <c r="F131" s="5" t="inlineStr">
        <is>
          <t>2024-05-07 08:00</t>
        </is>
      </c>
      <c r="G131" s="11" t="n">
        <v>57927.2</v>
      </c>
      <c r="H131" s="5" t="inlineStr">
        <is>
          <t>m3</t>
        </is>
      </c>
      <c r="I131" s="5" t="inlineStr">
        <is>
          <t>cumulative</t>
        </is>
      </c>
      <c r="J131" s="5" t="inlineStr">
        <is>
          <t>GH</t>
        </is>
      </c>
      <c r="K131" s="5" t="inlineStr"/>
      <c r="L131" s="7">
        <f>IFERROR(IF(F131&lt;F130,"NEGATIVE",ROUND(F131-F130,2)),"")</f>
        <v/>
      </c>
    </row>
    <row r="132" ht="22" customHeight="1">
      <c r="B132" s="8" t="inlineStr">
        <is>
          <t>R00128</t>
        </is>
      </c>
      <c r="C132" s="8" t="inlineStr">
        <is>
          <t>MTR-BLR-003</t>
        </is>
      </c>
      <c r="D132" s="8" t="inlineStr">
        <is>
          <t>Boiler House</t>
        </is>
      </c>
      <c r="E132" s="8" t="inlineStr">
        <is>
          <t>Steam Boiler 1</t>
        </is>
      </c>
      <c r="F132" s="8" t="inlineStr">
        <is>
          <t>2024-05-08 08:00</t>
        </is>
      </c>
      <c r="G132" s="12" t="n">
        <v>57947.65</v>
      </c>
      <c r="H132" s="8" t="inlineStr">
        <is>
          <t>m3</t>
        </is>
      </c>
      <c r="I132" s="8" t="inlineStr">
        <is>
          <t>cumulative</t>
        </is>
      </c>
      <c r="J132" s="8" t="inlineStr">
        <is>
          <t>EF</t>
        </is>
      </c>
      <c r="K132" s="8" t="inlineStr"/>
      <c r="L132" s="10">
        <f>IFERROR(IF(F132&lt;F131,"NEGATIVE",ROUND(F132-F131,2)),"")</f>
        <v/>
      </c>
    </row>
    <row r="133" ht="22" customHeight="1">
      <c r="B133" s="5" t="inlineStr">
        <is>
          <t>R00129</t>
        </is>
      </c>
      <c r="C133" s="5" t="inlineStr">
        <is>
          <t>MTR-BLR-003</t>
        </is>
      </c>
      <c r="D133" s="5" t="inlineStr">
        <is>
          <t>Boiler House</t>
        </is>
      </c>
      <c r="E133" s="5" t="inlineStr">
        <is>
          <t>Steam Boiler 1</t>
        </is>
      </c>
      <c r="F133" s="5" t="inlineStr">
        <is>
          <t>2024-05-09 08:00</t>
        </is>
      </c>
      <c r="G133" s="11" t="n">
        <v>57967.61</v>
      </c>
      <c r="H133" s="5" t="inlineStr">
        <is>
          <t>m3</t>
        </is>
      </c>
      <c r="I133" s="5" t="inlineStr">
        <is>
          <t>cumulative</t>
        </is>
      </c>
      <c r="J133" s="5" t="inlineStr">
        <is>
          <t>KL</t>
        </is>
      </c>
      <c r="K133" s="5" t="inlineStr"/>
      <c r="L133" s="7">
        <f>IFERROR(IF(F133&lt;F132,"NEGATIVE",ROUND(F133-F132,2)),"")</f>
        <v/>
      </c>
    </row>
    <row r="134" ht="22" customHeight="1">
      <c r="B134" s="8" t="inlineStr">
        <is>
          <t>R00130</t>
        </is>
      </c>
      <c r="C134" s="8" t="inlineStr">
        <is>
          <t>MTR-BLR-003</t>
        </is>
      </c>
      <c r="D134" s="8" t="inlineStr">
        <is>
          <t>Boiler House</t>
        </is>
      </c>
      <c r="E134" s="8" t="inlineStr">
        <is>
          <t>Steam Boiler 1</t>
        </is>
      </c>
      <c r="F134" s="8" t="inlineStr">
        <is>
          <t>2024-05-10 08:00</t>
        </is>
      </c>
      <c r="G134" s="12" t="n">
        <v>57989.86</v>
      </c>
      <c r="H134" s="8" t="inlineStr">
        <is>
          <t>m3</t>
        </is>
      </c>
      <c r="I134" s="8" t="inlineStr">
        <is>
          <t>cumulative</t>
        </is>
      </c>
      <c r="J134" s="8" t="inlineStr">
        <is>
          <t>KL</t>
        </is>
      </c>
      <c r="K134" s="8" t="inlineStr"/>
      <c r="L134" s="10">
        <f>IFERROR(IF(F134&lt;F133,"NEGATIVE",ROUND(F134-F133,2)),"")</f>
        <v/>
      </c>
    </row>
    <row r="135" ht="22" customHeight="1">
      <c r="B135" s="5" t="inlineStr">
        <is>
          <t>R00131</t>
        </is>
      </c>
      <c r="C135" s="5" t="inlineStr">
        <is>
          <t>MTR-BLR-003</t>
        </is>
      </c>
      <c r="D135" s="5" t="inlineStr">
        <is>
          <t>Boiler House</t>
        </is>
      </c>
      <c r="E135" s="5" t="inlineStr">
        <is>
          <t>Steam Boiler 1</t>
        </is>
      </c>
      <c r="F135" s="5" t="inlineStr">
        <is>
          <t>2024-05-11 08:00</t>
        </is>
      </c>
      <c r="G135" s="11" t="n">
        <v>58006.18</v>
      </c>
      <c r="H135" s="5" t="inlineStr">
        <is>
          <t>m3</t>
        </is>
      </c>
      <c r="I135" s="5" t="inlineStr">
        <is>
          <t>cumulative</t>
        </is>
      </c>
      <c r="J135" s="5" t="inlineStr">
        <is>
          <t>GH</t>
        </is>
      </c>
      <c r="K135" s="5" t="inlineStr"/>
      <c r="L135" s="7">
        <f>IFERROR(IF(F135&lt;F134,"NEGATIVE",ROUND(F135-F134,2)),"")</f>
        <v/>
      </c>
    </row>
    <row r="136" ht="22" customHeight="1">
      <c r="B136" s="8" t="inlineStr">
        <is>
          <t>R00132</t>
        </is>
      </c>
      <c r="C136" s="8" t="inlineStr">
        <is>
          <t>MTR-BLR-003</t>
        </is>
      </c>
      <c r="D136" s="8" t="inlineStr">
        <is>
          <t>Boiler House</t>
        </is>
      </c>
      <c r="E136" s="8" t="inlineStr">
        <is>
          <t>Steam Boiler 1</t>
        </is>
      </c>
      <c r="F136" s="8" t="inlineStr">
        <is>
          <t>2024-05-12 08:00</t>
        </is>
      </c>
      <c r="G136" s="12" t="n">
        <v>58015.73</v>
      </c>
      <c r="H136" s="8" t="inlineStr">
        <is>
          <t>m3</t>
        </is>
      </c>
      <c r="I136" s="8" t="inlineStr">
        <is>
          <t>cumulative</t>
        </is>
      </c>
      <c r="J136" s="8" t="inlineStr">
        <is>
          <t>EF</t>
        </is>
      </c>
      <c r="K136" s="8" t="inlineStr"/>
      <c r="L136" s="10">
        <f>IFERROR(IF(F136&lt;F135,"NEGATIVE",ROUND(F136-F135,2)),"")</f>
        <v/>
      </c>
    </row>
    <row r="137" ht="22" customHeight="1">
      <c r="B137" s="5" t="inlineStr">
        <is>
          <t>R00133</t>
        </is>
      </c>
      <c r="C137" s="5" t="inlineStr">
        <is>
          <t>MTR-BLR-003</t>
        </is>
      </c>
      <c r="D137" s="5" t="inlineStr">
        <is>
          <t>Boiler House</t>
        </is>
      </c>
      <c r="E137" s="5" t="inlineStr">
        <is>
          <t>Steam Boiler 1</t>
        </is>
      </c>
      <c r="F137" s="5" t="inlineStr">
        <is>
          <t>2024-05-13 08:00</t>
        </is>
      </c>
      <c r="G137" s="11" t="n">
        <v>58038.3</v>
      </c>
      <c r="H137" s="5" t="inlineStr">
        <is>
          <t>m3</t>
        </is>
      </c>
      <c r="I137" s="5" t="inlineStr">
        <is>
          <t>cumulative</t>
        </is>
      </c>
      <c r="J137" s="5" t="inlineStr">
        <is>
          <t>AB</t>
        </is>
      </c>
      <c r="K137" s="5" t="inlineStr"/>
      <c r="L137" s="7">
        <f>IFERROR(IF(F137&lt;F136,"NEGATIVE",ROUND(F137-F136,2)),"")</f>
        <v/>
      </c>
    </row>
    <row r="138" ht="22" customHeight="1">
      <c r="B138" s="8" t="inlineStr">
        <is>
          <t>R00134</t>
        </is>
      </c>
      <c r="C138" s="8" t="inlineStr">
        <is>
          <t>MTR-BLR-003</t>
        </is>
      </c>
      <c r="D138" s="8" t="inlineStr">
        <is>
          <t>Boiler House</t>
        </is>
      </c>
      <c r="E138" s="8" t="inlineStr">
        <is>
          <t>Steam Boiler 1</t>
        </is>
      </c>
      <c r="F138" s="8" t="inlineStr">
        <is>
          <t>2024-05-14 08:00</t>
        </is>
      </c>
      <c r="G138" s="12" t="n">
        <v>58062.42</v>
      </c>
      <c r="H138" s="8" t="inlineStr">
        <is>
          <t>m3</t>
        </is>
      </c>
      <c r="I138" s="8" t="inlineStr">
        <is>
          <t>cumulative</t>
        </is>
      </c>
      <c r="J138" s="8" t="inlineStr">
        <is>
          <t>GH</t>
        </is>
      </c>
      <c r="K138" s="8" t="inlineStr"/>
      <c r="L138" s="10">
        <f>IFERROR(IF(F138&lt;F137,"NEGATIVE",ROUND(F138-F137,2)),"")</f>
        <v/>
      </c>
    </row>
    <row r="139" ht="22" customHeight="1">
      <c r="B139" s="5" t="inlineStr">
        <is>
          <t>R00135</t>
        </is>
      </c>
      <c r="C139" s="5" t="inlineStr">
        <is>
          <t>MTR-BLR-003</t>
        </is>
      </c>
      <c r="D139" s="5" t="inlineStr">
        <is>
          <t>Boiler House</t>
        </is>
      </c>
      <c r="E139" s="5" t="inlineStr">
        <is>
          <t>Steam Boiler 1</t>
        </is>
      </c>
      <c r="F139" s="5" t="inlineStr">
        <is>
          <t>2024-05-15 08:00</t>
        </is>
      </c>
      <c r="G139" s="11" t="n">
        <v>58086.55</v>
      </c>
      <c r="H139" s="5" t="inlineStr">
        <is>
          <t>m3</t>
        </is>
      </c>
      <c r="I139" s="5" t="inlineStr">
        <is>
          <t>cumulative</t>
        </is>
      </c>
      <c r="J139" s="5" t="inlineStr">
        <is>
          <t>CD</t>
        </is>
      </c>
      <c r="K139" s="5" t="inlineStr"/>
      <c r="L139" s="7">
        <f>IFERROR(IF(F139&lt;F138,"NEGATIVE",ROUND(F139-F138,2)),"")</f>
        <v/>
      </c>
    </row>
    <row r="140" ht="22" customHeight="1">
      <c r="B140" s="8" t="inlineStr">
        <is>
          <t>R00136</t>
        </is>
      </c>
      <c r="C140" s="8" t="inlineStr">
        <is>
          <t>MTR-BLR-003</t>
        </is>
      </c>
      <c r="D140" s="8" t="inlineStr">
        <is>
          <t>Boiler House</t>
        </is>
      </c>
      <c r="E140" s="8" t="inlineStr">
        <is>
          <t>Steam Boiler 1</t>
        </is>
      </c>
      <c r="F140" s="8" t="inlineStr">
        <is>
          <t>2024-05-16 08:00</t>
        </is>
      </c>
      <c r="G140" s="12" t="n">
        <v>58109.95</v>
      </c>
      <c r="H140" s="8" t="inlineStr">
        <is>
          <t>m3</t>
        </is>
      </c>
      <c r="I140" s="8" t="inlineStr">
        <is>
          <t>cumulative</t>
        </is>
      </c>
      <c r="J140" s="8" t="inlineStr">
        <is>
          <t>EF</t>
        </is>
      </c>
      <c r="K140" s="8" t="inlineStr"/>
      <c r="L140" s="10">
        <f>IFERROR(IF(F140&lt;F139,"NEGATIVE",ROUND(F140-F139,2)),"")</f>
        <v/>
      </c>
    </row>
    <row r="141" ht="22" customHeight="1">
      <c r="B141" s="5" t="inlineStr">
        <is>
          <t>R00137</t>
        </is>
      </c>
      <c r="C141" s="5" t="inlineStr">
        <is>
          <t>MTR-BLR-003</t>
        </is>
      </c>
      <c r="D141" s="5" t="inlineStr">
        <is>
          <t>Boiler House</t>
        </is>
      </c>
      <c r="E141" s="5" t="inlineStr">
        <is>
          <t>Steam Boiler 1</t>
        </is>
      </c>
      <c r="F141" s="5" t="inlineStr">
        <is>
          <t>2024-05-17 08:00</t>
        </is>
      </c>
      <c r="G141" s="11" t="n">
        <v>58133.85</v>
      </c>
      <c r="H141" s="5" t="inlineStr">
        <is>
          <t>m3</t>
        </is>
      </c>
      <c r="I141" s="5" t="inlineStr">
        <is>
          <t>cumulative</t>
        </is>
      </c>
      <c r="J141" s="5" t="inlineStr">
        <is>
          <t>GH</t>
        </is>
      </c>
      <c r="K141" s="5" t="inlineStr"/>
      <c r="L141" s="7">
        <f>IFERROR(IF(F141&lt;F140,"NEGATIVE",ROUND(F141-F140,2)),"")</f>
        <v/>
      </c>
    </row>
    <row r="142" ht="22" customHeight="1">
      <c r="B142" s="8" t="inlineStr">
        <is>
          <t>R00138</t>
        </is>
      </c>
      <c r="C142" s="8" t="inlineStr">
        <is>
          <t>MTR-BLR-003</t>
        </is>
      </c>
      <c r="D142" s="8" t="inlineStr">
        <is>
          <t>Boiler House</t>
        </is>
      </c>
      <c r="E142" s="8" t="inlineStr">
        <is>
          <t>Steam Boiler 1</t>
        </is>
      </c>
      <c r="F142" s="8" t="inlineStr">
        <is>
          <t>2024-05-18 08:00</t>
        </is>
      </c>
      <c r="G142" s="12" t="n">
        <v>58151.76</v>
      </c>
      <c r="H142" s="8" t="inlineStr">
        <is>
          <t>m3</t>
        </is>
      </c>
      <c r="I142" s="8" t="inlineStr">
        <is>
          <t>cumulative</t>
        </is>
      </c>
      <c r="J142" s="8" t="inlineStr">
        <is>
          <t>CD</t>
        </is>
      </c>
      <c r="K142" s="8" t="inlineStr"/>
      <c r="L142" s="10">
        <f>IFERROR(IF(F142&lt;F141,"NEGATIVE",ROUND(F142-F141,2)),"")</f>
        <v/>
      </c>
    </row>
    <row r="143" ht="22" customHeight="1">
      <c r="B143" s="5" t="inlineStr">
        <is>
          <t>R00139</t>
        </is>
      </c>
      <c r="C143" s="5" t="inlineStr">
        <is>
          <t>MTR-BLR-003</t>
        </is>
      </c>
      <c r="D143" s="5" t="inlineStr">
        <is>
          <t>Boiler House</t>
        </is>
      </c>
      <c r="E143" s="5" t="inlineStr">
        <is>
          <t>Steam Boiler 1</t>
        </is>
      </c>
      <c r="F143" s="5" t="inlineStr">
        <is>
          <t>2024-05-19 08:00</t>
        </is>
      </c>
      <c r="G143" s="11" t="n">
        <v>58164.2</v>
      </c>
      <c r="H143" s="5" t="inlineStr">
        <is>
          <t>m3</t>
        </is>
      </c>
      <c r="I143" s="5" t="inlineStr">
        <is>
          <t>cumulative</t>
        </is>
      </c>
      <c r="J143" s="5" t="inlineStr">
        <is>
          <t>AB</t>
        </is>
      </c>
      <c r="K143" s="5" t="inlineStr"/>
      <c r="L143" s="7">
        <f>IFERROR(IF(F143&lt;F142,"NEGATIVE",ROUND(F143-F142,2)),"")</f>
        <v/>
      </c>
    </row>
    <row r="144" ht="22" customHeight="1">
      <c r="B144" s="8" t="inlineStr">
        <is>
          <t>R00140</t>
        </is>
      </c>
      <c r="C144" s="8" t="inlineStr">
        <is>
          <t>MTR-BLR-003</t>
        </is>
      </c>
      <c r="D144" s="8" t="inlineStr">
        <is>
          <t>Boiler House</t>
        </is>
      </c>
      <c r="E144" s="8" t="inlineStr">
        <is>
          <t>Steam Boiler 1</t>
        </is>
      </c>
      <c r="F144" s="8" t="inlineStr">
        <is>
          <t>2024-05-20 08:00</t>
        </is>
      </c>
      <c r="G144" s="12" t="n">
        <v>58182.5</v>
      </c>
      <c r="H144" s="8" t="inlineStr">
        <is>
          <t>m3</t>
        </is>
      </c>
      <c r="I144" s="8" t="inlineStr">
        <is>
          <t>cumulative</t>
        </is>
      </c>
      <c r="J144" s="8" t="inlineStr">
        <is>
          <t>GH</t>
        </is>
      </c>
      <c r="K144" s="8" t="inlineStr"/>
      <c r="L144" s="10">
        <f>IFERROR(IF(F144&lt;F143,"NEGATIVE",ROUND(F144-F143,2)),"")</f>
        <v/>
      </c>
    </row>
    <row r="145" ht="22" customHeight="1">
      <c r="B145" s="5" t="inlineStr">
        <is>
          <t>R00141</t>
        </is>
      </c>
      <c r="C145" s="5" t="inlineStr">
        <is>
          <t>MTR-BLR-003</t>
        </is>
      </c>
      <c r="D145" s="5" t="inlineStr">
        <is>
          <t>Boiler House</t>
        </is>
      </c>
      <c r="E145" s="5" t="inlineStr">
        <is>
          <t>Steam Boiler 1</t>
        </is>
      </c>
      <c r="F145" s="5" t="inlineStr">
        <is>
          <t>2024-05-21 08:00</t>
        </is>
      </c>
      <c r="G145" s="11" t="n">
        <v>58202.03</v>
      </c>
      <c r="H145" s="5" t="inlineStr">
        <is>
          <t>m3</t>
        </is>
      </c>
      <c r="I145" s="5" t="inlineStr">
        <is>
          <t>cumulative</t>
        </is>
      </c>
      <c r="J145" s="5" t="inlineStr">
        <is>
          <t>CD</t>
        </is>
      </c>
      <c r="K145" s="5" t="inlineStr"/>
      <c r="L145" s="7">
        <f>IFERROR(IF(F145&lt;F144,"NEGATIVE",ROUND(F145-F144,2)),"")</f>
        <v/>
      </c>
    </row>
    <row r="146" ht="22" customHeight="1">
      <c r="B146" s="8" t="inlineStr">
        <is>
          <t>R00142</t>
        </is>
      </c>
      <c r="C146" s="8" t="inlineStr">
        <is>
          <t>MTR-BLR-003</t>
        </is>
      </c>
      <c r="D146" s="8" t="inlineStr">
        <is>
          <t>Boiler House</t>
        </is>
      </c>
      <c r="E146" s="8" t="inlineStr">
        <is>
          <t>Steam Boiler 1</t>
        </is>
      </c>
      <c r="F146" s="8" t="inlineStr">
        <is>
          <t>2024-05-22 08:00</t>
        </is>
      </c>
      <c r="G146" s="12" t="n">
        <v>58220.45</v>
      </c>
      <c r="H146" s="8" t="inlineStr">
        <is>
          <t>m3</t>
        </is>
      </c>
      <c r="I146" s="8" t="inlineStr">
        <is>
          <t>cumulative</t>
        </is>
      </c>
      <c r="J146" s="8" t="inlineStr">
        <is>
          <t>IJ</t>
        </is>
      </c>
      <c r="K146" s="8" t="inlineStr"/>
      <c r="L146" s="10">
        <f>IFERROR(IF(F146&lt;F145,"NEGATIVE",ROUND(F146-F145,2)),"")</f>
        <v/>
      </c>
    </row>
    <row r="147" ht="22" customHeight="1">
      <c r="B147" s="5" t="inlineStr">
        <is>
          <t>R00143</t>
        </is>
      </c>
      <c r="C147" s="5" t="inlineStr">
        <is>
          <t>MTR-BLR-003</t>
        </is>
      </c>
      <c r="D147" s="5" t="inlineStr">
        <is>
          <t>Boiler House</t>
        </is>
      </c>
      <c r="E147" s="5" t="inlineStr">
        <is>
          <t>Steam Boiler 1</t>
        </is>
      </c>
      <c r="F147" s="5" t="inlineStr">
        <is>
          <t>2024-05-23 08:00</t>
        </is>
      </c>
      <c r="G147" s="11" t="n">
        <v>58240.71</v>
      </c>
      <c r="H147" s="5" t="inlineStr">
        <is>
          <t>m3</t>
        </is>
      </c>
      <c r="I147" s="5" t="inlineStr">
        <is>
          <t>cumulative</t>
        </is>
      </c>
      <c r="J147" s="5" t="inlineStr">
        <is>
          <t>AB</t>
        </is>
      </c>
      <c r="K147" s="5" t="inlineStr"/>
      <c r="L147" s="7">
        <f>IFERROR(IF(F147&lt;F146,"NEGATIVE",ROUND(F147-F146,2)),"")</f>
        <v/>
      </c>
    </row>
    <row r="148" ht="22" customHeight="1">
      <c r="B148" s="8" t="inlineStr">
        <is>
          <t>R00144</t>
        </is>
      </c>
      <c r="C148" s="8" t="inlineStr">
        <is>
          <t>MTR-BLR-003</t>
        </is>
      </c>
      <c r="D148" s="8" t="inlineStr">
        <is>
          <t>Boiler House</t>
        </is>
      </c>
      <c r="E148" s="8" t="inlineStr">
        <is>
          <t>Steam Boiler 1</t>
        </is>
      </c>
      <c r="F148" s="8" t="inlineStr">
        <is>
          <t>2024-05-24 08:00</t>
        </is>
      </c>
      <c r="G148" s="12" t="n">
        <v>58260.85</v>
      </c>
      <c r="H148" s="8" t="inlineStr">
        <is>
          <t>m3</t>
        </is>
      </c>
      <c r="I148" s="8" t="inlineStr">
        <is>
          <t>cumulative</t>
        </is>
      </c>
      <c r="J148" s="8" t="inlineStr">
        <is>
          <t>KL</t>
        </is>
      </c>
      <c r="K148" s="8" t="inlineStr"/>
      <c r="L148" s="10">
        <f>IFERROR(IF(F148&lt;F147,"NEGATIVE",ROUND(F148-F147,2)),"")</f>
        <v/>
      </c>
    </row>
    <row r="149" ht="22" customHeight="1">
      <c r="B149" s="5" t="inlineStr">
        <is>
          <t>R00145</t>
        </is>
      </c>
      <c r="C149" s="5" t="inlineStr">
        <is>
          <t>MTR-BLR-003</t>
        </is>
      </c>
      <c r="D149" s="5" t="inlineStr">
        <is>
          <t>Boiler House</t>
        </is>
      </c>
      <c r="E149" s="5" t="inlineStr">
        <is>
          <t>Steam Boiler 1</t>
        </is>
      </c>
      <c r="F149" s="5" t="inlineStr">
        <is>
          <t>2024-05-25 08:00</t>
        </is>
      </c>
      <c r="G149" s="11" t="n">
        <v>58275.61</v>
      </c>
      <c r="H149" s="5" t="inlineStr">
        <is>
          <t>m3</t>
        </is>
      </c>
      <c r="I149" s="5" t="inlineStr">
        <is>
          <t>cumulative</t>
        </is>
      </c>
      <c r="J149" s="5" t="inlineStr">
        <is>
          <t>CD</t>
        </is>
      </c>
      <c r="K149" s="5" t="inlineStr"/>
      <c r="L149" s="7">
        <f>IFERROR(IF(F149&lt;F148,"NEGATIVE",ROUND(F149-F148,2)),"")</f>
        <v/>
      </c>
    </row>
    <row r="150" ht="22" customHeight="1">
      <c r="B150" s="8" t="inlineStr">
        <is>
          <t>R00146</t>
        </is>
      </c>
      <c r="C150" s="8" t="inlineStr">
        <is>
          <t>MTR-BLR-003</t>
        </is>
      </c>
      <c r="D150" s="8" t="inlineStr">
        <is>
          <t>Boiler House</t>
        </is>
      </c>
      <c r="E150" s="8" t="inlineStr">
        <is>
          <t>Steam Boiler 1</t>
        </is>
      </c>
      <c r="F150" s="8" t="inlineStr">
        <is>
          <t>2024-05-26 08:00</t>
        </is>
      </c>
      <c r="G150" s="12" t="n">
        <v>58287.54</v>
      </c>
      <c r="H150" s="8" t="inlineStr">
        <is>
          <t>m3</t>
        </is>
      </c>
      <c r="I150" s="8" t="inlineStr">
        <is>
          <t>cumulative</t>
        </is>
      </c>
      <c r="J150" s="8" t="inlineStr">
        <is>
          <t>CD</t>
        </is>
      </c>
      <c r="K150" s="8" t="inlineStr"/>
      <c r="L150" s="10">
        <f>IFERROR(IF(F150&lt;F149,"NEGATIVE",ROUND(F150-F149,2)),"")</f>
        <v/>
      </c>
    </row>
    <row r="151" ht="22" customHeight="1">
      <c r="B151" s="5" t="inlineStr">
        <is>
          <t>R00147</t>
        </is>
      </c>
      <c r="C151" s="5" t="inlineStr">
        <is>
          <t>MTR-BLR-003</t>
        </is>
      </c>
      <c r="D151" s="5" t="inlineStr">
        <is>
          <t>Boiler House</t>
        </is>
      </c>
      <c r="E151" s="5" t="inlineStr">
        <is>
          <t>Steam Boiler 1</t>
        </is>
      </c>
      <c r="F151" s="5" t="inlineStr">
        <is>
          <t>2024-05-27 08:00</t>
        </is>
      </c>
      <c r="G151" s="11" t="n">
        <v>58307.69</v>
      </c>
      <c r="H151" s="5" t="inlineStr">
        <is>
          <t>m3</t>
        </is>
      </c>
      <c r="I151" s="5" t="inlineStr">
        <is>
          <t>cumulative</t>
        </is>
      </c>
      <c r="J151" s="5" t="inlineStr">
        <is>
          <t>CD</t>
        </is>
      </c>
      <c r="K151" s="5" t="inlineStr"/>
      <c r="L151" s="7">
        <f>IFERROR(IF(F151&lt;F150,"NEGATIVE",ROUND(F151-F150,2)),"")</f>
        <v/>
      </c>
    </row>
    <row r="152" ht="22" customHeight="1">
      <c r="B152" s="8" t="inlineStr">
        <is>
          <t>R00148</t>
        </is>
      </c>
      <c r="C152" s="8" t="inlineStr">
        <is>
          <t>MTR-BLR-003</t>
        </is>
      </c>
      <c r="D152" s="8" t="inlineStr">
        <is>
          <t>Boiler House</t>
        </is>
      </c>
      <c r="E152" s="8" t="inlineStr">
        <is>
          <t>Steam Boiler 1</t>
        </is>
      </c>
      <c r="F152" s="8" t="inlineStr">
        <is>
          <t>2024-05-28 08:00</t>
        </is>
      </c>
      <c r="G152" s="12" t="n">
        <v>58329.15</v>
      </c>
      <c r="H152" s="8" t="inlineStr">
        <is>
          <t>m3</t>
        </is>
      </c>
      <c r="I152" s="8" t="inlineStr">
        <is>
          <t>cumulative</t>
        </is>
      </c>
      <c r="J152" s="8" t="inlineStr">
        <is>
          <t>EF</t>
        </is>
      </c>
      <c r="K152" s="8" t="inlineStr"/>
      <c r="L152" s="10">
        <f>IFERROR(IF(F152&lt;F151,"NEGATIVE",ROUND(F152-F151,2)),"")</f>
        <v/>
      </c>
    </row>
    <row r="153" ht="22" customHeight="1">
      <c r="B153" s="5" t="inlineStr">
        <is>
          <t>R00149</t>
        </is>
      </c>
      <c r="C153" s="5" t="inlineStr">
        <is>
          <t>MTR-BLR-003</t>
        </is>
      </c>
      <c r="D153" s="5" t="inlineStr">
        <is>
          <t>Boiler House</t>
        </is>
      </c>
      <c r="E153" s="5" t="inlineStr">
        <is>
          <t>Steam Boiler 1</t>
        </is>
      </c>
      <c r="F153" s="5" t="inlineStr">
        <is>
          <t>2024-05-29 08:00</t>
        </is>
      </c>
      <c r="G153" s="11" t="n">
        <v>58347.41</v>
      </c>
      <c r="H153" s="5" t="inlineStr">
        <is>
          <t>m3</t>
        </is>
      </c>
      <c r="I153" s="5" t="inlineStr">
        <is>
          <t>cumulative</t>
        </is>
      </c>
      <c r="J153" s="5" t="inlineStr">
        <is>
          <t>EF</t>
        </is>
      </c>
      <c r="K153" s="5" t="inlineStr"/>
      <c r="L153" s="7">
        <f>IFERROR(IF(F153&lt;F152,"NEGATIVE",ROUND(F153-F152,2)),"")</f>
        <v/>
      </c>
    </row>
    <row r="154" ht="22" customHeight="1">
      <c r="B154" s="8" t="inlineStr">
        <is>
          <t>R00150</t>
        </is>
      </c>
      <c r="C154" s="8" t="inlineStr">
        <is>
          <t>MTR-BLR-003</t>
        </is>
      </c>
      <c r="D154" s="8" t="inlineStr">
        <is>
          <t>Boiler House</t>
        </is>
      </c>
      <c r="E154" s="8" t="inlineStr">
        <is>
          <t>Steam Boiler 1</t>
        </is>
      </c>
      <c r="F154" s="8" t="inlineStr">
        <is>
          <t>2024-05-30 08:00</t>
        </is>
      </c>
      <c r="G154" s="12" t="n">
        <v>58366.42</v>
      </c>
      <c r="H154" s="8" t="inlineStr">
        <is>
          <t>m3</t>
        </is>
      </c>
      <c r="I154" s="8" t="inlineStr">
        <is>
          <t>cumulative</t>
        </is>
      </c>
      <c r="J154" s="8" t="inlineStr">
        <is>
          <t>AB</t>
        </is>
      </c>
      <c r="K154" s="8" t="inlineStr"/>
      <c r="L154" s="10">
        <f>IFERROR(IF(F154&lt;F153,"NEGATIVE",ROUND(F154-F153,2)),"")</f>
        <v/>
      </c>
    </row>
    <row r="155" ht="22" customHeight="1">
      <c r="B155" s="5" t="inlineStr">
        <is>
          <t>R00151</t>
        </is>
      </c>
      <c r="C155" s="5" t="inlineStr">
        <is>
          <t>MTR-BLR-003</t>
        </is>
      </c>
      <c r="D155" s="5" t="inlineStr">
        <is>
          <t>Boiler House</t>
        </is>
      </c>
      <c r="E155" s="5" t="inlineStr">
        <is>
          <t>Steam Boiler 1</t>
        </is>
      </c>
      <c r="F155" s="5" t="inlineStr">
        <is>
          <t>2024-05-31 08:00</t>
        </is>
      </c>
      <c r="G155" s="11" t="n">
        <v>58390.44</v>
      </c>
      <c r="H155" s="5" t="inlineStr">
        <is>
          <t>m3</t>
        </is>
      </c>
      <c r="I155" s="5" t="inlineStr">
        <is>
          <t>cumulative</t>
        </is>
      </c>
      <c r="J155" s="5" t="inlineStr">
        <is>
          <t>AB</t>
        </is>
      </c>
      <c r="K155" s="5" t="inlineStr"/>
      <c r="L155" s="7">
        <f>IFERROR(IF(F155&lt;F154,"NEGATIVE",ROUND(F155-F154,2)),"")</f>
        <v/>
      </c>
    </row>
    <row r="156" ht="22" customHeight="1">
      <c r="B156" s="8" t="inlineStr">
        <is>
          <t>R00152</t>
        </is>
      </c>
      <c r="C156" s="8" t="inlineStr">
        <is>
          <t>MTR-BLR-003</t>
        </is>
      </c>
      <c r="D156" s="8" t="inlineStr">
        <is>
          <t>Boiler House</t>
        </is>
      </c>
      <c r="E156" s="8" t="inlineStr">
        <is>
          <t>Steam Boiler 1</t>
        </is>
      </c>
      <c r="F156" s="8" t="inlineStr">
        <is>
          <t>2024-06-01 08:00</t>
        </is>
      </c>
      <c r="G156" s="12" t="n">
        <v>58408.82</v>
      </c>
      <c r="H156" s="8" t="inlineStr">
        <is>
          <t>m3</t>
        </is>
      </c>
      <c r="I156" s="8" t="inlineStr">
        <is>
          <t>cumulative</t>
        </is>
      </c>
      <c r="J156" s="8" t="inlineStr">
        <is>
          <t>CD</t>
        </is>
      </c>
      <c r="K156" s="8" t="inlineStr"/>
      <c r="L156" s="10">
        <f>IFERROR(IF(F156&lt;F155,"NEGATIVE",ROUND(F156-F155,2)),"")</f>
        <v/>
      </c>
    </row>
    <row r="157" ht="22" customHeight="1">
      <c r="B157" s="5" t="inlineStr">
        <is>
          <t>R00153</t>
        </is>
      </c>
      <c r="C157" s="5" t="inlineStr">
        <is>
          <t>MTR-BLR-003</t>
        </is>
      </c>
      <c r="D157" s="5" t="inlineStr">
        <is>
          <t>Boiler House</t>
        </is>
      </c>
      <c r="E157" s="5" t="inlineStr">
        <is>
          <t>Steam Boiler 1</t>
        </is>
      </c>
      <c r="F157" s="5" t="inlineStr">
        <is>
          <t>2024-06-02 08:00</t>
        </is>
      </c>
      <c r="G157" s="11" t="n">
        <v>58421.9</v>
      </c>
      <c r="H157" s="5" t="inlineStr">
        <is>
          <t>m3</t>
        </is>
      </c>
      <c r="I157" s="5" t="inlineStr">
        <is>
          <t>cumulative</t>
        </is>
      </c>
      <c r="J157" s="5" t="inlineStr">
        <is>
          <t>EF</t>
        </is>
      </c>
      <c r="K157" s="5" t="inlineStr"/>
      <c r="L157" s="7">
        <f>IFERROR(IF(F157&lt;F156,"NEGATIVE",ROUND(F157-F156,2)),"")</f>
        <v/>
      </c>
    </row>
    <row r="158" ht="22" customHeight="1">
      <c r="B158" s="8" t="inlineStr">
        <is>
          <t>R00154</t>
        </is>
      </c>
      <c r="C158" s="8" t="inlineStr">
        <is>
          <t>MTR-BLR-003</t>
        </is>
      </c>
      <c r="D158" s="8" t="inlineStr">
        <is>
          <t>Boiler House</t>
        </is>
      </c>
      <c r="E158" s="8" t="inlineStr">
        <is>
          <t>Steam Boiler 1</t>
        </is>
      </c>
      <c r="F158" s="8" t="inlineStr">
        <is>
          <t>2024-06-03 08:00</t>
        </is>
      </c>
      <c r="G158" s="12" t="n">
        <v>58445.66</v>
      </c>
      <c r="H158" s="8" t="inlineStr">
        <is>
          <t>m3</t>
        </is>
      </c>
      <c r="I158" s="8" t="inlineStr">
        <is>
          <t>cumulative</t>
        </is>
      </c>
      <c r="J158" s="8" t="inlineStr">
        <is>
          <t>EF</t>
        </is>
      </c>
      <c r="K158" s="8" t="inlineStr"/>
      <c r="L158" s="10">
        <f>IFERROR(IF(F158&lt;F157,"NEGATIVE",ROUND(F158-F157,2)),"")</f>
        <v/>
      </c>
    </row>
    <row r="159" ht="22" customHeight="1">
      <c r="B159" s="5" t="inlineStr">
        <is>
          <t>R00155</t>
        </is>
      </c>
      <c r="C159" s="5" t="inlineStr">
        <is>
          <t>MTR-BLR-003</t>
        </is>
      </c>
      <c r="D159" s="5" t="inlineStr">
        <is>
          <t>Boiler House</t>
        </is>
      </c>
      <c r="E159" s="5" t="inlineStr">
        <is>
          <t>Steam Boiler 1</t>
        </is>
      </c>
      <c r="F159" s="5" t="inlineStr">
        <is>
          <t>2024-06-04 08:00</t>
        </is>
      </c>
      <c r="G159" s="11" t="n">
        <v>58468.29</v>
      </c>
      <c r="H159" s="5" t="inlineStr">
        <is>
          <t>m3</t>
        </is>
      </c>
      <c r="I159" s="5" t="inlineStr">
        <is>
          <t>cumulative</t>
        </is>
      </c>
      <c r="J159" s="5" t="inlineStr">
        <is>
          <t>EF</t>
        </is>
      </c>
      <c r="K159" s="5" t="inlineStr"/>
      <c r="L159" s="7">
        <f>IFERROR(IF(F159&lt;F158,"NEGATIVE",ROUND(F159-F158,2)),"")</f>
        <v/>
      </c>
    </row>
    <row r="160" ht="22" customHeight="1">
      <c r="B160" s="8" t="inlineStr">
        <is>
          <t>R00156</t>
        </is>
      </c>
      <c r="C160" s="8" t="inlineStr">
        <is>
          <t>MTR-BLR-003</t>
        </is>
      </c>
      <c r="D160" s="8" t="inlineStr">
        <is>
          <t>Boiler House</t>
        </is>
      </c>
      <c r="E160" s="8" t="inlineStr">
        <is>
          <t>Steam Boiler 1</t>
        </is>
      </c>
      <c r="F160" s="8" t="inlineStr">
        <is>
          <t>2024-06-05 08:00</t>
        </is>
      </c>
      <c r="G160" s="12" t="n">
        <v>58492.01</v>
      </c>
      <c r="H160" s="8" t="inlineStr">
        <is>
          <t>m3</t>
        </is>
      </c>
      <c r="I160" s="8" t="inlineStr">
        <is>
          <t>cumulative</t>
        </is>
      </c>
      <c r="J160" s="8" t="inlineStr">
        <is>
          <t>IJ</t>
        </is>
      </c>
      <c r="K160" s="8" t="inlineStr"/>
      <c r="L160" s="10">
        <f>IFERROR(IF(F160&lt;F159,"NEGATIVE",ROUND(F160-F159,2)),"")</f>
        <v/>
      </c>
    </row>
    <row r="161" ht="22" customHeight="1">
      <c r="B161" s="5" t="inlineStr">
        <is>
          <t>R00157</t>
        </is>
      </c>
      <c r="C161" s="5" t="inlineStr">
        <is>
          <t>MTR-BLR-003</t>
        </is>
      </c>
      <c r="D161" s="5" t="inlineStr">
        <is>
          <t>Boiler House</t>
        </is>
      </c>
      <c r="E161" s="5" t="inlineStr">
        <is>
          <t>Steam Boiler 1</t>
        </is>
      </c>
      <c r="F161" s="5" t="inlineStr">
        <is>
          <t>2024-06-06 08:00</t>
        </is>
      </c>
      <c r="G161" s="11" t="n">
        <v>58510.97</v>
      </c>
      <c r="H161" s="5" t="inlineStr">
        <is>
          <t>m3</t>
        </is>
      </c>
      <c r="I161" s="5" t="inlineStr">
        <is>
          <t>cumulative</t>
        </is>
      </c>
      <c r="J161" s="5" t="inlineStr">
        <is>
          <t>EF</t>
        </is>
      </c>
      <c r="K161" s="5" t="inlineStr"/>
      <c r="L161" s="7">
        <f>IFERROR(IF(F161&lt;F160,"NEGATIVE",ROUND(F161-F160,2)),"")</f>
        <v/>
      </c>
    </row>
    <row r="162" ht="22" customHeight="1">
      <c r="B162" s="8" t="inlineStr">
        <is>
          <t>R00158</t>
        </is>
      </c>
      <c r="C162" s="8" t="inlineStr">
        <is>
          <t>MTR-BLR-003</t>
        </is>
      </c>
      <c r="D162" s="8" t="inlineStr">
        <is>
          <t>Boiler House</t>
        </is>
      </c>
      <c r="E162" s="8" t="inlineStr">
        <is>
          <t>Steam Boiler 1</t>
        </is>
      </c>
      <c r="F162" s="8" t="inlineStr">
        <is>
          <t>2024-06-07 08:00</t>
        </is>
      </c>
      <c r="G162" s="12" t="n">
        <v>58532.27</v>
      </c>
      <c r="H162" s="8" t="inlineStr">
        <is>
          <t>m3</t>
        </is>
      </c>
      <c r="I162" s="8" t="inlineStr">
        <is>
          <t>cumulative</t>
        </is>
      </c>
      <c r="J162" s="8" t="inlineStr">
        <is>
          <t>AB</t>
        </is>
      </c>
      <c r="K162" s="8" t="inlineStr"/>
      <c r="L162" s="10">
        <f>IFERROR(IF(F162&lt;F161,"NEGATIVE",ROUND(F162-F161,2)),"")</f>
        <v/>
      </c>
    </row>
    <row r="163" ht="22" customHeight="1">
      <c r="B163" s="5" t="inlineStr">
        <is>
          <t>R00159</t>
        </is>
      </c>
      <c r="C163" s="5" t="inlineStr">
        <is>
          <t>MTR-BLR-003</t>
        </is>
      </c>
      <c r="D163" s="5" t="inlineStr">
        <is>
          <t>Boiler House</t>
        </is>
      </c>
      <c r="E163" s="5" t="inlineStr">
        <is>
          <t>Steam Boiler 1</t>
        </is>
      </c>
      <c r="F163" s="5" t="inlineStr">
        <is>
          <t>2024-06-08 08:00</t>
        </is>
      </c>
      <c r="G163" s="11" t="n">
        <v>58548.55</v>
      </c>
      <c r="H163" s="5" t="inlineStr">
        <is>
          <t>m3</t>
        </is>
      </c>
      <c r="I163" s="5" t="inlineStr">
        <is>
          <t>cumulative</t>
        </is>
      </c>
      <c r="J163" s="5" t="inlineStr">
        <is>
          <t>KL</t>
        </is>
      </c>
      <c r="K163" s="5" t="inlineStr"/>
      <c r="L163" s="7">
        <f>IFERROR(IF(F163&lt;F162,"NEGATIVE",ROUND(F163-F162,2)),"")</f>
        <v/>
      </c>
    </row>
    <row r="164" ht="22" customHeight="1">
      <c r="B164" s="8" t="inlineStr">
        <is>
          <t>R00160</t>
        </is>
      </c>
      <c r="C164" s="8" t="inlineStr">
        <is>
          <t>MTR-BLR-003</t>
        </is>
      </c>
      <c r="D164" s="8" t="inlineStr">
        <is>
          <t>Boiler House</t>
        </is>
      </c>
      <c r="E164" s="8" t="inlineStr">
        <is>
          <t>Steam Boiler 1</t>
        </is>
      </c>
      <c r="F164" s="8" t="inlineStr">
        <is>
          <t>2024-06-09 08:00</t>
        </is>
      </c>
      <c r="G164" s="12" t="n">
        <v>58558.75</v>
      </c>
      <c r="H164" s="8" t="inlineStr">
        <is>
          <t>m3</t>
        </is>
      </c>
      <c r="I164" s="8" t="inlineStr">
        <is>
          <t>cumulative</t>
        </is>
      </c>
      <c r="J164" s="8" t="inlineStr">
        <is>
          <t>KL</t>
        </is>
      </c>
      <c r="K164" s="8" t="inlineStr"/>
      <c r="L164" s="10">
        <f>IFERROR(IF(F164&lt;F163,"NEGATIVE",ROUND(F164-F163,2)),"")</f>
        <v/>
      </c>
    </row>
    <row r="165" ht="22" customHeight="1">
      <c r="B165" s="5" t="inlineStr">
        <is>
          <t>R00161</t>
        </is>
      </c>
      <c r="C165" s="5" t="inlineStr">
        <is>
          <t>MTR-BLR-003</t>
        </is>
      </c>
      <c r="D165" s="5" t="inlineStr">
        <is>
          <t>Boiler House</t>
        </is>
      </c>
      <c r="E165" s="5" t="inlineStr">
        <is>
          <t>Steam Boiler 1</t>
        </is>
      </c>
      <c r="F165" s="5" t="inlineStr">
        <is>
          <t>2024-06-10 08:00</t>
        </is>
      </c>
      <c r="G165" s="11" t="n">
        <v>58581.47</v>
      </c>
      <c r="H165" s="5" t="inlineStr">
        <is>
          <t>m3</t>
        </is>
      </c>
      <c r="I165" s="5" t="inlineStr">
        <is>
          <t>cumulative</t>
        </is>
      </c>
      <c r="J165" s="5" t="inlineStr">
        <is>
          <t>IJ</t>
        </is>
      </c>
      <c r="K165" s="5" t="inlineStr"/>
      <c r="L165" s="7">
        <f>IFERROR(IF(F165&lt;F164,"NEGATIVE",ROUND(F165-F164,2)),"")</f>
        <v/>
      </c>
    </row>
    <row r="166" ht="22" customHeight="1">
      <c r="B166" s="8" t="inlineStr">
        <is>
          <t>R00162</t>
        </is>
      </c>
      <c r="C166" s="8" t="inlineStr">
        <is>
          <t>MTR-BLR-003</t>
        </is>
      </c>
      <c r="D166" s="8" t="inlineStr">
        <is>
          <t>Boiler House</t>
        </is>
      </c>
      <c r="E166" s="8" t="inlineStr">
        <is>
          <t>Steam Boiler 1</t>
        </is>
      </c>
      <c r="F166" s="8" t="inlineStr">
        <is>
          <t>2024-06-11 08:00</t>
        </is>
      </c>
      <c r="G166" s="12" t="n">
        <v>58602.59</v>
      </c>
      <c r="H166" s="8" t="inlineStr">
        <is>
          <t>m3</t>
        </is>
      </c>
      <c r="I166" s="8" t="inlineStr">
        <is>
          <t>cumulative</t>
        </is>
      </c>
      <c r="J166" s="8" t="inlineStr">
        <is>
          <t>GH</t>
        </is>
      </c>
      <c r="K166" s="8" t="inlineStr"/>
      <c r="L166" s="10">
        <f>IFERROR(IF(F166&lt;F165,"NEGATIVE",ROUND(F166-F165,2)),"")</f>
        <v/>
      </c>
    </row>
    <row r="167" ht="22" customHeight="1">
      <c r="B167" s="5" t="inlineStr">
        <is>
          <t>R00163</t>
        </is>
      </c>
      <c r="C167" s="5" t="inlineStr">
        <is>
          <t>MTR-BLR-003</t>
        </is>
      </c>
      <c r="D167" s="5" t="inlineStr">
        <is>
          <t>Boiler House</t>
        </is>
      </c>
      <c r="E167" s="5" t="inlineStr">
        <is>
          <t>Steam Boiler 1</t>
        </is>
      </c>
      <c r="F167" s="5" t="inlineStr">
        <is>
          <t>2024-06-12 08:00</t>
        </is>
      </c>
      <c r="G167" s="11" t="n">
        <v>58623.15</v>
      </c>
      <c r="H167" s="5" t="inlineStr">
        <is>
          <t>m3</t>
        </is>
      </c>
      <c r="I167" s="5" t="inlineStr">
        <is>
          <t>cumulative</t>
        </is>
      </c>
      <c r="J167" s="5" t="inlineStr">
        <is>
          <t>EF</t>
        </is>
      </c>
      <c r="K167" s="5" t="inlineStr"/>
      <c r="L167" s="7">
        <f>IFERROR(IF(F167&lt;F166,"NEGATIVE",ROUND(F167-F166,2)),"")</f>
        <v/>
      </c>
    </row>
    <row r="168" ht="22" customHeight="1">
      <c r="B168" s="8" t="inlineStr">
        <is>
          <t>R00164</t>
        </is>
      </c>
      <c r="C168" s="8" t="inlineStr">
        <is>
          <t>MTR-BLR-003</t>
        </is>
      </c>
      <c r="D168" s="8" t="inlineStr">
        <is>
          <t>Boiler House</t>
        </is>
      </c>
      <c r="E168" s="8" t="inlineStr">
        <is>
          <t>Steam Boiler 1</t>
        </is>
      </c>
      <c r="F168" s="8" t="inlineStr">
        <is>
          <t>2024-06-13 08:00</t>
        </is>
      </c>
      <c r="G168" s="12" t="n">
        <v>58642.54</v>
      </c>
      <c r="H168" s="8" t="inlineStr">
        <is>
          <t>m3</t>
        </is>
      </c>
      <c r="I168" s="8" t="inlineStr">
        <is>
          <t>cumulative</t>
        </is>
      </c>
      <c r="J168" s="8" t="inlineStr">
        <is>
          <t>AB</t>
        </is>
      </c>
      <c r="K168" s="8" t="inlineStr"/>
      <c r="L168" s="10">
        <f>IFERROR(IF(F168&lt;F167,"NEGATIVE",ROUND(F168-F167,2)),"")</f>
        <v/>
      </c>
    </row>
    <row r="169" ht="22" customHeight="1">
      <c r="B169" s="5" t="inlineStr">
        <is>
          <t>R00165</t>
        </is>
      </c>
      <c r="C169" s="5" t="inlineStr">
        <is>
          <t>MTR-BLR-003</t>
        </is>
      </c>
      <c r="D169" s="5" t="inlineStr">
        <is>
          <t>Boiler House</t>
        </is>
      </c>
      <c r="E169" s="5" t="inlineStr">
        <is>
          <t>Steam Boiler 1</t>
        </is>
      </c>
      <c r="F169" s="5" t="inlineStr">
        <is>
          <t>2024-06-14 08:00</t>
        </is>
      </c>
      <c r="G169" s="11" t="n">
        <v>58665.99</v>
      </c>
      <c r="H169" s="5" t="inlineStr">
        <is>
          <t>m3</t>
        </is>
      </c>
      <c r="I169" s="5" t="inlineStr">
        <is>
          <t>cumulative</t>
        </is>
      </c>
      <c r="J169" s="5" t="inlineStr">
        <is>
          <t>GH</t>
        </is>
      </c>
      <c r="K169" s="5" t="inlineStr"/>
      <c r="L169" s="7">
        <f>IFERROR(IF(F169&lt;F168,"NEGATIVE",ROUND(F169-F168,2)),"")</f>
        <v/>
      </c>
    </row>
    <row r="170" ht="22" customHeight="1">
      <c r="B170" s="8" t="inlineStr">
        <is>
          <t>R00166</t>
        </is>
      </c>
      <c r="C170" s="8" t="inlineStr">
        <is>
          <t>MTR-BLR-003</t>
        </is>
      </c>
      <c r="D170" s="8" t="inlineStr">
        <is>
          <t>Boiler House</t>
        </is>
      </c>
      <c r="E170" s="8" t="inlineStr">
        <is>
          <t>Steam Boiler 1</t>
        </is>
      </c>
      <c r="F170" s="8" t="inlineStr">
        <is>
          <t>2024-06-15 08:00</t>
        </is>
      </c>
      <c r="G170" s="12" t="n">
        <v>58682.08</v>
      </c>
      <c r="H170" s="8" t="inlineStr">
        <is>
          <t>m3</t>
        </is>
      </c>
      <c r="I170" s="8" t="inlineStr">
        <is>
          <t>cumulative</t>
        </is>
      </c>
      <c r="J170" s="8" t="inlineStr">
        <is>
          <t>EF</t>
        </is>
      </c>
      <c r="K170" s="8" t="inlineStr"/>
      <c r="L170" s="10">
        <f>IFERROR(IF(F170&lt;F169,"NEGATIVE",ROUND(F170-F169,2)),"")</f>
        <v/>
      </c>
    </row>
    <row r="171" ht="22" customHeight="1">
      <c r="B171" s="5" t="inlineStr">
        <is>
          <t>R00167</t>
        </is>
      </c>
      <c r="C171" s="5" t="inlineStr">
        <is>
          <t>MTR-BLR-003</t>
        </is>
      </c>
      <c r="D171" s="5" t="inlineStr">
        <is>
          <t>Boiler House</t>
        </is>
      </c>
      <c r="E171" s="5" t="inlineStr">
        <is>
          <t>Steam Boiler 1</t>
        </is>
      </c>
      <c r="F171" s="5" t="inlineStr">
        <is>
          <t>2024-06-16 08:00</t>
        </is>
      </c>
      <c r="G171" s="11" t="n">
        <v>58694.24</v>
      </c>
      <c r="H171" s="5" t="inlineStr">
        <is>
          <t>m3</t>
        </is>
      </c>
      <c r="I171" s="5" t="inlineStr">
        <is>
          <t>cumulative</t>
        </is>
      </c>
      <c r="J171" s="5" t="inlineStr">
        <is>
          <t>GH</t>
        </is>
      </c>
      <c r="K171" s="5" t="inlineStr"/>
      <c r="L171" s="7">
        <f>IFERROR(IF(F171&lt;F170,"NEGATIVE",ROUND(F171-F170,2)),"")</f>
        <v/>
      </c>
    </row>
    <row r="172" ht="22" customHeight="1">
      <c r="B172" s="8" t="inlineStr">
        <is>
          <t>R00168</t>
        </is>
      </c>
      <c r="C172" s="8" t="inlineStr">
        <is>
          <t>MTR-BLR-003</t>
        </is>
      </c>
      <c r="D172" s="8" t="inlineStr">
        <is>
          <t>Boiler House</t>
        </is>
      </c>
      <c r="E172" s="8" t="inlineStr">
        <is>
          <t>Steam Boiler 1</t>
        </is>
      </c>
      <c r="F172" s="8" t="inlineStr">
        <is>
          <t>2024-06-17 08:00</t>
        </is>
      </c>
      <c r="G172" s="12" t="n">
        <v>58714.54</v>
      </c>
      <c r="H172" s="8" t="inlineStr">
        <is>
          <t>m3</t>
        </is>
      </c>
      <c r="I172" s="8" t="inlineStr">
        <is>
          <t>cumulative</t>
        </is>
      </c>
      <c r="J172" s="8" t="inlineStr">
        <is>
          <t>IJ</t>
        </is>
      </c>
      <c r="K172" s="8" t="inlineStr"/>
      <c r="L172" s="10">
        <f>IFERROR(IF(F172&lt;F171,"NEGATIVE",ROUND(F172-F171,2)),"")</f>
        <v/>
      </c>
    </row>
    <row r="173" ht="22" customHeight="1">
      <c r="B173" s="5" t="inlineStr">
        <is>
          <t>R00169</t>
        </is>
      </c>
      <c r="C173" s="5" t="inlineStr">
        <is>
          <t>MTR-BLR-003</t>
        </is>
      </c>
      <c r="D173" s="5" t="inlineStr">
        <is>
          <t>Boiler House</t>
        </is>
      </c>
      <c r="E173" s="5" t="inlineStr">
        <is>
          <t>Steam Boiler 1</t>
        </is>
      </c>
      <c r="F173" s="5" t="inlineStr">
        <is>
          <t>2024-06-18 08:00</t>
        </is>
      </c>
      <c r="G173" s="11" t="n">
        <v>58736.94</v>
      </c>
      <c r="H173" s="5" t="inlineStr">
        <is>
          <t>m3</t>
        </is>
      </c>
      <c r="I173" s="5" t="inlineStr">
        <is>
          <t>cumulative</t>
        </is>
      </c>
      <c r="J173" s="5" t="inlineStr">
        <is>
          <t>GH</t>
        </is>
      </c>
      <c r="K173" s="5" t="inlineStr"/>
      <c r="L173" s="7">
        <f>IFERROR(IF(F173&lt;F172,"NEGATIVE",ROUND(F173-F172,2)),"")</f>
        <v/>
      </c>
    </row>
    <row r="174" ht="22" customHeight="1">
      <c r="B174" s="8" t="inlineStr">
        <is>
          <t>R00170</t>
        </is>
      </c>
      <c r="C174" s="8" t="inlineStr">
        <is>
          <t>MTR-BLR-003</t>
        </is>
      </c>
      <c r="D174" s="8" t="inlineStr">
        <is>
          <t>Boiler House</t>
        </is>
      </c>
      <c r="E174" s="8" t="inlineStr">
        <is>
          <t>Steam Boiler 1</t>
        </is>
      </c>
      <c r="F174" s="8" t="inlineStr">
        <is>
          <t>2024-06-19 08:00</t>
        </is>
      </c>
      <c r="G174" s="12" t="n">
        <v>58756.33</v>
      </c>
      <c r="H174" s="8" t="inlineStr">
        <is>
          <t>m3</t>
        </is>
      </c>
      <c r="I174" s="8" t="inlineStr">
        <is>
          <t>cumulative</t>
        </is>
      </c>
      <c r="J174" s="8" t="inlineStr">
        <is>
          <t>IJ</t>
        </is>
      </c>
      <c r="K174" s="8" t="inlineStr"/>
      <c r="L174" s="10">
        <f>IFERROR(IF(F174&lt;F173,"NEGATIVE",ROUND(F174-F173,2)),"")</f>
        <v/>
      </c>
    </row>
    <row r="175" ht="22" customHeight="1">
      <c r="B175" s="5" t="inlineStr">
        <is>
          <t>R00171</t>
        </is>
      </c>
      <c r="C175" s="5" t="inlineStr">
        <is>
          <t>MTR-BLR-003</t>
        </is>
      </c>
      <c r="D175" s="5" t="inlineStr">
        <is>
          <t>Boiler House</t>
        </is>
      </c>
      <c r="E175" s="5" t="inlineStr">
        <is>
          <t>Steam Boiler 1</t>
        </is>
      </c>
      <c r="F175" s="5" t="inlineStr">
        <is>
          <t>2024-06-20 08:00</t>
        </is>
      </c>
      <c r="G175" s="11" t="n">
        <v>58778.48</v>
      </c>
      <c r="H175" s="5" t="inlineStr">
        <is>
          <t>m3</t>
        </is>
      </c>
      <c r="I175" s="5" t="inlineStr">
        <is>
          <t>cumulative</t>
        </is>
      </c>
      <c r="J175" s="5" t="inlineStr">
        <is>
          <t>GH</t>
        </is>
      </c>
      <c r="K175" s="5" t="inlineStr"/>
      <c r="L175" s="7">
        <f>IFERROR(IF(F175&lt;F174,"NEGATIVE",ROUND(F175-F174,2)),"")</f>
        <v/>
      </c>
    </row>
    <row r="176" ht="22" customHeight="1">
      <c r="B176" s="8" t="inlineStr">
        <is>
          <t>R00172</t>
        </is>
      </c>
      <c r="C176" s="8" t="inlineStr">
        <is>
          <t>MTR-BLR-003</t>
        </is>
      </c>
      <c r="D176" s="8" t="inlineStr">
        <is>
          <t>Boiler House</t>
        </is>
      </c>
      <c r="E176" s="8" t="inlineStr">
        <is>
          <t>Steam Boiler 1</t>
        </is>
      </c>
      <c r="F176" s="8" t="inlineStr">
        <is>
          <t>2024-06-21 08:00</t>
        </is>
      </c>
      <c r="G176" s="12" t="n">
        <v>58797.13</v>
      </c>
      <c r="H176" s="8" t="inlineStr">
        <is>
          <t>m3</t>
        </is>
      </c>
      <c r="I176" s="8" t="inlineStr">
        <is>
          <t>cumulative</t>
        </is>
      </c>
      <c r="J176" s="8" t="inlineStr">
        <is>
          <t>GH</t>
        </is>
      </c>
      <c r="K176" s="8" t="inlineStr"/>
      <c r="L176" s="10">
        <f>IFERROR(IF(F176&lt;F175,"NEGATIVE",ROUND(F176-F175,2)),"")</f>
        <v/>
      </c>
    </row>
    <row r="177" ht="22" customHeight="1">
      <c r="B177" s="5" t="inlineStr">
        <is>
          <t>R00173</t>
        </is>
      </c>
      <c r="C177" s="5" t="inlineStr">
        <is>
          <t>MTR-BLR-003</t>
        </is>
      </c>
      <c r="D177" s="5" t="inlineStr">
        <is>
          <t>Boiler House</t>
        </is>
      </c>
      <c r="E177" s="5" t="inlineStr">
        <is>
          <t>Steam Boiler 1</t>
        </is>
      </c>
      <c r="F177" s="5" t="inlineStr">
        <is>
          <t>2024-06-22 08:00</t>
        </is>
      </c>
      <c r="G177" s="11" t="n">
        <v>58815.89</v>
      </c>
      <c r="H177" s="5" t="inlineStr">
        <is>
          <t>m3</t>
        </is>
      </c>
      <c r="I177" s="5" t="inlineStr">
        <is>
          <t>cumulative</t>
        </is>
      </c>
      <c r="J177" s="5" t="inlineStr">
        <is>
          <t>GH</t>
        </is>
      </c>
      <c r="K177" s="5" t="inlineStr"/>
      <c r="L177" s="7">
        <f>IFERROR(IF(F177&lt;F176,"NEGATIVE",ROUND(F177-F176,2)),"")</f>
        <v/>
      </c>
    </row>
    <row r="178" ht="22" customHeight="1">
      <c r="B178" s="8" t="inlineStr">
        <is>
          <t>R00174</t>
        </is>
      </c>
      <c r="C178" s="8" t="inlineStr">
        <is>
          <t>MTR-BLR-003</t>
        </is>
      </c>
      <c r="D178" s="8" t="inlineStr">
        <is>
          <t>Boiler House</t>
        </is>
      </c>
      <c r="E178" s="8" t="inlineStr">
        <is>
          <t>Steam Boiler 1</t>
        </is>
      </c>
      <c r="F178" s="8" t="inlineStr">
        <is>
          <t>2024-06-23 08:00</t>
        </is>
      </c>
      <c r="G178" s="12" t="n">
        <v>58826.98</v>
      </c>
      <c r="H178" s="8" t="inlineStr">
        <is>
          <t>m3</t>
        </is>
      </c>
      <c r="I178" s="8" t="inlineStr">
        <is>
          <t>cumulative</t>
        </is>
      </c>
      <c r="J178" s="8" t="inlineStr">
        <is>
          <t>CD</t>
        </is>
      </c>
      <c r="K178" s="8" t="inlineStr"/>
      <c r="L178" s="10">
        <f>IFERROR(IF(F178&lt;F177,"NEGATIVE",ROUND(F178-F177,2)),"")</f>
        <v/>
      </c>
    </row>
    <row r="179" ht="22" customHeight="1">
      <c r="B179" s="5" t="inlineStr">
        <is>
          <t>R00175</t>
        </is>
      </c>
      <c r="C179" s="5" t="inlineStr">
        <is>
          <t>MTR-BLR-003</t>
        </is>
      </c>
      <c r="D179" s="5" t="inlineStr">
        <is>
          <t>Boiler House</t>
        </is>
      </c>
      <c r="E179" s="5" t="inlineStr">
        <is>
          <t>Steam Boiler 1</t>
        </is>
      </c>
      <c r="F179" s="5" t="inlineStr">
        <is>
          <t>2024-06-24 08:00</t>
        </is>
      </c>
      <c r="G179" s="11" t="n">
        <v>58848.57</v>
      </c>
      <c r="H179" s="5" t="inlineStr">
        <is>
          <t>m3</t>
        </is>
      </c>
      <c r="I179" s="5" t="inlineStr">
        <is>
          <t>cumulative</t>
        </is>
      </c>
      <c r="J179" s="5" t="inlineStr">
        <is>
          <t>GH</t>
        </is>
      </c>
      <c r="K179" s="5" t="inlineStr"/>
      <c r="L179" s="7">
        <f>IFERROR(IF(F179&lt;F178,"NEGATIVE",ROUND(F179-F178,2)),"")</f>
        <v/>
      </c>
    </row>
    <row r="180" ht="22" customHeight="1">
      <c r="B180" s="8" t="inlineStr">
        <is>
          <t>R00176</t>
        </is>
      </c>
      <c r="C180" s="8" t="inlineStr">
        <is>
          <t>MTR-BLR-003</t>
        </is>
      </c>
      <c r="D180" s="8" t="inlineStr">
        <is>
          <t>Boiler House</t>
        </is>
      </c>
      <c r="E180" s="8" t="inlineStr">
        <is>
          <t>Steam Boiler 1</t>
        </is>
      </c>
      <c r="F180" s="8" t="inlineStr">
        <is>
          <t>2024-06-25 08:00</t>
        </is>
      </c>
      <c r="G180" s="12" t="n">
        <v>58868.77</v>
      </c>
      <c r="H180" s="8" t="inlineStr">
        <is>
          <t>m3</t>
        </is>
      </c>
      <c r="I180" s="8" t="inlineStr">
        <is>
          <t>cumulative</t>
        </is>
      </c>
      <c r="J180" s="8" t="inlineStr">
        <is>
          <t>GH</t>
        </is>
      </c>
      <c r="K180" s="8" t="inlineStr"/>
      <c r="L180" s="10">
        <f>IFERROR(IF(F180&lt;F179,"NEGATIVE",ROUND(F180-F179,2)),"")</f>
        <v/>
      </c>
    </row>
    <row r="181" ht="22" customHeight="1">
      <c r="B181" s="5" t="inlineStr">
        <is>
          <t>R00177</t>
        </is>
      </c>
      <c r="C181" s="5" t="inlineStr">
        <is>
          <t>MTR-BLR-003</t>
        </is>
      </c>
      <c r="D181" s="5" t="inlineStr">
        <is>
          <t>Boiler House</t>
        </is>
      </c>
      <c r="E181" s="5" t="inlineStr">
        <is>
          <t>Steam Boiler 1</t>
        </is>
      </c>
      <c r="F181" s="5" t="inlineStr">
        <is>
          <t>2024-06-26 08:00</t>
        </is>
      </c>
      <c r="G181" s="11" t="n">
        <v>58890.43</v>
      </c>
      <c r="H181" s="5" t="inlineStr">
        <is>
          <t>m3</t>
        </is>
      </c>
      <c r="I181" s="5" t="inlineStr">
        <is>
          <t>cumulative</t>
        </is>
      </c>
      <c r="J181" s="5" t="inlineStr">
        <is>
          <t>GH</t>
        </is>
      </c>
      <c r="K181" s="5" t="inlineStr"/>
      <c r="L181" s="7">
        <f>IFERROR(IF(F181&lt;F180,"NEGATIVE",ROUND(F181-F180,2)),"")</f>
        <v/>
      </c>
    </row>
    <row r="182" ht="22" customHeight="1">
      <c r="B182" s="8" t="inlineStr">
        <is>
          <t>R00178</t>
        </is>
      </c>
      <c r="C182" s="8" t="inlineStr">
        <is>
          <t>MTR-BLR-003</t>
        </is>
      </c>
      <c r="D182" s="8" t="inlineStr">
        <is>
          <t>Boiler House</t>
        </is>
      </c>
      <c r="E182" s="8" t="inlineStr">
        <is>
          <t>Steam Boiler 1</t>
        </is>
      </c>
      <c r="F182" s="8" t="inlineStr">
        <is>
          <t>2024-06-27 08:00</t>
        </is>
      </c>
      <c r="G182" s="12" t="n">
        <v>58910.8</v>
      </c>
      <c r="H182" s="8" t="inlineStr">
        <is>
          <t>m3</t>
        </is>
      </c>
      <c r="I182" s="8" t="inlineStr">
        <is>
          <t>cumulative</t>
        </is>
      </c>
      <c r="J182" s="8" t="inlineStr">
        <is>
          <t>EF</t>
        </is>
      </c>
      <c r="K182" s="8" t="inlineStr"/>
      <c r="L182" s="10">
        <f>IFERROR(IF(F182&lt;F181,"NEGATIVE",ROUND(F182-F181,2)),"")</f>
        <v/>
      </c>
    </row>
    <row r="183" ht="22" customHeight="1">
      <c r="B183" s="5" t="inlineStr">
        <is>
          <t>R00179</t>
        </is>
      </c>
      <c r="C183" s="5" t="inlineStr">
        <is>
          <t>MTR-BLR-003</t>
        </is>
      </c>
      <c r="D183" s="5" t="inlineStr">
        <is>
          <t>Boiler House</t>
        </is>
      </c>
      <c r="E183" s="5" t="inlineStr">
        <is>
          <t>Steam Boiler 1</t>
        </is>
      </c>
      <c r="F183" s="5" t="inlineStr">
        <is>
          <t>2024-06-28 08:00</t>
        </is>
      </c>
      <c r="G183" s="11" t="n">
        <v>58935.36</v>
      </c>
      <c r="H183" s="5" t="inlineStr">
        <is>
          <t>m3</t>
        </is>
      </c>
      <c r="I183" s="5" t="inlineStr">
        <is>
          <t>cumulative</t>
        </is>
      </c>
      <c r="J183" s="5" t="inlineStr">
        <is>
          <t>KL</t>
        </is>
      </c>
      <c r="K183" s="5" t="inlineStr"/>
      <c r="L183" s="7">
        <f>IFERROR(IF(F183&lt;F182,"NEGATIVE",ROUND(F183-F182,2)),"")</f>
        <v/>
      </c>
    </row>
    <row r="184" ht="22" customHeight="1">
      <c r="B184" s="8" t="inlineStr">
        <is>
          <t>R00180</t>
        </is>
      </c>
      <c r="C184" s="8" t="inlineStr">
        <is>
          <t>MTR-BLR-003</t>
        </is>
      </c>
      <c r="D184" s="8" t="inlineStr">
        <is>
          <t>Boiler House</t>
        </is>
      </c>
      <c r="E184" s="8" t="inlineStr">
        <is>
          <t>Steam Boiler 1</t>
        </is>
      </c>
      <c r="F184" s="8" t="inlineStr">
        <is>
          <t>2024-06-29 08:00</t>
        </is>
      </c>
      <c r="G184" s="12" t="n">
        <v>58950.59</v>
      </c>
      <c r="H184" s="8" t="inlineStr">
        <is>
          <t>m3</t>
        </is>
      </c>
      <c r="I184" s="8" t="inlineStr">
        <is>
          <t>cumulative</t>
        </is>
      </c>
      <c r="J184" s="8" t="inlineStr">
        <is>
          <t>GH</t>
        </is>
      </c>
      <c r="K184" s="8" t="inlineStr"/>
      <c r="L184" s="10">
        <f>IFERROR(IF(F184&lt;F183,"NEGATIVE",ROUND(F184-F183,2)),"")</f>
        <v/>
      </c>
    </row>
    <row r="185" ht="22" customHeight="1">
      <c r="B185" s="5" t="inlineStr">
        <is>
          <t>R00181</t>
        </is>
      </c>
      <c r="C185" s="5" t="inlineStr">
        <is>
          <t>MTR-BLR-003</t>
        </is>
      </c>
      <c r="D185" s="5" t="inlineStr">
        <is>
          <t>Boiler House</t>
        </is>
      </c>
      <c r="E185" s="5" t="inlineStr">
        <is>
          <t>Steam Boiler 1</t>
        </is>
      </c>
      <c r="F185" s="5" t="inlineStr">
        <is>
          <t>2024-06-30 08:00</t>
        </is>
      </c>
      <c r="G185" s="11" t="n">
        <v>58961.9</v>
      </c>
      <c r="H185" s="5" t="inlineStr">
        <is>
          <t>m3</t>
        </is>
      </c>
      <c r="I185" s="5" t="inlineStr">
        <is>
          <t>cumulative</t>
        </is>
      </c>
      <c r="J185" s="5" t="inlineStr">
        <is>
          <t>CD</t>
        </is>
      </c>
      <c r="K185" s="5" t="inlineStr"/>
      <c r="L185" s="7">
        <f>IFERROR(IF(F185&lt;F184,"NEGATIVE",ROUND(F185-F184,2)),"")</f>
        <v/>
      </c>
    </row>
    <row r="186" ht="22" customHeight="1">
      <c r="B186" s="8" t="inlineStr">
        <is>
          <t>R00182</t>
        </is>
      </c>
      <c r="C186" s="8" t="inlineStr">
        <is>
          <t>MTR-BLR-003</t>
        </is>
      </c>
      <c r="D186" s="8" t="inlineStr">
        <is>
          <t>Boiler House</t>
        </is>
      </c>
      <c r="E186" s="8" t="inlineStr">
        <is>
          <t>Steam Boiler 1</t>
        </is>
      </c>
      <c r="F186" s="8" t="inlineStr">
        <is>
          <t>2024-07-01 08:00</t>
        </is>
      </c>
      <c r="G186" s="12" t="n">
        <v>58986.55</v>
      </c>
      <c r="H186" s="8" t="inlineStr">
        <is>
          <t>m3</t>
        </is>
      </c>
      <c r="I186" s="8" t="inlineStr">
        <is>
          <t>cumulative</t>
        </is>
      </c>
      <c r="J186" s="8" t="inlineStr">
        <is>
          <t>AB</t>
        </is>
      </c>
      <c r="K186" s="8" t="inlineStr"/>
      <c r="L186" s="10">
        <f>IFERROR(IF(F186&lt;F185,"NEGATIVE",ROUND(F186-F185,2)),"")</f>
        <v/>
      </c>
    </row>
    <row r="187" ht="22" customHeight="1">
      <c r="B187" s="5" t="inlineStr">
        <is>
          <t>R00183</t>
        </is>
      </c>
      <c r="C187" s="5" t="inlineStr">
        <is>
          <t>MTR-BLR-003</t>
        </is>
      </c>
      <c r="D187" s="5" t="inlineStr">
        <is>
          <t>Boiler House</t>
        </is>
      </c>
      <c r="E187" s="5" t="inlineStr">
        <is>
          <t>Steam Boiler 1</t>
        </is>
      </c>
      <c r="F187" s="5" t="inlineStr">
        <is>
          <t>2024-07-02 08:00</t>
        </is>
      </c>
      <c r="G187" s="11" t="n">
        <v>59011.77</v>
      </c>
      <c r="H187" s="5" t="inlineStr">
        <is>
          <t>m3</t>
        </is>
      </c>
      <c r="I187" s="5" t="inlineStr">
        <is>
          <t>cumulative</t>
        </is>
      </c>
      <c r="J187" s="5" t="inlineStr">
        <is>
          <t>EF</t>
        </is>
      </c>
      <c r="K187" s="5" t="inlineStr"/>
      <c r="L187" s="7">
        <f>IFERROR(IF(F187&lt;F186,"NEGATIVE",ROUND(F187-F186,2)),"")</f>
        <v/>
      </c>
    </row>
    <row r="188" ht="22" customHeight="1">
      <c r="B188" s="8" t="inlineStr">
        <is>
          <t>R00184</t>
        </is>
      </c>
      <c r="C188" s="8" t="inlineStr">
        <is>
          <t>MTR-BLR-003</t>
        </is>
      </c>
      <c r="D188" s="8" t="inlineStr">
        <is>
          <t>Boiler House</t>
        </is>
      </c>
      <c r="E188" s="8" t="inlineStr">
        <is>
          <t>Steam Boiler 1</t>
        </is>
      </c>
      <c r="F188" s="8" t="inlineStr">
        <is>
          <t>2024-07-03 08:00</t>
        </is>
      </c>
      <c r="G188" s="12" t="n">
        <v>59036.68</v>
      </c>
      <c r="H188" s="8" t="inlineStr">
        <is>
          <t>m3</t>
        </is>
      </c>
      <c r="I188" s="8" t="inlineStr">
        <is>
          <t>cumulative</t>
        </is>
      </c>
      <c r="J188" s="8" t="inlineStr">
        <is>
          <t>CD</t>
        </is>
      </c>
      <c r="K188" s="8" t="inlineStr"/>
      <c r="L188" s="10">
        <f>IFERROR(IF(F188&lt;F187,"NEGATIVE",ROUND(F188-F187,2)),"")</f>
        <v/>
      </c>
    </row>
    <row r="189" ht="22" customHeight="1">
      <c r="B189" s="5" t="inlineStr">
        <is>
          <t>R00185</t>
        </is>
      </c>
      <c r="C189" s="5" t="inlineStr">
        <is>
          <t>MTR-BLR-003</t>
        </is>
      </c>
      <c r="D189" s="5" t="inlineStr">
        <is>
          <t>Boiler House</t>
        </is>
      </c>
      <c r="E189" s="5" t="inlineStr">
        <is>
          <t>Steam Boiler 1</t>
        </is>
      </c>
      <c r="F189" s="5" t="inlineStr">
        <is>
          <t>2024-07-04 08:00</t>
        </is>
      </c>
      <c r="G189" s="11" t="n">
        <v>59060.57</v>
      </c>
      <c r="H189" s="5" t="inlineStr">
        <is>
          <t>m3</t>
        </is>
      </c>
      <c r="I189" s="5" t="inlineStr">
        <is>
          <t>cumulative</t>
        </is>
      </c>
      <c r="J189" s="5" t="inlineStr">
        <is>
          <t>EF</t>
        </is>
      </c>
      <c r="K189" s="5" t="inlineStr"/>
      <c r="L189" s="7">
        <f>IFERROR(IF(F189&lt;F188,"NEGATIVE",ROUND(F189-F188,2)),"")</f>
        <v/>
      </c>
    </row>
    <row r="190" ht="22" customHeight="1">
      <c r="B190" s="8" t="inlineStr">
        <is>
          <t>R00186</t>
        </is>
      </c>
      <c r="C190" s="8" t="inlineStr">
        <is>
          <t>MTR-BLR-003</t>
        </is>
      </c>
      <c r="D190" s="8" t="inlineStr">
        <is>
          <t>Boiler House</t>
        </is>
      </c>
      <c r="E190" s="8" t="inlineStr">
        <is>
          <t>Steam Boiler 1</t>
        </is>
      </c>
      <c r="F190" s="8" t="inlineStr">
        <is>
          <t>2024-07-05 08:00</t>
        </is>
      </c>
      <c r="G190" s="12" t="n">
        <v>59080.76</v>
      </c>
      <c r="H190" s="8" t="inlineStr">
        <is>
          <t>m3</t>
        </is>
      </c>
      <c r="I190" s="8" t="inlineStr">
        <is>
          <t>cumulative</t>
        </is>
      </c>
      <c r="J190" s="8" t="inlineStr">
        <is>
          <t>CD</t>
        </is>
      </c>
      <c r="K190" s="8" t="inlineStr"/>
      <c r="L190" s="10">
        <f>IFERROR(IF(F190&lt;F189,"NEGATIVE",ROUND(F190-F189,2)),"")</f>
        <v/>
      </c>
    </row>
    <row r="191" ht="22" customHeight="1">
      <c r="B191" s="5" t="inlineStr">
        <is>
          <t>R00187</t>
        </is>
      </c>
      <c r="C191" s="5" t="inlineStr">
        <is>
          <t>MTR-BLR-003</t>
        </is>
      </c>
      <c r="D191" s="5" t="inlineStr">
        <is>
          <t>Boiler House</t>
        </is>
      </c>
      <c r="E191" s="5" t="inlineStr">
        <is>
          <t>Steam Boiler 1</t>
        </is>
      </c>
      <c r="F191" s="5" t="inlineStr">
        <is>
          <t>2024-07-06 08:00</t>
        </is>
      </c>
      <c r="G191" s="11" t="n">
        <v>59096.17</v>
      </c>
      <c r="H191" s="5" t="inlineStr">
        <is>
          <t>m3</t>
        </is>
      </c>
      <c r="I191" s="5" t="inlineStr">
        <is>
          <t>cumulative</t>
        </is>
      </c>
      <c r="J191" s="5" t="inlineStr">
        <is>
          <t>KL</t>
        </is>
      </c>
      <c r="K191" s="5" t="inlineStr"/>
      <c r="L191" s="7">
        <f>IFERROR(IF(F191&lt;F190,"NEGATIVE",ROUND(F191-F190,2)),"")</f>
        <v/>
      </c>
    </row>
    <row r="192" ht="22" customHeight="1">
      <c r="B192" s="8" t="inlineStr">
        <is>
          <t>R00188</t>
        </is>
      </c>
      <c r="C192" s="8" t="inlineStr">
        <is>
          <t>MTR-BLR-003</t>
        </is>
      </c>
      <c r="D192" s="8" t="inlineStr">
        <is>
          <t>Boiler House</t>
        </is>
      </c>
      <c r="E192" s="8" t="inlineStr">
        <is>
          <t>Steam Boiler 1</t>
        </is>
      </c>
      <c r="F192" s="8" t="inlineStr">
        <is>
          <t>2024-07-07 08:00</t>
        </is>
      </c>
      <c r="G192" s="12" t="n">
        <v>59108.8</v>
      </c>
      <c r="H192" s="8" t="inlineStr">
        <is>
          <t>m3</t>
        </is>
      </c>
      <c r="I192" s="8" t="inlineStr">
        <is>
          <t>cumulative</t>
        </is>
      </c>
      <c r="J192" s="8" t="inlineStr">
        <is>
          <t>KL</t>
        </is>
      </c>
      <c r="K192" s="8" t="inlineStr"/>
      <c r="L192" s="10">
        <f>IFERROR(IF(F192&lt;F191,"NEGATIVE",ROUND(F192-F191,2)),"")</f>
        <v/>
      </c>
    </row>
    <row r="193" ht="22" customHeight="1">
      <c r="B193" s="5" t="inlineStr">
        <is>
          <t>R00189</t>
        </is>
      </c>
      <c r="C193" s="5" t="inlineStr">
        <is>
          <t>MTR-BLR-003</t>
        </is>
      </c>
      <c r="D193" s="5" t="inlineStr">
        <is>
          <t>Boiler House</t>
        </is>
      </c>
      <c r="E193" s="5" t="inlineStr">
        <is>
          <t>Steam Boiler 1</t>
        </is>
      </c>
      <c r="F193" s="5" t="inlineStr">
        <is>
          <t>2024-07-08 08:00</t>
        </is>
      </c>
      <c r="G193" s="11" t="n">
        <v>59130.26</v>
      </c>
      <c r="H193" s="5" t="inlineStr">
        <is>
          <t>m3</t>
        </is>
      </c>
      <c r="I193" s="5" t="inlineStr">
        <is>
          <t>cumulative</t>
        </is>
      </c>
      <c r="J193" s="5" t="inlineStr">
        <is>
          <t>KL</t>
        </is>
      </c>
      <c r="K193" s="5" t="inlineStr"/>
      <c r="L193" s="7">
        <f>IFERROR(IF(F193&lt;F192,"NEGATIVE",ROUND(F193-F192,2)),"")</f>
        <v/>
      </c>
    </row>
    <row r="194" ht="22" customHeight="1">
      <c r="B194" s="8" t="inlineStr">
        <is>
          <t>R00190</t>
        </is>
      </c>
      <c r="C194" s="8" t="inlineStr">
        <is>
          <t>MTR-BLR-003</t>
        </is>
      </c>
      <c r="D194" s="8" t="inlineStr">
        <is>
          <t>Boiler House</t>
        </is>
      </c>
      <c r="E194" s="8" t="inlineStr">
        <is>
          <t>Steam Boiler 1</t>
        </is>
      </c>
      <c r="F194" s="8" t="inlineStr">
        <is>
          <t>2024-07-09 08:00</t>
        </is>
      </c>
      <c r="G194" s="12" t="n">
        <v>59152.73</v>
      </c>
      <c r="H194" s="8" t="inlineStr">
        <is>
          <t>m3</t>
        </is>
      </c>
      <c r="I194" s="8" t="inlineStr">
        <is>
          <t>cumulative</t>
        </is>
      </c>
      <c r="J194" s="8" t="inlineStr">
        <is>
          <t>IJ</t>
        </is>
      </c>
      <c r="K194" s="8" t="inlineStr"/>
      <c r="L194" s="10">
        <f>IFERROR(IF(F194&lt;F193,"NEGATIVE",ROUND(F194-F193,2)),"")</f>
        <v/>
      </c>
    </row>
    <row r="195" ht="22" customHeight="1">
      <c r="B195" s="5" t="inlineStr">
        <is>
          <t>R00191</t>
        </is>
      </c>
      <c r="C195" s="5" t="inlineStr">
        <is>
          <t>MTR-BLR-003</t>
        </is>
      </c>
      <c r="D195" s="5" t="inlineStr">
        <is>
          <t>Boiler House</t>
        </is>
      </c>
      <c r="E195" s="5" t="inlineStr">
        <is>
          <t>Steam Boiler 1</t>
        </is>
      </c>
      <c r="F195" s="5" t="inlineStr">
        <is>
          <t>2024-07-10 08:00</t>
        </is>
      </c>
      <c r="G195" s="11" t="n">
        <v>59172.79</v>
      </c>
      <c r="H195" s="5" t="inlineStr">
        <is>
          <t>m3</t>
        </is>
      </c>
      <c r="I195" s="5" t="inlineStr">
        <is>
          <t>cumulative</t>
        </is>
      </c>
      <c r="J195" s="5" t="inlineStr">
        <is>
          <t>IJ</t>
        </is>
      </c>
      <c r="K195" s="5" t="inlineStr"/>
      <c r="L195" s="7">
        <f>IFERROR(IF(F195&lt;F194,"NEGATIVE",ROUND(F195-F194,2)),"")</f>
        <v/>
      </c>
    </row>
    <row r="196" ht="22" customHeight="1">
      <c r="B196" s="8" t="inlineStr">
        <is>
          <t>R00192</t>
        </is>
      </c>
      <c r="C196" s="8" t="inlineStr">
        <is>
          <t>MTR-BLR-003</t>
        </is>
      </c>
      <c r="D196" s="8" t="inlineStr">
        <is>
          <t>Boiler House</t>
        </is>
      </c>
      <c r="E196" s="8" t="inlineStr">
        <is>
          <t>Steam Boiler 1</t>
        </is>
      </c>
      <c r="F196" s="8" t="inlineStr">
        <is>
          <t>2024-07-11 08:00</t>
        </is>
      </c>
      <c r="G196" s="12" t="n">
        <v>59194.53</v>
      </c>
      <c r="H196" s="8" t="inlineStr">
        <is>
          <t>m3</t>
        </is>
      </c>
      <c r="I196" s="8" t="inlineStr">
        <is>
          <t>cumulative</t>
        </is>
      </c>
      <c r="J196" s="8" t="inlineStr">
        <is>
          <t>IJ</t>
        </is>
      </c>
      <c r="K196" s="8" t="inlineStr"/>
      <c r="L196" s="10">
        <f>IFERROR(IF(F196&lt;F195,"NEGATIVE",ROUND(F196-F195,2)),"")</f>
        <v/>
      </c>
    </row>
    <row r="197" ht="22" customHeight="1">
      <c r="B197" s="5" t="inlineStr">
        <is>
          <t>R00193</t>
        </is>
      </c>
      <c r="C197" s="5" t="inlineStr">
        <is>
          <t>MTR-BLR-003</t>
        </is>
      </c>
      <c r="D197" s="5" t="inlineStr">
        <is>
          <t>Boiler House</t>
        </is>
      </c>
      <c r="E197" s="5" t="inlineStr">
        <is>
          <t>Steam Boiler 1</t>
        </is>
      </c>
      <c r="F197" s="5" t="inlineStr">
        <is>
          <t>2024-07-12 08:00</t>
        </is>
      </c>
      <c r="G197" s="11" t="n">
        <v>59213.98</v>
      </c>
      <c r="H197" s="5" t="inlineStr">
        <is>
          <t>m3</t>
        </is>
      </c>
      <c r="I197" s="5" t="inlineStr">
        <is>
          <t>cumulative</t>
        </is>
      </c>
      <c r="J197" s="5" t="inlineStr">
        <is>
          <t>GH</t>
        </is>
      </c>
      <c r="K197" s="5" t="inlineStr"/>
      <c r="L197" s="7">
        <f>IFERROR(IF(F197&lt;F196,"NEGATIVE",ROUND(F197-F196,2)),"")</f>
        <v/>
      </c>
    </row>
    <row r="198" ht="22" customHeight="1">
      <c r="B198" s="8" t="inlineStr">
        <is>
          <t>R00194</t>
        </is>
      </c>
      <c r="C198" s="8" t="inlineStr">
        <is>
          <t>MTR-BLR-003</t>
        </is>
      </c>
      <c r="D198" s="8" t="inlineStr">
        <is>
          <t>Boiler House</t>
        </is>
      </c>
      <c r="E198" s="8" t="inlineStr">
        <is>
          <t>Steam Boiler 1</t>
        </is>
      </c>
      <c r="F198" s="8" t="inlineStr">
        <is>
          <t>2024-07-13 08:00</t>
        </is>
      </c>
      <c r="G198" s="12" t="n">
        <v>59230.3</v>
      </c>
      <c r="H198" s="8" t="inlineStr">
        <is>
          <t>m3</t>
        </is>
      </c>
      <c r="I198" s="8" t="inlineStr">
        <is>
          <t>cumulative</t>
        </is>
      </c>
      <c r="J198" s="8" t="inlineStr">
        <is>
          <t>CD</t>
        </is>
      </c>
      <c r="K198" s="8" t="inlineStr"/>
      <c r="L198" s="10">
        <f>IFERROR(IF(F198&lt;F197,"NEGATIVE",ROUND(F198-F197,2)),"")</f>
        <v/>
      </c>
    </row>
    <row r="199" ht="22" customHeight="1">
      <c r="B199" s="5" t="inlineStr">
        <is>
          <t>R00195</t>
        </is>
      </c>
      <c r="C199" s="5" t="inlineStr">
        <is>
          <t>MTR-BLR-003</t>
        </is>
      </c>
      <c r="D199" s="5" t="inlineStr">
        <is>
          <t>Boiler House</t>
        </is>
      </c>
      <c r="E199" s="5" t="inlineStr">
        <is>
          <t>Steam Boiler 1</t>
        </is>
      </c>
      <c r="F199" s="5" t="inlineStr">
        <is>
          <t>2024-07-14 08:00</t>
        </is>
      </c>
      <c r="G199" s="11" t="n">
        <v>59243.61</v>
      </c>
      <c r="H199" s="5" t="inlineStr">
        <is>
          <t>m3</t>
        </is>
      </c>
      <c r="I199" s="5" t="inlineStr">
        <is>
          <t>cumulative</t>
        </is>
      </c>
      <c r="J199" s="5" t="inlineStr">
        <is>
          <t>IJ</t>
        </is>
      </c>
      <c r="K199" s="5" t="inlineStr"/>
      <c r="L199" s="7">
        <f>IFERROR(IF(F199&lt;F198,"NEGATIVE",ROUND(F199-F198,2)),"")</f>
        <v/>
      </c>
    </row>
    <row r="200" ht="22" customHeight="1">
      <c r="B200" s="8" t="inlineStr">
        <is>
          <t>R00196</t>
        </is>
      </c>
      <c r="C200" s="8" t="inlineStr">
        <is>
          <t>MTR-BLR-003</t>
        </is>
      </c>
      <c r="D200" s="8" t="inlineStr">
        <is>
          <t>Boiler House</t>
        </is>
      </c>
      <c r="E200" s="8" t="inlineStr">
        <is>
          <t>Steam Boiler 1</t>
        </is>
      </c>
      <c r="F200" s="8" t="inlineStr">
        <is>
          <t>2024-07-15 08:00</t>
        </is>
      </c>
      <c r="G200" s="12" t="n">
        <v>59269.11</v>
      </c>
      <c r="H200" s="8" t="inlineStr">
        <is>
          <t>m3</t>
        </is>
      </c>
      <c r="I200" s="8" t="inlineStr">
        <is>
          <t>cumulative</t>
        </is>
      </c>
      <c r="J200" s="8" t="inlineStr">
        <is>
          <t>GH</t>
        </is>
      </c>
      <c r="K200" s="8" t="inlineStr"/>
      <c r="L200" s="10">
        <f>IFERROR(IF(F200&lt;F199,"NEGATIVE",ROUND(F200-F199,2)),"")</f>
        <v/>
      </c>
    </row>
    <row r="201" ht="22" customHeight="1">
      <c r="B201" s="5" t="inlineStr">
        <is>
          <t>R00197</t>
        </is>
      </c>
      <c r="C201" s="5" t="inlineStr">
        <is>
          <t>MTR-BLR-003</t>
        </is>
      </c>
      <c r="D201" s="5" t="inlineStr">
        <is>
          <t>Boiler House</t>
        </is>
      </c>
      <c r="E201" s="5" t="inlineStr">
        <is>
          <t>Steam Boiler 1</t>
        </is>
      </c>
      <c r="F201" s="5" t="inlineStr">
        <is>
          <t>2024-07-16 08:00</t>
        </is>
      </c>
      <c r="G201" s="11" t="n">
        <v>59293.19</v>
      </c>
      <c r="H201" s="5" t="inlineStr">
        <is>
          <t>m3</t>
        </is>
      </c>
      <c r="I201" s="5" t="inlineStr">
        <is>
          <t>cumulative</t>
        </is>
      </c>
      <c r="J201" s="5" t="inlineStr">
        <is>
          <t>AB</t>
        </is>
      </c>
      <c r="K201" s="5" t="inlineStr"/>
      <c r="L201" s="7">
        <f>IFERROR(IF(F201&lt;F200,"NEGATIVE",ROUND(F201-F200,2)),"")</f>
        <v/>
      </c>
    </row>
    <row r="202" ht="22" customHeight="1">
      <c r="B202" s="8" t="inlineStr">
        <is>
          <t>R00198</t>
        </is>
      </c>
      <c r="C202" s="8" t="inlineStr">
        <is>
          <t>MTR-BLR-003</t>
        </is>
      </c>
      <c r="D202" s="8" t="inlineStr">
        <is>
          <t>Boiler House</t>
        </is>
      </c>
      <c r="E202" s="8" t="inlineStr">
        <is>
          <t>Steam Boiler 1</t>
        </is>
      </c>
      <c r="F202" s="8" t="inlineStr">
        <is>
          <t>2024-07-17 08:00</t>
        </is>
      </c>
      <c r="G202" s="12" t="n">
        <v>59316.85</v>
      </c>
      <c r="H202" s="8" t="inlineStr">
        <is>
          <t>m3</t>
        </is>
      </c>
      <c r="I202" s="8" t="inlineStr">
        <is>
          <t>cumulative</t>
        </is>
      </c>
      <c r="J202" s="8" t="inlineStr">
        <is>
          <t>AB</t>
        </is>
      </c>
      <c r="K202" s="8" t="inlineStr"/>
      <c r="L202" s="10">
        <f>IFERROR(IF(F202&lt;F201,"NEGATIVE",ROUND(F202-F201,2)),"")</f>
        <v/>
      </c>
    </row>
    <row r="203" ht="22" customHeight="1">
      <c r="B203" s="5" t="inlineStr">
        <is>
          <t>R00199</t>
        </is>
      </c>
      <c r="C203" s="5" t="inlineStr">
        <is>
          <t>MTR-BLR-003</t>
        </is>
      </c>
      <c r="D203" s="5" t="inlineStr">
        <is>
          <t>Boiler House</t>
        </is>
      </c>
      <c r="E203" s="5" t="inlineStr">
        <is>
          <t>Steam Boiler 1</t>
        </is>
      </c>
      <c r="F203" s="5" t="inlineStr">
        <is>
          <t>2024-07-18 08:00</t>
        </is>
      </c>
      <c r="G203" s="11" t="n">
        <v>59339.66</v>
      </c>
      <c r="H203" s="5" t="inlineStr">
        <is>
          <t>m3</t>
        </is>
      </c>
      <c r="I203" s="5" t="inlineStr">
        <is>
          <t>cumulative</t>
        </is>
      </c>
      <c r="J203" s="5" t="inlineStr">
        <is>
          <t>IJ</t>
        </is>
      </c>
      <c r="K203" s="5" t="inlineStr"/>
      <c r="L203" s="7">
        <f>IFERROR(IF(F203&lt;F202,"NEGATIVE",ROUND(F203-F202,2)),"")</f>
        <v/>
      </c>
    </row>
    <row r="204" ht="22" customHeight="1">
      <c r="B204" s="8" t="inlineStr">
        <is>
          <t>R00200</t>
        </is>
      </c>
      <c r="C204" s="8" t="inlineStr">
        <is>
          <t>MTR-BLR-003</t>
        </is>
      </c>
      <c r="D204" s="8" t="inlineStr">
        <is>
          <t>Boiler House</t>
        </is>
      </c>
      <c r="E204" s="8" t="inlineStr">
        <is>
          <t>Steam Boiler 1</t>
        </is>
      </c>
      <c r="F204" s="8" t="inlineStr">
        <is>
          <t>2024-07-19 08:00</t>
        </is>
      </c>
      <c r="G204" s="12" t="n">
        <v>59360.46</v>
      </c>
      <c r="H204" s="8" t="inlineStr">
        <is>
          <t>m3</t>
        </is>
      </c>
      <c r="I204" s="8" t="inlineStr">
        <is>
          <t>cumulative</t>
        </is>
      </c>
      <c r="J204" s="8" t="inlineStr">
        <is>
          <t>IJ</t>
        </is>
      </c>
      <c r="K204" s="8" t="inlineStr"/>
      <c r="L204" s="10">
        <f>IFERROR(IF(F204&lt;F203,"NEGATIVE",ROUND(F204-F203,2)),"")</f>
        <v/>
      </c>
    </row>
    <row r="205" ht="22" customHeight="1">
      <c r="B205" s="5" t="inlineStr">
        <is>
          <t>R00201</t>
        </is>
      </c>
      <c r="C205" s="5" t="inlineStr">
        <is>
          <t>MTR-BLR-003</t>
        </is>
      </c>
      <c r="D205" s="5" t="inlineStr">
        <is>
          <t>Boiler House</t>
        </is>
      </c>
      <c r="E205" s="5" t="inlineStr">
        <is>
          <t>Steam Boiler 1</t>
        </is>
      </c>
      <c r="F205" s="5" t="inlineStr">
        <is>
          <t>2024-07-20 08:00</t>
        </is>
      </c>
      <c r="G205" s="11" t="n">
        <v>59377.87</v>
      </c>
      <c r="H205" s="5" t="inlineStr">
        <is>
          <t>m3</t>
        </is>
      </c>
      <c r="I205" s="5" t="inlineStr">
        <is>
          <t>cumulative</t>
        </is>
      </c>
      <c r="J205" s="5" t="inlineStr">
        <is>
          <t>IJ</t>
        </is>
      </c>
      <c r="K205" s="5" t="inlineStr"/>
      <c r="L205" s="7">
        <f>IFERROR(IF(F205&lt;F204,"NEGATIVE",ROUND(F205-F204,2)),"")</f>
        <v/>
      </c>
    </row>
    <row r="206" ht="22" customHeight="1">
      <c r="B206" s="8" t="inlineStr">
        <is>
          <t>R00202</t>
        </is>
      </c>
      <c r="C206" s="8" t="inlineStr">
        <is>
          <t>MTR-BLR-003</t>
        </is>
      </c>
      <c r="D206" s="8" t="inlineStr">
        <is>
          <t>Boiler House</t>
        </is>
      </c>
      <c r="E206" s="8" t="inlineStr">
        <is>
          <t>Steam Boiler 1</t>
        </is>
      </c>
      <c r="F206" s="8" t="inlineStr">
        <is>
          <t>2024-07-21 08:00</t>
        </is>
      </c>
      <c r="G206" s="12" t="n">
        <v>59388.31</v>
      </c>
      <c r="H206" s="8" t="inlineStr">
        <is>
          <t>m3</t>
        </is>
      </c>
      <c r="I206" s="8" t="inlineStr">
        <is>
          <t>cumulative</t>
        </is>
      </c>
      <c r="J206" s="8" t="inlineStr">
        <is>
          <t>GH</t>
        </is>
      </c>
      <c r="K206" s="8" t="inlineStr"/>
      <c r="L206" s="10">
        <f>IFERROR(IF(F206&lt;F205,"NEGATIVE",ROUND(F206-F205,2)),"")</f>
        <v/>
      </c>
    </row>
    <row r="207" ht="22" customHeight="1">
      <c r="B207" s="5" t="inlineStr">
        <is>
          <t>R00203</t>
        </is>
      </c>
      <c r="C207" s="5" t="inlineStr">
        <is>
          <t>MTR-BLR-003</t>
        </is>
      </c>
      <c r="D207" s="5" t="inlineStr">
        <is>
          <t>Boiler House</t>
        </is>
      </c>
      <c r="E207" s="5" t="inlineStr">
        <is>
          <t>Steam Boiler 1</t>
        </is>
      </c>
      <c r="F207" s="5" t="inlineStr">
        <is>
          <t>2024-07-22 08:00</t>
        </is>
      </c>
      <c r="G207" s="11" t="n">
        <v>59407.8</v>
      </c>
      <c r="H207" s="5" t="inlineStr">
        <is>
          <t>m3</t>
        </is>
      </c>
      <c r="I207" s="5" t="inlineStr">
        <is>
          <t>cumulative</t>
        </is>
      </c>
      <c r="J207" s="5" t="inlineStr">
        <is>
          <t>GH</t>
        </is>
      </c>
      <c r="K207" s="5" t="inlineStr"/>
      <c r="L207" s="7">
        <f>IFERROR(IF(F207&lt;F206,"NEGATIVE",ROUND(F207-F206,2)),"")</f>
        <v/>
      </c>
    </row>
    <row r="208" ht="22" customHeight="1">
      <c r="B208" s="8" t="inlineStr">
        <is>
          <t>R00204</t>
        </is>
      </c>
      <c r="C208" s="8" t="inlineStr">
        <is>
          <t>MTR-BLR-003</t>
        </is>
      </c>
      <c r="D208" s="8" t="inlineStr">
        <is>
          <t>Boiler House</t>
        </is>
      </c>
      <c r="E208" s="8" t="inlineStr">
        <is>
          <t>Steam Boiler 1</t>
        </is>
      </c>
      <c r="F208" s="8" t="inlineStr">
        <is>
          <t>2024-07-23 08:00</t>
        </is>
      </c>
      <c r="G208" s="12" t="n">
        <v>59428.02</v>
      </c>
      <c r="H208" s="8" t="inlineStr">
        <is>
          <t>m3</t>
        </is>
      </c>
      <c r="I208" s="8" t="inlineStr">
        <is>
          <t>cumulative</t>
        </is>
      </c>
      <c r="J208" s="8" t="inlineStr">
        <is>
          <t>IJ</t>
        </is>
      </c>
      <c r="K208" s="8" t="inlineStr"/>
      <c r="L208" s="10">
        <f>IFERROR(IF(F208&lt;F207,"NEGATIVE",ROUND(F208-F207,2)),"")</f>
        <v/>
      </c>
    </row>
    <row r="209" ht="22" customHeight="1">
      <c r="B209" s="5" t="inlineStr">
        <is>
          <t>R00205</t>
        </is>
      </c>
      <c r="C209" s="5" t="inlineStr">
        <is>
          <t>MTR-BLR-003</t>
        </is>
      </c>
      <c r="D209" s="5" t="inlineStr">
        <is>
          <t>Boiler House</t>
        </is>
      </c>
      <c r="E209" s="5" t="inlineStr">
        <is>
          <t>Steam Boiler 1</t>
        </is>
      </c>
      <c r="F209" s="5" t="inlineStr">
        <is>
          <t>2024-07-24 08:00</t>
        </is>
      </c>
      <c r="G209" s="11" t="n">
        <v>59453.41</v>
      </c>
      <c r="H209" s="5" t="inlineStr">
        <is>
          <t>m3</t>
        </is>
      </c>
      <c r="I209" s="5" t="inlineStr">
        <is>
          <t>cumulative</t>
        </is>
      </c>
      <c r="J209" s="5" t="inlineStr">
        <is>
          <t>AB</t>
        </is>
      </c>
      <c r="K209" s="5" t="inlineStr"/>
      <c r="L209" s="7">
        <f>IFERROR(IF(F209&lt;F208,"NEGATIVE",ROUND(F209-F208,2)),"")</f>
        <v/>
      </c>
    </row>
    <row r="210" ht="22" customHeight="1">
      <c r="B210" s="8" t="inlineStr">
        <is>
          <t>R00206</t>
        </is>
      </c>
      <c r="C210" s="8" t="inlineStr">
        <is>
          <t>MTR-BLR-003</t>
        </is>
      </c>
      <c r="D210" s="8" t="inlineStr">
        <is>
          <t>Boiler House</t>
        </is>
      </c>
      <c r="E210" s="8" t="inlineStr">
        <is>
          <t>Steam Boiler 1</t>
        </is>
      </c>
      <c r="F210" s="8" t="inlineStr">
        <is>
          <t>2024-07-25 08:00</t>
        </is>
      </c>
      <c r="G210" s="12" t="n">
        <v>59474.91</v>
      </c>
      <c r="H210" s="8" t="inlineStr">
        <is>
          <t>m3</t>
        </is>
      </c>
      <c r="I210" s="8" t="inlineStr">
        <is>
          <t>cumulative</t>
        </is>
      </c>
      <c r="J210" s="8" t="inlineStr">
        <is>
          <t>IJ</t>
        </is>
      </c>
      <c r="K210" s="8" t="inlineStr"/>
      <c r="L210" s="10">
        <f>IFERROR(IF(F210&lt;F209,"NEGATIVE",ROUND(F210-F209,2)),"")</f>
        <v/>
      </c>
    </row>
    <row r="211" ht="22" customHeight="1">
      <c r="B211" s="5" t="inlineStr">
        <is>
          <t>R00207</t>
        </is>
      </c>
      <c r="C211" s="5" t="inlineStr">
        <is>
          <t>MTR-BLR-003</t>
        </is>
      </c>
      <c r="D211" s="5" t="inlineStr">
        <is>
          <t>Boiler House</t>
        </is>
      </c>
      <c r="E211" s="5" t="inlineStr">
        <is>
          <t>Steam Boiler 1</t>
        </is>
      </c>
      <c r="F211" s="5" t="inlineStr">
        <is>
          <t>2024-07-26 08:00</t>
        </is>
      </c>
      <c r="G211" s="11" t="n">
        <v>59499.98</v>
      </c>
      <c r="H211" s="5" t="inlineStr">
        <is>
          <t>m3</t>
        </is>
      </c>
      <c r="I211" s="5" t="inlineStr">
        <is>
          <t>cumulative</t>
        </is>
      </c>
      <c r="J211" s="5" t="inlineStr">
        <is>
          <t>EF</t>
        </is>
      </c>
      <c r="K211" s="5" t="inlineStr"/>
      <c r="L211" s="7">
        <f>IFERROR(IF(F211&lt;F210,"NEGATIVE",ROUND(F211-F210,2)),"")</f>
        <v/>
      </c>
    </row>
    <row r="212" ht="22" customHeight="1">
      <c r="B212" s="8" t="inlineStr">
        <is>
          <t>R00208</t>
        </is>
      </c>
      <c r="C212" s="8" t="inlineStr">
        <is>
          <t>MTR-BLR-003</t>
        </is>
      </c>
      <c r="D212" s="8" t="inlineStr">
        <is>
          <t>Boiler House</t>
        </is>
      </c>
      <c r="E212" s="8" t="inlineStr">
        <is>
          <t>Steam Boiler 1</t>
        </is>
      </c>
      <c r="F212" s="8" t="inlineStr">
        <is>
          <t>2024-07-27 08:00</t>
        </is>
      </c>
      <c r="G212" s="12" t="n">
        <v>59516.92</v>
      </c>
      <c r="H212" s="8" t="inlineStr">
        <is>
          <t>m3</t>
        </is>
      </c>
      <c r="I212" s="8" t="inlineStr">
        <is>
          <t>cumulative</t>
        </is>
      </c>
      <c r="J212" s="8" t="inlineStr">
        <is>
          <t>CD</t>
        </is>
      </c>
      <c r="K212" s="8" t="inlineStr"/>
      <c r="L212" s="10">
        <f>IFERROR(IF(F212&lt;F211,"NEGATIVE",ROUND(F212-F211,2)),"")</f>
        <v/>
      </c>
    </row>
    <row r="213" ht="22" customHeight="1">
      <c r="B213" s="5" t="inlineStr">
        <is>
          <t>R00209</t>
        </is>
      </c>
      <c r="C213" s="5" t="inlineStr">
        <is>
          <t>MTR-BLR-003</t>
        </is>
      </c>
      <c r="D213" s="5" t="inlineStr">
        <is>
          <t>Boiler House</t>
        </is>
      </c>
      <c r="E213" s="5" t="inlineStr">
        <is>
          <t>Steam Boiler 1</t>
        </is>
      </c>
      <c r="F213" s="5" t="inlineStr">
        <is>
          <t>2024-07-28 08:00</t>
        </is>
      </c>
      <c r="G213" s="11" t="n">
        <v>59530.24</v>
      </c>
      <c r="H213" s="5" t="inlineStr">
        <is>
          <t>m3</t>
        </is>
      </c>
      <c r="I213" s="5" t="inlineStr">
        <is>
          <t>cumulative</t>
        </is>
      </c>
      <c r="J213" s="5" t="inlineStr">
        <is>
          <t>KL</t>
        </is>
      </c>
      <c r="K213" s="5" t="inlineStr"/>
      <c r="L213" s="7">
        <f>IFERROR(IF(F213&lt;F212,"NEGATIVE",ROUND(F213-F212,2)),"")</f>
        <v/>
      </c>
    </row>
    <row r="214" ht="22" customHeight="1">
      <c r="B214" s="8" t="inlineStr">
        <is>
          <t>R00210</t>
        </is>
      </c>
      <c r="C214" s="8" t="inlineStr">
        <is>
          <t>MTR-BLR-003</t>
        </is>
      </c>
      <c r="D214" s="8" t="inlineStr">
        <is>
          <t>Boiler House</t>
        </is>
      </c>
      <c r="E214" s="8" t="inlineStr">
        <is>
          <t>Steam Boiler 1</t>
        </is>
      </c>
      <c r="F214" s="8" t="inlineStr">
        <is>
          <t>2024-07-29 08:00</t>
        </is>
      </c>
      <c r="G214" s="12" t="n">
        <v>59555.82</v>
      </c>
      <c r="H214" s="8" t="inlineStr">
        <is>
          <t>m3</t>
        </is>
      </c>
      <c r="I214" s="8" t="inlineStr">
        <is>
          <t>cumulative</t>
        </is>
      </c>
      <c r="J214" s="8" t="inlineStr">
        <is>
          <t>AB</t>
        </is>
      </c>
      <c r="K214" s="8" t="inlineStr"/>
      <c r="L214" s="10">
        <f>IFERROR(IF(F214&lt;F213,"NEGATIVE",ROUND(F214-F213,2)),"")</f>
        <v/>
      </c>
    </row>
    <row r="215" ht="22" customHeight="1">
      <c r="B215" s="5" t="inlineStr">
        <is>
          <t>R00211</t>
        </is>
      </c>
      <c r="C215" s="5" t="inlineStr">
        <is>
          <t>MTR-BLR-003</t>
        </is>
      </c>
      <c r="D215" s="5" t="inlineStr">
        <is>
          <t>Boiler House</t>
        </is>
      </c>
      <c r="E215" s="5" t="inlineStr">
        <is>
          <t>Steam Boiler 1</t>
        </is>
      </c>
      <c r="F215" s="5" t="inlineStr">
        <is>
          <t>2024-07-30 08:00</t>
        </is>
      </c>
      <c r="G215" s="11" t="n">
        <v>59575.79</v>
      </c>
      <c r="H215" s="5" t="inlineStr">
        <is>
          <t>m3</t>
        </is>
      </c>
      <c r="I215" s="5" t="inlineStr">
        <is>
          <t>cumulative</t>
        </is>
      </c>
      <c r="J215" s="5" t="inlineStr">
        <is>
          <t>CD</t>
        </is>
      </c>
      <c r="K215" s="5" t="inlineStr"/>
      <c r="L215" s="7">
        <f>IFERROR(IF(F215&lt;F214,"NEGATIVE",ROUND(F215-F214,2)),"")</f>
        <v/>
      </c>
    </row>
    <row r="216" ht="22" customHeight="1">
      <c r="B216" s="8" t="inlineStr">
        <is>
          <t>R00212</t>
        </is>
      </c>
      <c r="C216" s="8" t="inlineStr">
        <is>
          <t>MTR-BLR-003</t>
        </is>
      </c>
      <c r="D216" s="8" t="inlineStr">
        <is>
          <t>Boiler House</t>
        </is>
      </c>
      <c r="E216" s="8" t="inlineStr">
        <is>
          <t>Steam Boiler 1</t>
        </is>
      </c>
      <c r="F216" s="8" t="inlineStr">
        <is>
          <t>2024-07-31 08:00</t>
        </is>
      </c>
      <c r="G216" s="12" t="n">
        <v>59598.31</v>
      </c>
      <c r="H216" s="8" t="inlineStr">
        <is>
          <t>m3</t>
        </is>
      </c>
      <c r="I216" s="8" t="inlineStr">
        <is>
          <t>cumulative</t>
        </is>
      </c>
      <c r="J216" s="8" t="inlineStr">
        <is>
          <t>GH</t>
        </is>
      </c>
      <c r="K216" s="8" t="inlineStr"/>
      <c r="L216" s="10">
        <f>IFERROR(IF(F216&lt;F215,"NEGATIVE",ROUND(F216-F215,2)),"")</f>
        <v/>
      </c>
    </row>
    <row r="217" ht="22" customHeight="1">
      <c r="B217" s="5" t="inlineStr">
        <is>
          <t>R00213</t>
        </is>
      </c>
      <c r="C217" s="5" t="inlineStr">
        <is>
          <t>MTR-BLR-003</t>
        </is>
      </c>
      <c r="D217" s="5" t="inlineStr">
        <is>
          <t>Boiler House</t>
        </is>
      </c>
      <c r="E217" s="5" t="inlineStr">
        <is>
          <t>Steam Boiler 1</t>
        </is>
      </c>
      <c r="F217" s="5" t="inlineStr">
        <is>
          <t>2024-08-01 08:00</t>
        </is>
      </c>
      <c r="G217" s="11" t="n">
        <v>59617.48</v>
      </c>
      <c r="H217" s="5" t="inlineStr">
        <is>
          <t>m3</t>
        </is>
      </c>
      <c r="I217" s="5" t="inlineStr">
        <is>
          <t>cumulative</t>
        </is>
      </c>
      <c r="J217" s="5" t="inlineStr">
        <is>
          <t>AB</t>
        </is>
      </c>
      <c r="K217" s="5" t="inlineStr"/>
      <c r="L217" s="7">
        <f>IFERROR(IF(F217&lt;F216,"NEGATIVE",ROUND(F217-F216,2)),"")</f>
        <v/>
      </c>
    </row>
    <row r="218" ht="22" customHeight="1">
      <c r="B218" s="8" t="inlineStr">
        <is>
          <t>R00214</t>
        </is>
      </c>
      <c r="C218" s="8" t="inlineStr">
        <is>
          <t>MTR-BLR-003</t>
        </is>
      </c>
      <c r="D218" s="8" t="inlineStr">
        <is>
          <t>Boiler House</t>
        </is>
      </c>
      <c r="E218" s="8" t="inlineStr">
        <is>
          <t>Steam Boiler 1</t>
        </is>
      </c>
      <c r="F218" s="8" t="inlineStr">
        <is>
          <t>2024-08-02 08:00</t>
        </is>
      </c>
      <c r="G218" s="12" t="n">
        <v>59638.95</v>
      </c>
      <c r="H218" s="8" t="inlineStr">
        <is>
          <t>m3</t>
        </is>
      </c>
      <c r="I218" s="8" t="inlineStr">
        <is>
          <t>cumulative</t>
        </is>
      </c>
      <c r="J218" s="8" t="inlineStr">
        <is>
          <t>CD</t>
        </is>
      </c>
      <c r="K218" s="8" t="inlineStr"/>
      <c r="L218" s="10">
        <f>IFERROR(IF(F218&lt;F217,"NEGATIVE",ROUND(F218-F217,2)),"")</f>
        <v/>
      </c>
    </row>
    <row r="219" ht="22" customHeight="1">
      <c r="B219" s="5" t="inlineStr">
        <is>
          <t>R00215</t>
        </is>
      </c>
      <c r="C219" s="5" t="inlineStr">
        <is>
          <t>MTR-BLR-003</t>
        </is>
      </c>
      <c r="D219" s="5" t="inlineStr">
        <is>
          <t>Boiler House</t>
        </is>
      </c>
      <c r="E219" s="5" t="inlineStr">
        <is>
          <t>Steam Boiler 1</t>
        </is>
      </c>
      <c r="F219" s="5" t="inlineStr">
        <is>
          <t>2024-08-03 08:00</t>
        </is>
      </c>
      <c r="G219" s="11" t="n">
        <v>59656.82</v>
      </c>
      <c r="H219" s="5" t="inlineStr">
        <is>
          <t>m3</t>
        </is>
      </c>
      <c r="I219" s="5" t="inlineStr">
        <is>
          <t>cumulative</t>
        </is>
      </c>
      <c r="J219" s="5" t="inlineStr">
        <is>
          <t>AB</t>
        </is>
      </c>
      <c r="K219" s="5" t="inlineStr"/>
      <c r="L219" s="7">
        <f>IFERROR(IF(F219&lt;F218,"NEGATIVE",ROUND(F219-F218,2)),"")</f>
        <v/>
      </c>
    </row>
    <row r="220" ht="22" customHeight="1">
      <c r="B220" s="8" t="inlineStr">
        <is>
          <t>R00216</t>
        </is>
      </c>
      <c r="C220" s="8" t="inlineStr">
        <is>
          <t>MTR-BLR-003</t>
        </is>
      </c>
      <c r="D220" s="8" t="inlineStr">
        <is>
          <t>Boiler House</t>
        </is>
      </c>
      <c r="E220" s="8" t="inlineStr">
        <is>
          <t>Steam Boiler 1</t>
        </is>
      </c>
      <c r="F220" s="8" t="inlineStr">
        <is>
          <t>2024-08-04 08:00</t>
        </is>
      </c>
      <c r="G220" s="12" t="n">
        <v>59669.55</v>
      </c>
      <c r="H220" s="8" t="inlineStr">
        <is>
          <t>m3</t>
        </is>
      </c>
      <c r="I220" s="8" t="inlineStr">
        <is>
          <t>cumulative</t>
        </is>
      </c>
      <c r="J220" s="8" t="inlineStr">
        <is>
          <t>AB</t>
        </is>
      </c>
      <c r="K220" s="8" t="inlineStr"/>
      <c r="L220" s="10">
        <f>IFERROR(IF(F220&lt;F219,"NEGATIVE",ROUND(F220-F219,2)),"")</f>
        <v/>
      </c>
    </row>
    <row r="221" ht="22" customHeight="1">
      <c r="B221" s="5" t="inlineStr">
        <is>
          <t>R00217</t>
        </is>
      </c>
      <c r="C221" s="5" t="inlineStr">
        <is>
          <t>MTR-BLR-003</t>
        </is>
      </c>
      <c r="D221" s="5" t="inlineStr">
        <is>
          <t>Boiler House</t>
        </is>
      </c>
      <c r="E221" s="5" t="inlineStr">
        <is>
          <t>Steam Boiler 1</t>
        </is>
      </c>
      <c r="F221" s="5" t="inlineStr">
        <is>
          <t>2024-08-05 08:00</t>
        </is>
      </c>
      <c r="G221" s="11" t="n">
        <v>59692.32</v>
      </c>
      <c r="H221" s="5" t="inlineStr">
        <is>
          <t>m3</t>
        </is>
      </c>
      <c r="I221" s="5" t="inlineStr">
        <is>
          <t>cumulative</t>
        </is>
      </c>
      <c r="J221" s="5" t="inlineStr">
        <is>
          <t>CD</t>
        </is>
      </c>
      <c r="K221" s="5" t="inlineStr"/>
      <c r="L221" s="7">
        <f>IFERROR(IF(F221&lt;F220,"NEGATIVE",ROUND(F221-F220,2)),"")</f>
        <v/>
      </c>
    </row>
    <row r="222" ht="22" customHeight="1">
      <c r="B222" s="8" t="inlineStr">
        <is>
          <t>R00218</t>
        </is>
      </c>
      <c r="C222" s="8" t="inlineStr">
        <is>
          <t>MTR-BLR-003</t>
        </is>
      </c>
      <c r="D222" s="8" t="inlineStr">
        <is>
          <t>Boiler House</t>
        </is>
      </c>
      <c r="E222" s="8" t="inlineStr">
        <is>
          <t>Steam Boiler 1</t>
        </is>
      </c>
      <c r="F222" s="8" t="inlineStr">
        <is>
          <t>2024-08-06 08:00</t>
        </is>
      </c>
      <c r="G222" s="12" t="n">
        <v>59712.36</v>
      </c>
      <c r="H222" s="8" t="inlineStr">
        <is>
          <t>m3</t>
        </is>
      </c>
      <c r="I222" s="8" t="inlineStr">
        <is>
          <t>cumulative</t>
        </is>
      </c>
      <c r="J222" s="8" t="inlineStr">
        <is>
          <t>GH</t>
        </is>
      </c>
      <c r="K222" s="8" t="inlineStr"/>
      <c r="L222" s="10">
        <f>IFERROR(IF(F222&lt;F221,"NEGATIVE",ROUND(F222-F221,2)),"")</f>
        <v/>
      </c>
    </row>
    <row r="223" ht="22" customHeight="1">
      <c r="B223" s="5" t="inlineStr">
        <is>
          <t>R00219</t>
        </is>
      </c>
      <c r="C223" s="5" t="inlineStr">
        <is>
          <t>MTR-BLR-003</t>
        </is>
      </c>
      <c r="D223" s="5" t="inlineStr">
        <is>
          <t>Boiler House</t>
        </is>
      </c>
      <c r="E223" s="5" t="inlineStr">
        <is>
          <t>Steam Boiler 1</t>
        </is>
      </c>
      <c r="F223" s="5" t="inlineStr">
        <is>
          <t>2024-08-07 08:00</t>
        </is>
      </c>
      <c r="G223" s="11" t="n">
        <v>59731.18</v>
      </c>
      <c r="H223" s="5" t="inlineStr">
        <is>
          <t>m3</t>
        </is>
      </c>
      <c r="I223" s="5" t="inlineStr">
        <is>
          <t>cumulative</t>
        </is>
      </c>
      <c r="J223" s="5" t="inlineStr">
        <is>
          <t>GH</t>
        </is>
      </c>
      <c r="K223" s="5" t="inlineStr"/>
      <c r="L223" s="7">
        <f>IFERROR(IF(F223&lt;F222,"NEGATIVE",ROUND(F223-F222,2)),"")</f>
        <v/>
      </c>
    </row>
    <row r="224" ht="22" customHeight="1">
      <c r="B224" s="8" t="inlineStr">
        <is>
          <t>R00220</t>
        </is>
      </c>
      <c r="C224" s="8" t="inlineStr">
        <is>
          <t>MTR-BLR-003</t>
        </is>
      </c>
      <c r="D224" s="8" t="inlineStr">
        <is>
          <t>Boiler House</t>
        </is>
      </c>
      <c r="E224" s="8" t="inlineStr">
        <is>
          <t>Steam Boiler 1</t>
        </is>
      </c>
      <c r="F224" s="8" t="inlineStr">
        <is>
          <t>2024-08-08 08:00</t>
        </is>
      </c>
      <c r="G224" s="12" t="n">
        <v>59754.76</v>
      </c>
      <c r="H224" s="8" t="inlineStr">
        <is>
          <t>m3</t>
        </is>
      </c>
      <c r="I224" s="8" t="inlineStr">
        <is>
          <t>cumulative</t>
        </is>
      </c>
      <c r="J224" s="8" t="inlineStr">
        <is>
          <t>GH</t>
        </is>
      </c>
      <c r="K224" s="8" t="inlineStr"/>
      <c r="L224" s="10">
        <f>IFERROR(IF(F224&lt;F223,"NEGATIVE",ROUND(F224-F223,2)),"")</f>
        <v/>
      </c>
    </row>
    <row r="225" ht="22" customHeight="1">
      <c r="B225" s="5" t="inlineStr">
        <is>
          <t>R00221</t>
        </is>
      </c>
      <c r="C225" s="5" t="inlineStr">
        <is>
          <t>MTR-BLR-003</t>
        </is>
      </c>
      <c r="D225" s="5" t="inlineStr">
        <is>
          <t>Boiler House</t>
        </is>
      </c>
      <c r="E225" s="5" t="inlineStr">
        <is>
          <t>Steam Boiler 1</t>
        </is>
      </c>
      <c r="F225" s="5" t="inlineStr">
        <is>
          <t>2024-08-09 08:00</t>
        </is>
      </c>
      <c r="G225" s="11" t="n">
        <v>59775.16</v>
      </c>
      <c r="H225" s="5" t="inlineStr">
        <is>
          <t>m3</t>
        </is>
      </c>
      <c r="I225" s="5" t="inlineStr">
        <is>
          <t>cumulative</t>
        </is>
      </c>
      <c r="J225" s="5" t="inlineStr">
        <is>
          <t>CD</t>
        </is>
      </c>
      <c r="K225" s="5" t="inlineStr"/>
      <c r="L225" s="7">
        <f>IFERROR(IF(F225&lt;F224,"NEGATIVE",ROUND(F225-F224,2)),"")</f>
        <v/>
      </c>
    </row>
    <row r="226" ht="22" customHeight="1">
      <c r="B226" s="8" t="inlineStr">
        <is>
          <t>R00222</t>
        </is>
      </c>
      <c r="C226" s="8" t="inlineStr">
        <is>
          <t>MTR-BLR-003</t>
        </is>
      </c>
      <c r="D226" s="8" t="inlineStr">
        <is>
          <t>Boiler House</t>
        </is>
      </c>
      <c r="E226" s="8" t="inlineStr">
        <is>
          <t>Steam Boiler 1</t>
        </is>
      </c>
      <c r="F226" s="8" t="inlineStr">
        <is>
          <t>2024-08-10 08:00</t>
        </is>
      </c>
      <c r="G226" s="12" t="n">
        <v>59790.6</v>
      </c>
      <c r="H226" s="8" t="inlineStr">
        <is>
          <t>m3</t>
        </is>
      </c>
      <c r="I226" s="8" t="inlineStr">
        <is>
          <t>cumulative</t>
        </is>
      </c>
      <c r="J226" s="8" t="inlineStr">
        <is>
          <t>EF</t>
        </is>
      </c>
      <c r="K226" s="8" t="inlineStr"/>
      <c r="L226" s="10">
        <f>IFERROR(IF(F226&lt;F225,"NEGATIVE",ROUND(F226-F225,2)),"")</f>
        <v/>
      </c>
    </row>
    <row r="227" ht="22" customHeight="1">
      <c r="B227" s="5" t="inlineStr">
        <is>
          <t>R00223</t>
        </is>
      </c>
      <c r="C227" s="5" t="inlineStr">
        <is>
          <t>MTR-BLR-003</t>
        </is>
      </c>
      <c r="D227" s="5" t="inlineStr">
        <is>
          <t>Boiler House</t>
        </is>
      </c>
      <c r="E227" s="5" t="inlineStr">
        <is>
          <t>Steam Boiler 1</t>
        </is>
      </c>
      <c r="F227" s="5" t="inlineStr">
        <is>
          <t>2024-08-11 08:00</t>
        </is>
      </c>
      <c r="G227" s="11" t="n">
        <v>59800.58</v>
      </c>
      <c r="H227" s="5" t="inlineStr">
        <is>
          <t>m3</t>
        </is>
      </c>
      <c r="I227" s="5" t="inlineStr">
        <is>
          <t>cumulative</t>
        </is>
      </c>
      <c r="J227" s="5" t="inlineStr">
        <is>
          <t>IJ</t>
        </is>
      </c>
      <c r="K227" s="5" t="inlineStr"/>
      <c r="L227" s="7">
        <f>IFERROR(IF(F227&lt;F226,"NEGATIVE",ROUND(F227-F226,2)),"")</f>
        <v/>
      </c>
    </row>
    <row r="228" ht="22" customHeight="1">
      <c r="B228" s="8" t="inlineStr">
        <is>
          <t>R00224</t>
        </is>
      </c>
      <c r="C228" s="8" t="inlineStr">
        <is>
          <t>MTR-BLR-003</t>
        </is>
      </c>
      <c r="D228" s="8" t="inlineStr">
        <is>
          <t>Boiler House</t>
        </is>
      </c>
      <c r="E228" s="8" t="inlineStr">
        <is>
          <t>Steam Boiler 1</t>
        </is>
      </c>
      <c r="F228" s="8" t="inlineStr">
        <is>
          <t>2024-08-12 08:00</t>
        </is>
      </c>
      <c r="G228" s="12" t="n">
        <v>59824.96</v>
      </c>
      <c r="H228" s="8" t="inlineStr">
        <is>
          <t>m3</t>
        </is>
      </c>
      <c r="I228" s="8" t="inlineStr">
        <is>
          <t>cumulative</t>
        </is>
      </c>
      <c r="J228" s="8" t="inlineStr">
        <is>
          <t>CD</t>
        </is>
      </c>
      <c r="K228" s="8" t="inlineStr"/>
      <c r="L228" s="10">
        <f>IFERROR(IF(F228&lt;F227,"NEGATIVE",ROUND(F228-F227,2)),"")</f>
        <v/>
      </c>
    </row>
    <row r="229" ht="22" customHeight="1">
      <c r="B229" s="5" t="inlineStr">
        <is>
          <t>R00225</t>
        </is>
      </c>
      <c r="C229" s="5" t="inlineStr">
        <is>
          <t>MTR-BLR-003</t>
        </is>
      </c>
      <c r="D229" s="5" t="inlineStr">
        <is>
          <t>Boiler House</t>
        </is>
      </c>
      <c r="E229" s="5" t="inlineStr">
        <is>
          <t>Steam Boiler 1</t>
        </is>
      </c>
      <c r="F229" s="5" t="inlineStr">
        <is>
          <t>2024-08-13 08:00</t>
        </is>
      </c>
      <c r="G229" s="11" t="n">
        <v>59845.23</v>
      </c>
      <c r="H229" s="5" t="inlineStr">
        <is>
          <t>m3</t>
        </is>
      </c>
      <c r="I229" s="5" t="inlineStr">
        <is>
          <t>cumulative</t>
        </is>
      </c>
      <c r="J229" s="5" t="inlineStr">
        <is>
          <t>EF</t>
        </is>
      </c>
      <c r="K229" s="5" t="inlineStr"/>
      <c r="L229" s="7">
        <f>IFERROR(IF(F229&lt;F228,"NEGATIVE",ROUND(F229-F228,2)),"")</f>
        <v/>
      </c>
    </row>
    <row r="230" ht="22" customHeight="1">
      <c r="B230" s="8" t="inlineStr">
        <is>
          <t>R00226</t>
        </is>
      </c>
      <c r="C230" s="8" t="inlineStr">
        <is>
          <t>MTR-BLR-003</t>
        </is>
      </c>
      <c r="D230" s="8" t="inlineStr">
        <is>
          <t>Boiler House</t>
        </is>
      </c>
      <c r="E230" s="8" t="inlineStr">
        <is>
          <t>Steam Boiler 1</t>
        </is>
      </c>
      <c r="F230" s="8" t="inlineStr">
        <is>
          <t>2024-08-14 08:00</t>
        </is>
      </c>
      <c r="G230" s="12" t="n">
        <v>59865.69</v>
      </c>
      <c r="H230" s="8" t="inlineStr">
        <is>
          <t>m3</t>
        </is>
      </c>
      <c r="I230" s="8" t="inlineStr">
        <is>
          <t>cumulative</t>
        </is>
      </c>
      <c r="J230" s="8" t="inlineStr">
        <is>
          <t>GH</t>
        </is>
      </c>
      <c r="K230" s="8" t="inlineStr"/>
      <c r="L230" s="10">
        <f>IFERROR(IF(F230&lt;F229,"NEGATIVE",ROUND(F230-F229,2)),"")</f>
        <v/>
      </c>
    </row>
    <row r="231" ht="22" customHeight="1">
      <c r="B231" s="5" t="inlineStr">
        <is>
          <t>R00227</t>
        </is>
      </c>
      <c r="C231" s="5" t="inlineStr">
        <is>
          <t>MTR-BLR-003</t>
        </is>
      </c>
      <c r="D231" s="5" t="inlineStr">
        <is>
          <t>Boiler House</t>
        </is>
      </c>
      <c r="E231" s="5" t="inlineStr">
        <is>
          <t>Steam Boiler 1</t>
        </is>
      </c>
      <c r="F231" s="5" t="inlineStr">
        <is>
          <t>2024-08-15 08:00</t>
        </is>
      </c>
      <c r="G231" s="11" t="n">
        <v>59886.12</v>
      </c>
      <c r="H231" s="5" t="inlineStr">
        <is>
          <t>m3</t>
        </is>
      </c>
      <c r="I231" s="5" t="inlineStr">
        <is>
          <t>cumulative</t>
        </is>
      </c>
      <c r="J231" s="5" t="inlineStr">
        <is>
          <t>IJ</t>
        </is>
      </c>
      <c r="K231" s="5" t="inlineStr"/>
      <c r="L231" s="7">
        <f>IFERROR(IF(F231&lt;F230,"NEGATIVE",ROUND(F231-F230,2)),"")</f>
        <v/>
      </c>
    </row>
    <row r="232" ht="22" customHeight="1">
      <c r="B232" s="8" t="inlineStr">
        <is>
          <t>R00228</t>
        </is>
      </c>
      <c r="C232" s="8" t="inlineStr">
        <is>
          <t>MTR-BLR-003</t>
        </is>
      </c>
      <c r="D232" s="8" t="inlineStr">
        <is>
          <t>Boiler House</t>
        </is>
      </c>
      <c r="E232" s="8" t="inlineStr">
        <is>
          <t>Steam Boiler 1</t>
        </is>
      </c>
      <c r="F232" s="8" t="inlineStr">
        <is>
          <t>2024-08-16 08:00</t>
        </is>
      </c>
      <c r="G232" s="12" t="n">
        <v>59909.69</v>
      </c>
      <c r="H232" s="8" t="inlineStr">
        <is>
          <t>m3</t>
        </is>
      </c>
      <c r="I232" s="8" t="inlineStr">
        <is>
          <t>cumulative</t>
        </is>
      </c>
      <c r="J232" s="8" t="inlineStr">
        <is>
          <t>EF</t>
        </is>
      </c>
      <c r="K232" s="8" t="inlineStr"/>
      <c r="L232" s="10">
        <f>IFERROR(IF(F232&lt;F231,"NEGATIVE",ROUND(F232-F231,2)),"")</f>
        <v/>
      </c>
    </row>
    <row r="233" ht="22" customHeight="1">
      <c r="B233" s="5" t="inlineStr">
        <is>
          <t>R00229</t>
        </is>
      </c>
      <c r="C233" s="5" t="inlineStr">
        <is>
          <t>MTR-BLR-003</t>
        </is>
      </c>
      <c r="D233" s="5" t="inlineStr">
        <is>
          <t>Boiler House</t>
        </is>
      </c>
      <c r="E233" s="5" t="inlineStr">
        <is>
          <t>Steam Boiler 1</t>
        </is>
      </c>
      <c r="F233" s="5" t="inlineStr">
        <is>
          <t>2024-08-17 08:00</t>
        </is>
      </c>
      <c r="G233" s="11" t="n">
        <v>59927.08</v>
      </c>
      <c r="H233" s="5" t="inlineStr">
        <is>
          <t>m3</t>
        </is>
      </c>
      <c r="I233" s="5" t="inlineStr">
        <is>
          <t>cumulative</t>
        </is>
      </c>
      <c r="J233" s="5" t="inlineStr">
        <is>
          <t>KL</t>
        </is>
      </c>
      <c r="K233" s="5" t="inlineStr"/>
      <c r="L233" s="7">
        <f>IFERROR(IF(F233&lt;F232,"NEGATIVE",ROUND(F233-F232,2)),"")</f>
        <v/>
      </c>
    </row>
    <row r="234" ht="22" customHeight="1">
      <c r="B234" s="8" t="inlineStr">
        <is>
          <t>R00230</t>
        </is>
      </c>
      <c r="C234" s="8" t="inlineStr">
        <is>
          <t>MTR-BLR-003</t>
        </is>
      </c>
      <c r="D234" s="8" t="inlineStr">
        <is>
          <t>Boiler House</t>
        </is>
      </c>
      <c r="E234" s="8" t="inlineStr">
        <is>
          <t>Steam Boiler 1</t>
        </is>
      </c>
      <c r="F234" s="8" t="inlineStr">
        <is>
          <t>2024-08-18 08:00</t>
        </is>
      </c>
      <c r="G234" s="12" t="n">
        <v>59937.62</v>
      </c>
      <c r="H234" s="8" t="inlineStr">
        <is>
          <t>m3</t>
        </is>
      </c>
      <c r="I234" s="8" t="inlineStr">
        <is>
          <t>cumulative</t>
        </is>
      </c>
      <c r="J234" s="8" t="inlineStr">
        <is>
          <t>CD</t>
        </is>
      </c>
      <c r="K234" s="8" t="inlineStr"/>
      <c r="L234" s="10">
        <f>IFERROR(IF(F234&lt;F233,"NEGATIVE",ROUND(F234-F233,2)),"")</f>
        <v/>
      </c>
    </row>
    <row r="235" ht="22" customHeight="1">
      <c r="B235" s="5" t="inlineStr">
        <is>
          <t>R00231</t>
        </is>
      </c>
      <c r="C235" s="5" t="inlineStr">
        <is>
          <t>MTR-BLR-003</t>
        </is>
      </c>
      <c r="D235" s="5" t="inlineStr">
        <is>
          <t>Boiler House</t>
        </is>
      </c>
      <c r="E235" s="5" t="inlineStr">
        <is>
          <t>Steam Boiler 1</t>
        </is>
      </c>
      <c r="F235" s="5" t="inlineStr">
        <is>
          <t>2024-08-19 08:00</t>
        </is>
      </c>
      <c r="G235" s="11" t="n">
        <v>59961.25</v>
      </c>
      <c r="H235" s="5" t="inlineStr">
        <is>
          <t>m3</t>
        </is>
      </c>
      <c r="I235" s="5" t="inlineStr">
        <is>
          <t>cumulative</t>
        </is>
      </c>
      <c r="J235" s="5" t="inlineStr">
        <is>
          <t>EF</t>
        </is>
      </c>
      <c r="K235" s="5" t="inlineStr"/>
      <c r="L235" s="7">
        <f>IFERROR(IF(F235&lt;F234,"NEGATIVE",ROUND(F235-F234,2)),"")</f>
        <v/>
      </c>
    </row>
    <row r="236" ht="22" customHeight="1">
      <c r="B236" s="8" t="inlineStr">
        <is>
          <t>R00232</t>
        </is>
      </c>
      <c r="C236" s="8" t="inlineStr">
        <is>
          <t>MTR-BLR-003</t>
        </is>
      </c>
      <c r="D236" s="8" t="inlineStr">
        <is>
          <t>Boiler House</t>
        </is>
      </c>
      <c r="E236" s="8" t="inlineStr">
        <is>
          <t>Steam Boiler 1</t>
        </is>
      </c>
      <c r="F236" s="8" t="inlineStr">
        <is>
          <t>2024-08-20 08:00</t>
        </is>
      </c>
      <c r="G236" s="12" t="n">
        <v>59980.01</v>
      </c>
      <c r="H236" s="8" t="inlineStr">
        <is>
          <t>m3</t>
        </is>
      </c>
      <c r="I236" s="8" t="inlineStr">
        <is>
          <t>cumulative</t>
        </is>
      </c>
      <c r="J236" s="8" t="inlineStr">
        <is>
          <t>KL</t>
        </is>
      </c>
      <c r="K236" s="8" t="inlineStr"/>
      <c r="L236" s="10">
        <f>IFERROR(IF(F236&lt;F235,"NEGATIVE",ROUND(F236-F235,2)),"")</f>
        <v/>
      </c>
    </row>
    <row r="237" ht="22" customHeight="1">
      <c r="B237" s="5" t="inlineStr">
        <is>
          <t>R00233</t>
        </is>
      </c>
      <c r="C237" s="5" t="inlineStr">
        <is>
          <t>MTR-BLR-003</t>
        </is>
      </c>
      <c r="D237" s="5" t="inlineStr">
        <is>
          <t>Boiler House</t>
        </is>
      </c>
      <c r="E237" s="5" t="inlineStr">
        <is>
          <t>Steam Boiler 1</t>
        </is>
      </c>
      <c r="F237" s="5" t="inlineStr">
        <is>
          <t>2024-08-21 08:00</t>
        </is>
      </c>
      <c r="G237" s="11" t="n">
        <v>60003.35</v>
      </c>
      <c r="H237" s="5" t="inlineStr">
        <is>
          <t>m3</t>
        </is>
      </c>
      <c r="I237" s="5" t="inlineStr">
        <is>
          <t>cumulative</t>
        </is>
      </c>
      <c r="J237" s="5" t="inlineStr">
        <is>
          <t>IJ</t>
        </is>
      </c>
      <c r="K237" s="5" t="inlineStr"/>
      <c r="L237" s="7">
        <f>IFERROR(IF(F237&lt;F236,"NEGATIVE",ROUND(F237-F236,2)),"")</f>
        <v/>
      </c>
    </row>
    <row r="238" ht="22" customHeight="1">
      <c r="B238" s="8" t="inlineStr">
        <is>
          <t>R00234</t>
        </is>
      </c>
      <c r="C238" s="8" t="inlineStr">
        <is>
          <t>MTR-BLR-003</t>
        </is>
      </c>
      <c r="D238" s="8" t="inlineStr">
        <is>
          <t>Boiler House</t>
        </is>
      </c>
      <c r="E238" s="8" t="inlineStr">
        <is>
          <t>Steam Boiler 1</t>
        </is>
      </c>
      <c r="F238" s="8" t="inlineStr">
        <is>
          <t>2024-08-22 08:00</t>
        </is>
      </c>
      <c r="G238" s="12" t="n">
        <v>60024.97</v>
      </c>
      <c r="H238" s="8" t="inlineStr">
        <is>
          <t>m3</t>
        </is>
      </c>
      <c r="I238" s="8" t="inlineStr">
        <is>
          <t>cumulative</t>
        </is>
      </c>
      <c r="J238" s="8" t="inlineStr">
        <is>
          <t>EF</t>
        </is>
      </c>
      <c r="K238" s="8" t="inlineStr"/>
      <c r="L238" s="10">
        <f>IFERROR(IF(F238&lt;F237,"NEGATIVE",ROUND(F238-F237,2)),"")</f>
        <v/>
      </c>
    </row>
    <row r="239" ht="22" customHeight="1">
      <c r="B239" s="5" t="inlineStr">
        <is>
          <t>R00235</t>
        </is>
      </c>
      <c r="C239" s="5" t="inlineStr">
        <is>
          <t>MTR-BLR-003</t>
        </is>
      </c>
      <c r="D239" s="5" t="inlineStr">
        <is>
          <t>Boiler House</t>
        </is>
      </c>
      <c r="E239" s="5" t="inlineStr">
        <is>
          <t>Steam Boiler 1</t>
        </is>
      </c>
      <c r="F239" s="5" t="inlineStr">
        <is>
          <t>2024-08-23 08:00</t>
        </is>
      </c>
      <c r="G239" s="11" t="n">
        <v>60046.55</v>
      </c>
      <c r="H239" s="5" t="inlineStr">
        <is>
          <t>m3</t>
        </is>
      </c>
      <c r="I239" s="5" t="inlineStr">
        <is>
          <t>cumulative</t>
        </is>
      </c>
      <c r="J239" s="5" t="inlineStr">
        <is>
          <t>GH</t>
        </is>
      </c>
      <c r="K239" s="5" t="inlineStr"/>
      <c r="L239" s="7">
        <f>IFERROR(IF(F239&lt;F238,"NEGATIVE",ROUND(F239-F238,2)),"")</f>
        <v/>
      </c>
    </row>
    <row r="240" ht="22" customHeight="1">
      <c r="B240" s="8" t="inlineStr">
        <is>
          <t>R00236</t>
        </is>
      </c>
      <c r="C240" s="8" t="inlineStr">
        <is>
          <t>MTR-BLR-003</t>
        </is>
      </c>
      <c r="D240" s="8" t="inlineStr">
        <is>
          <t>Boiler House</t>
        </is>
      </c>
      <c r="E240" s="8" t="inlineStr">
        <is>
          <t>Steam Boiler 1</t>
        </is>
      </c>
      <c r="F240" s="8" t="inlineStr">
        <is>
          <t>2024-08-24 08:00</t>
        </is>
      </c>
      <c r="G240" s="12" t="n">
        <v>60065.73</v>
      </c>
      <c r="H240" s="8" t="inlineStr">
        <is>
          <t>m3</t>
        </is>
      </c>
      <c r="I240" s="8" t="inlineStr">
        <is>
          <t>cumulative</t>
        </is>
      </c>
      <c r="J240" s="8" t="inlineStr">
        <is>
          <t>KL</t>
        </is>
      </c>
      <c r="K240" s="8" t="inlineStr"/>
      <c r="L240" s="10">
        <f>IFERROR(IF(F240&lt;F239,"NEGATIVE",ROUND(F240-F239,2)),"")</f>
        <v/>
      </c>
    </row>
    <row r="241" ht="22" customHeight="1">
      <c r="B241" s="5" t="inlineStr">
        <is>
          <t>R00237</t>
        </is>
      </c>
      <c r="C241" s="5" t="inlineStr">
        <is>
          <t>MTR-BLR-003</t>
        </is>
      </c>
      <c r="D241" s="5" t="inlineStr">
        <is>
          <t>Boiler House</t>
        </is>
      </c>
      <c r="E241" s="5" t="inlineStr">
        <is>
          <t>Steam Boiler 1</t>
        </is>
      </c>
      <c r="F241" s="5" t="inlineStr">
        <is>
          <t>2024-08-25 08:00</t>
        </is>
      </c>
      <c r="G241" s="11" t="n">
        <v>60077.59</v>
      </c>
      <c r="H241" s="5" t="inlineStr">
        <is>
          <t>m3</t>
        </is>
      </c>
      <c r="I241" s="5" t="inlineStr">
        <is>
          <t>cumulative</t>
        </is>
      </c>
      <c r="J241" s="5" t="inlineStr">
        <is>
          <t>GH</t>
        </is>
      </c>
      <c r="K241" s="5" t="inlineStr"/>
      <c r="L241" s="7">
        <f>IFERROR(IF(F241&lt;F240,"NEGATIVE",ROUND(F241-F240,2)),"")</f>
        <v/>
      </c>
    </row>
    <row r="242" ht="22" customHeight="1">
      <c r="B242" s="8" t="inlineStr">
        <is>
          <t>R00238</t>
        </is>
      </c>
      <c r="C242" s="8" t="inlineStr">
        <is>
          <t>MTR-BLR-003</t>
        </is>
      </c>
      <c r="D242" s="8" t="inlineStr">
        <is>
          <t>Boiler House</t>
        </is>
      </c>
      <c r="E242" s="8" t="inlineStr">
        <is>
          <t>Steam Boiler 1</t>
        </is>
      </c>
      <c r="F242" s="8" t="inlineStr">
        <is>
          <t>2024-08-26 08:00</t>
        </is>
      </c>
      <c r="G242" s="12" t="n">
        <v>60100.97</v>
      </c>
      <c r="H242" s="8" t="inlineStr">
        <is>
          <t>m3</t>
        </is>
      </c>
      <c r="I242" s="8" t="inlineStr">
        <is>
          <t>cumulative</t>
        </is>
      </c>
      <c r="J242" s="8" t="inlineStr">
        <is>
          <t>AB</t>
        </is>
      </c>
      <c r="K242" s="8" t="inlineStr"/>
      <c r="L242" s="10">
        <f>IFERROR(IF(F242&lt;F241,"NEGATIVE",ROUND(F242-F241,2)),"")</f>
        <v/>
      </c>
    </row>
    <row r="243" ht="22" customHeight="1">
      <c r="B243" s="5" t="inlineStr">
        <is>
          <t>R00239</t>
        </is>
      </c>
      <c r="C243" s="5" t="inlineStr">
        <is>
          <t>MTR-BLR-003</t>
        </is>
      </c>
      <c r="D243" s="5" t="inlineStr">
        <is>
          <t>Boiler House</t>
        </is>
      </c>
      <c r="E243" s="5" t="inlineStr">
        <is>
          <t>Steam Boiler 1</t>
        </is>
      </c>
      <c r="F243" s="5" t="inlineStr">
        <is>
          <t>2024-08-27 08:00</t>
        </is>
      </c>
      <c r="G243" s="11" t="n">
        <v>60121.49</v>
      </c>
      <c r="H243" s="5" t="inlineStr">
        <is>
          <t>m3</t>
        </is>
      </c>
      <c r="I243" s="5" t="inlineStr">
        <is>
          <t>cumulative</t>
        </is>
      </c>
      <c r="J243" s="5" t="inlineStr">
        <is>
          <t>GH</t>
        </is>
      </c>
      <c r="K243" s="5" t="inlineStr"/>
      <c r="L243" s="7">
        <f>IFERROR(IF(F243&lt;F242,"NEGATIVE",ROUND(F243-F242,2)),"")</f>
        <v/>
      </c>
    </row>
    <row r="244" ht="22" customHeight="1">
      <c r="B244" s="8" t="inlineStr">
        <is>
          <t>R00240</t>
        </is>
      </c>
      <c r="C244" s="8" t="inlineStr">
        <is>
          <t>MTR-BLR-003</t>
        </is>
      </c>
      <c r="D244" s="8" t="inlineStr">
        <is>
          <t>Boiler House</t>
        </is>
      </c>
      <c r="E244" s="8" t="inlineStr">
        <is>
          <t>Steam Boiler 1</t>
        </is>
      </c>
      <c r="F244" s="8" t="inlineStr">
        <is>
          <t>2024-08-28 08:00</t>
        </is>
      </c>
      <c r="G244" s="12" t="n">
        <v>60145.96</v>
      </c>
      <c r="H244" s="8" t="inlineStr">
        <is>
          <t>m3</t>
        </is>
      </c>
      <c r="I244" s="8" t="inlineStr">
        <is>
          <t>cumulative</t>
        </is>
      </c>
      <c r="J244" s="8" t="inlineStr">
        <is>
          <t>IJ</t>
        </is>
      </c>
      <c r="K244" s="8" t="inlineStr"/>
      <c r="L244" s="10">
        <f>IFERROR(IF(F244&lt;F243,"NEGATIVE",ROUND(F244-F243,2)),"")</f>
        <v/>
      </c>
    </row>
    <row r="245" ht="22" customHeight="1">
      <c r="B245" s="5" t="inlineStr">
        <is>
          <t>R00241</t>
        </is>
      </c>
      <c r="C245" s="5" t="inlineStr">
        <is>
          <t>MTR-BLR-003</t>
        </is>
      </c>
      <c r="D245" s="5" t="inlineStr">
        <is>
          <t>Boiler House</t>
        </is>
      </c>
      <c r="E245" s="5" t="inlineStr">
        <is>
          <t>Steam Boiler 1</t>
        </is>
      </c>
      <c r="F245" s="5" t="inlineStr">
        <is>
          <t>2024-08-29 08:00</t>
        </is>
      </c>
      <c r="G245" s="11" t="n">
        <v>60168.32</v>
      </c>
      <c r="H245" s="5" t="inlineStr">
        <is>
          <t>m3</t>
        </is>
      </c>
      <c r="I245" s="5" t="inlineStr">
        <is>
          <t>cumulative</t>
        </is>
      </c>
      <c r="J245" s="5" t="inlineStr">
        <is>
          <t>IJ</t>
        </is>
      </c>
      <c r="K245" s="5" t="inlineStr"/>
      <c r="L245" s="7">
        <f>IFERROR(IF(F245&lt;F244,"NEGATIVE",ROUND(F245-F244,2)),"")</f>
        <v/>
      </c>
    </row>
    <row r="246" ht="22" customHeight="1">
      <c r="B246" s="8" t="inlineStr">
        <is>
          <t>R00242</t>
        </is>
      </c>
      <c r="C246" s="8" t="inlineStr">
        <is>
          <t>MTR-BLR-003</t>
        </is>
      </c>
      <c r="D246" s="8" t="inlineStr">
        <is>
          <t>Boiler House</t>
        </is>
      </c>
      <c r="E246" s="8" t="inlineStr">
        <is>
          <t>Steam Boiler 1</t>
        </is>
      </c>
      <c r="F246" s="8" t="inlineStr">
        <is>
          <t>2024-08-30 08:00</t>
        </is>
      </c>
      <c r="G246" s="12" t="n">
        <v>60188.68</v>
      </c>
      <c r="H246" s="8" t="inlineStr">
        <is>
          <t>m3</t>
        </is>
      </c>
      <c r="I246" s="8" t="inlineStr">
        <is>
          <t>cumulative</t>
        </is>
      </c>
      <c r="J246" s="8" t="inlineStr">
        <is>
          <t>CD</t>
        </is>
      </c>
      <c r="K246" s="8" t="inlineStr"/>
      <c r="L246" s="10">
        <f>IFERROR(IF(F246&lt;F245,"NEGATIVE",ROUND(F246-F245,2)),"")</f>
        <v/>
      </c>
    </row>
    <row r="247" ht="22" customHeight="1">
      <c r="B247" s="5" t="inlineStr">
        <is>
          <t>R00243</t>
        </is>
      </c>
      <c r="C247" s="5" t="inlineStr">
        <is>
          <t>MTR-BLR-003</t>
        </is>
      </c>
      <c r="D247" s="5" t="inlineStr">
        <is>
          <t>Boiler House</t>
        </is>
      </c>
      <c r="E247" s="5" t="inlineStr">
        <is>
          <t>Steam Boiler 1</t>
        </is>
      </c>
      <c r="F247" s="5" t="inlineStr">
        <is>
          <t>2024-08-31 08:00</t>
        </is>
      </c>
      <c r="G247" s="11" t="n">
        <v>60207.08</v>
      </c>
      <c r="H247" s="5" t="inlineStr">
        <is>
          <t>m3</t>
        </is>
      </c>
      <c r="I247" s="5" t="inlineStr">
        <is>
          <t>cumulative</t>
        </is>
      </c>
      <c r="J247" s="5" t="inlineStr">
        <is>
          <t>GH</t>
        </is>
      </c>
      <c r="K247" s="5" t="inlineStr"/>
      <c r="L247" s="7">
        <f>IFERROR(IF(F247&lt;F246,"NEGATIVE",ROUND(F247-F246,2)),"")</f>
        <v/>
      </c>
    </row>
    <row r="248" ht="22" customHeight="1">
      <c r="B248" s="8" t="inlineStr">
        <is>
          <t>R00244</t>
        </is>
      </c>
      <c r="C248" s="8" t="inlineStr">
        <is>
          <t>MTR-BLR-003</t>
        </is>
      </c>
      <c r="D248" s="8" t="inlineStr">
        <is>
          <t>Boiler House</t>
        </is>
      </c>
      <c r="E248" s="8" t="inlineStr">
        <is>
          <t>Steam Boiler 1</t>
        </is>
      </c>
      <c r="F248" s="8" t="inlineStr">
        <is>
          <t>2024-09-01 08:00</t>
        </is>
      </c>
      <c r="G248" s="12" t="n">
        <v>60217.25</v>
      </c>
      <c r="H248" s="8" t="inlineStr">
        <is>
          <t>m3</t>
        </is>
      </c>
      <c r="I248" s="8" t="inlineStr">
        <is>
          <t>cumulative</t>
        </is>
      </c>
      <c r="J248" s="8" t="inlineStr">
        <is>
          <t>EF</t>
        </is>
      </c>
      <c r="K248" s="8" t="inlineStr"/>
      <c r="L248" s="10">
        <f>IFERROR(IF(F248&lt;F247,"NEGATIVE",ROUND(F248-F247,2)),"")</f>
        <v/>
      </c>
    </row>
    <row r="249" ht="22" customHeight="1">
      <c r="B249" s="5" t="inlineStr">
        <is>
          <t>R00245</t>
        </is>
      </c>
      <c r="C249" s="5" t="inlineStr">
        <is>
          <t>MTR-BLR-003</t>
        </is>
      </c>
      <c r="D249" s="5" t="inlineStr">
        <is>
          <t>Boiler House</t>
        </is>
      </c>
      <c r="E249" s="5" t="inlineStr">
        <is>
          <t>Steam Boiler 1</t>
        </is>
      </c>
      <c r="F249" s="5" t="inlineStr">
        <is>
          <t>2024-09-02 08:00</t>
        </is>
      </c>
      <c r="G249" s="11" t="n">
        <v>60238.68</v>
      </c>
      <c r="H249" s="5" t="inlineStr">
        <is>
          <t>m3</t>
        </is>
      </c>
      <c r="I249" s="5" t="inlineStr">
        <is>
          <t>cumulative</t>
        </is>
      </c>
      <c r="J249" s="5" t="inlineStr">
        <is>
          <t>AB</t>
        </is>
      </c>
      <c r="K249" s="5" t="inlineStr"/>
      <c r="L249" s="7">
        <f>IFERROR(IF(F249&lt;F248,"NEGATIVE",ROUND(F249-F248,2)),"")</f>
        <v/>
      </c>
    </row>
    <row r="250" ht="22" customHeight="1">
      <c r="B250" s="8" t="inlineStr">
        <is>
          <t>R00246</t>
        </is>
      </c>
      <c r="C250" s="8" t="inlineStr">
        <is>
          <t>MTR-BLR-003</t>
        </is>
      </c>
      <c r="D250" s="8" t="inlineStr">
        <is>
          <t>Boiler House</t>
        </is>
      </c>
      <c r="E250" s="8" t="inlineStr">
        <is>
          <t>Steam Boiler 1</t>
        </is>
      </c>
      <c r="F250" s="8" t="inlineStr">
        <is>
          <t>2024-09-03 08:00</t>
        </is>
      </c>
      <c r="G250" s="12" t="n">
        <v>60259.53</v>
      </c>
      <c r="H250" s="8" t="inlineStr">
        <is>
          <t>m3</t>
        </is>
      </c>
      <c r="I250" s="8" t="inlineStr">
        <is>
          <t>cumulative</t>
        </is>
      </c>
      <c r="J250" s="8" t="inlineStr">
        <is>
          <t>EF</t>
        </is>
      </c>
      <c r="K250" s="8" t="inlineStr"/>
      <c r="L250" s="10">
        <f>IFERROR(IF(F250&lt;F249,"NEGATIVE",ROUND(F250-F249,2)),"")</f>
        <v/>
      </c>
    </row>
    <row r="251" ht="22" customHeight="1">
      <c r="B251" s="5" t="inlineStr">
        <is>
          <t>R00247</t>
        </is>
      </c>
      <c r="C251" s="5" t="inlineStr">
        <is>
          <t>MTR-BLR-003</t>
        </is>
      </c>
      <c r="D251" s="5" t="inlineStr">
        <is>
          <t>Boiler House</t>
        </is>
      </c>
      <c r="E251" s="5" t="inlineStr">
        <is>
          <t>Steam Boiler 1</t>
        </is>
      </c>
      <c r="F251" s="5" t="inlineStr">
        <is>
          <t>2024-09-04 08:00</t>
        </is>
      </c>
      <c r="G251" s="11" t="n">
        <v>60282.99</v>
      </c>
      <c r="H251" s="5" t="inlineStr">
        <is>
          <t>m3</t>
        </is>
      </c>
      <c r="I251" s="5" t="inlineStr">
        <is>
          <t>cumulative</t>
        </is>
      </c>
      <c r="J251" s="5" t="inlineStr">
        <is>
          <t>IJ</t>
        </is>
      </c>
      <c r="K251" s="5" t="inlineStr"/>
      <c r="L251" s="7">
        <f>IFERROR(IF(F251&lt;F250,"NEGATIVE",ROUND(F251-F250,2)),"")</f>
        <v/>
      </c>
    </row>
    <row r="252" ht="22" customHeight="1">
      <c r="B252" s="8" t="inlineStr">
        <is>
          <t>R00248</t>
        </is>
      </c>
      <c r="C252" s="8" t="inlineStr">
        <is>
          <t>MTR-BLR-003</t>
        </is>
      </c>
      <c r="D252" s="8" t="inlineStr">
        <is>
          <t>Boiler House</t>
        </is>
      </c>
      <c r="E252" s="8" t="inlineStr">
        <is>
          <t>Steam Boiler 1</t>
        </is>
      </c>
      <c r="F252" s="8" t="inlineStr">
        <is>
          <t>2024-09-05 08:00</t>
        </is>
      </c>
      <c r="G252" s="12" t="n">
        <v>60302.05</v>
      </c>
      <c r="H252" s="8" t="inlineStr">
        <is>
          <t>m3</t>
        </is>
      </c>
      <c r="I252" s="8" t="inlineStr">
        <is>
          <t>cumulative</t>
        </is>
      </c>
      <c r="J252" s="8" t="inlineStr">
        <is>
          <t>KL</t>
        </is>
      </c>
      <c r="K252" s="8" t="inlineStr"/>
      <c r="L252" s="10">
        <f>IFERROR(IF(F252&lt;F251,"NEGATIVE",ROUND(F252-F251,2)),"")</f>
        <v/>
      </c>
    </row>
    <row r="253" ht="22" customHeight="1">
      <c r="B253" s="5" t="inlineStr">
        <is>
          <t>R00249</t>
        </is>
      </c>
      <c r="C253" s="5" t="inlineStr">
        <is>
          <t>MTR-BLR-003</t>
        </is>
      </c>
      <c r="D253" s="5" t="inlineStr">
        <is>
          <t>Boiler House</t>
        </is>
      </c>
      <c r="E253" s="5" t="inlineStr">
        <is>
          <t>Steam Boiler 1</t>
        </is>
      </c>
      <c r="F253" s="5" t="inlineStr">
        <is>
          <t>2024-09-06 08:00</t>
        </is>
      </c>
      <c r="G253" s="11" t="n">
        <v>60325.88</v>
      </c>
      <c r="H253" s="5" t="inlineStr">
        <is>
          <t>m3</t>
        </is>
      </c>
      <c r="I253" s="5" t="inlineStr">
        <is>
          <t>cumulative</t>
        </is>
      </c>
      <c r="J253" s="5" t="inlineStr">
        <is>
          <t>EF</t>
        </is>
      </c>
      <c r="K253" s="5" t="inlineStr"/>
      <c r="L253" s="7">
        <f>IFERROR(IF(F253&lt;F252,"NEGATIVE",ROUND(F253-F252,2)),"")</f>
        <v/>
      </c>
    </row>
    <row r="254" ht="22" customHeight="1">
      <c r="B254" s="8" t="inlineStr">
        <is>
          <t>R00250</t>
        </is>
      </c>
      <c r="C254" s="8" t="inlineStr">
        <is>
          <t>MTR-BLR-003</t>
        </is>
      </c>
      <c r="D254" s="8" t="inlineStr">
        <is>
          <t>Boiler House</t>
        </is>
      </c>
      <c r="E254" s="8" t="inlineStr">
        <is>
          <t>Steam Boiler 1</t>
        </is>
      </c>
      <c r="F254" s="8" t="inlineStr">
        <is>
          <t>2024-09-07 08:00</t>
        </is>
      </c>
      <c r="G254" s="12" t="n">
        <v>60342.46</v>
      </c>
      <c r="H254" s="8" t="inlineStr">
        <is>
          <t>m3</t>
        </is>
      </c>
      <c r="I254" s="8" t="inlineStr">
        <is>
          <t>cumulative</t>
        </is>
      </c>
      <c r="J254" s="8" t="inlineStr">
        <is>
          <t>CD</t>
        </is>
      </c>
      <c r="K254" s="8" t="inlineStr"/>
      <c r="L254" s="10">
        <f>IFERROR(IF(F254&lt;F253,"NEGATIVE",ROUND(F254-F253,2)),"")</f>
        <v/>
      </c>
    </row>
    <row r="255" ht="22" customHeight="1">
      <c r="B255" s="5" t="inlineStr">
        <is>
          <t>R00251</t>
        </is>
      </c>
      <c r="C255" s="5" t="inlineStr">
        <is>
          <t>MTR-BLR-003</t>
        </is>
      </c>
      <c r="D255" s="5" t="inlineStr">
        <is>
          <t>Boiler House</t>
        </is>
      </c>
      <c r="E255" s="5" t="inlineStr">
        <is>
          <t>Steam Boiler 1</t>
        </is>
      </c>
      <c r="F255" s="5" t="inlineStr">
        <is>
          <t>2024-09-08 08:00</t>
        </is>
      </c>
      <c r="G255" s="11" t="n">
        <v>60352.81</v>
      </c>
      <c r="H255" s="5" t="inlineStr">
        <is>
          <t>m3</t>
        </is>
      </c>
      <c r="I255" s="5" t="inlineStr">
        <is>
          <t>cumulative</t>
        </is>
      </c>
      <c r="J255" s="5" t="inlineStr">
        <is>
          <t>EF</t>
        </is>
      </c>
      <c r="K255" s="5" t="inlineStr"/>
      <c r="L255" s="7">
        <f>IFERROR(IF(F255&lt;F254,"NEGATIVE",ROUND(F255-F254,2)),"")</f>
        <v/>
      </c>
    </row>
    <row r="256" ht="22" customHeight="1">
      <c r="B256" s="8" t="inlineStr">
        <is>
          <t>R00252</t>
        </is>
      </c>
      <c r="C256" s="8" t="inlineStr">
        <is>
          <t>MTR-BLR-003</t>
        </is>
      </c>
      <c r="D256" s="8" t="inlineStr">
        <is>
          <t>Boiler House</t>
        </is>
      </c>
      <c r="E256" s="8" t="inlineStr">
        <is>
          <t>Steam Boiler 1</t>
        </is>
      </c>
      <c r="F256" s="8" t="inlineStr">
        <is>
          <t>2024-09-09 08:00</t>
        </is>
      </c>
      <c r="G256" s="12" t="n">
        <v>60373.08</v>
      </c>
      <c r="H256" s="8" t="inlineStr">
        <is>
          <t>m3</t>
        </is>
      </c>
      <c r="I256" s="8" t="inlineStr">
        <is>
          <t>cumulative</t>
        </is>
      </c>
      <c r="J256" s="8" t="inlineStr">
        <is>
          <t>AB</t>
        </is>
      </c>
      <c r="K256" s="8" t="inlineStr"/>
      <c r="L256" s="10">
        <f>IFERROR(IF(F256&lt;F255,"NEGATIVE",ROUND(F256-F255,2)),"")</f>
        <v/>
      </c>
    </row>
    <row r="257" ht="22" customHeight="1">
      <c r="B257" s="5" t="inlineStr">
        <is>
          <t>R00253</t>
        </is>
      </c>
      <c r="C257" s="5" t="inlineStr">
        <is>
          <t>MTR-BLR-003</t>
        </is>
      </c>
      <c r="D257" s="5" t="inlineStr">
        <is>
          <t>Boiler House</t>
        </is>
      </c>
      <c r="E257" s="5" t="inlineStr">
        <is>
          <t>Steam Boiler 1</t>
        </is>
      </c>
      <c r="F257" s="5" t="inlineStr">
        <is>
          <t>2024-09-10 08:00</t>
        </is>
      </c>
      <c r="G257" s="11" t="n">
        <v>60391.9</v>
      </c>
      <c r="H257" s="5" t="inlineStr">
        <is>
          <t>m3</t>
        </is>
      </c>
      <c r="I257" s="5" t="inlineStr">
        <is>
          <t>cumulative</t>
        </is>
      </c>
      <c r="J257" s="5" t="inlineStr">
        <is>
          <t>GH</t>
        </is>
      </c>
      <c r="K257" s="5" t="inlineStr"/>
      <c r="L257" s="7">
        <f>IFERROR(IF(F257&lt;F256,"NEGATIVE",ROUND(F257-F256,2)),"")</f>
        <v/>
      </c>
    </row>
    <row r="258" ht="22" customHeight="1">
      <c r="B258" s="8" t="inlineStr">
        <is>
          <t>R00254</t>
        </is>
      </c>
      <c r="C258" s="8" t="inlineStr">
        <is>
          <t>MTR-BLR-003</t>
        </is>
      </c>
      <c r="D258" s="8" t="inlineStr">
        <is>
          <t>Boiler House</t>
        </is>
      </c>
      <c r="E258" s="8" t="inlineStr">
        <is>
          <t>Steam Boiler 1</t>
        </is>
      </c>
      <c r="F258" s="8" t="inlineStr">
        <is>
          <t>2024-09-11 08:00</t>
        </is>
      </c>
      <c r="G258" s="12" t="n">
        <v>60416.19</v>
      </c>
      <c r="H258" s="8" t="inlineStr">
        <is>
          <t>m3</t>
        </is>
      </c>
      <c r="I258" s="8" t="inlineStr">
        <is>
          <t>cumulative</t>
        </is>
      </c>
      <c r="J258" s="8" t="inlineStr">
        <is>
          <t>GH</t>
        </is>
      </c>
      <c r="K258" s="8" t="inlineStr"/>
      <c r="L258" s="10">
        <f>IFERROR(IF(F258&lt;F257,"NEGATIVE",ROUND(F258-F257,2)),"")</f>
        <v/>
      </c>
    </row>
    <row r="259" ht="22" customHeight="1">
      <c r="B259" s="5" t="inlineStr">
        <is>
          <t>R00255</t>
        </is>
      </c>
      <c r="C259" s="5" t="inlineStr">
        <is>
          <t>MTR-BLR-003</t>
        </is>
      </c>
      <c r="D259" s="5" t="inlineStr">
        <is>
          <t>Boiler House</t>
        </is>
      </c>
      <c r="E259" s="5" t="inlineStr">
        <is>
          <t>Steam Boiler 1</t>
        </is>
      </c>
      <c r="F259" s="5" t="inlineStr">
        <is>
          <t>2024-09-12 08:00</t>
        </is>
      </c>
      <c r="G259" s="11" t="n">
        <v>60438.4</v>
      </c>
      <c r="H259" s="5" t="inlineStr">
        <is>
          <t>m3</t>
        </is>
      </c>
      <c r="I259" s="5" t="inlineStr">
        <is>
          <t>cumulative</t>
        </is>
      </c>
      <c r="J259" s="5" t="inlineStr">
        <is>
          <t>KL</t>
        </is>
      </c>
      <c r="K259" s="5" t="inlineStr"/>
      <c r="L259" s="7">
        <f>IFERROR(IF(F259&lt;F258,"NEGATIVE",ROUND(F259-F258,2)),"")</f>
        <v/>
      </c>
    </row>
    <row r="260" ht="22" customHeight="1">
      <c r="B260" s="8" t="inlineStr">
        <is>
          <t>R00256</t>
        </is>
      </c>
      <c r="C260" s="8" t="inlineStr">
        <is>
          <t>MTR-BLR-003</t>
        </is>
      </c>
      <c r="D260" s="8" t="inlineStr">
        <is>
          <t>Boiler House</t>
        </is>
      </c>
      <c r="E260" s="8" t="inlineStr">
        <is>
          <t>Steam Boiler 1</t>
        </is>
      </c>
      <c r="F260" s="8" t="inlineStr">
        <is>
          <t>2024-09-13 08:00</t>
        </is>
      </c>
      <c r="G260" s="12" t="n">
        <v>60457.75</v>
      </c>
      <c r="H260" s="8" t="inlineStr">
        <is>
          <t>m3</t>
        </is>
      </c>
      <c r="I260" s="8" t="inlineStr">
        <is>
          <t>cumulative</t>
        </is>
      </c>
      <c r="J260" s="8" t="inlineStr">
        <is>
          <t>AB</t>
        </is>
      </c>
      <c r="K260" s="8" t="inlineStr"/>
      <c r="L260" s="10">
        <f>IFERROR(IF(F260&lt;F259,"NEGATIVE",ROUND(F260-F259,2)),"")</f>
        <v/>
      </c>
    </row>
    <row r="261" ht="22" customHeight="1">
      <c r="B261" s="5" t="inlineStr">
        <is>
          <t>R00257</t>
        </is>
      </c>
      <c r="C261" s="5" t="inlineStr">
        <is>
          <t>MTR-BLR-003</t>
        </is>
      </c>
      <c r="D261" s="5" t="inlineStr">
        <is>
          <t>Boiler House</t>
        </is>
      </c>
      <c r="E261" s="5" t="inlineStr">
        <is>
          <t>Steam Boiler 1</t>
        </is>
      </c>
      <c r="F261" s="5" t="inlineStr">
        <is>
          <t>2024-09-14 08:00</t>
        </is>
      </c>
      <c r="G261" s="11" t="n">
        <v>60475.88</v>
      </c>
      <c r="H261" s="5" t="inlineStr">
        <is>
          <t>m3</t>
        </is>
      </c>
      <c r="I261" s="5" t="inlineStr">
        <is>
          <t>cumulative</t>
        </is>
      </c>
      <c r="J261" s="5" t="inlineStr">
        <is>
          <t>GH</t>
        </is>
      </c>
      <c r="K261" s="5" t="inlineStr"/>
      <c r="L261" s="7">
        <f>IFERROR(IF(F261&lt;F260,"NEGATIVE",ROUND(F261-F260,2)),"")</f>
        <v/>
      </c>
    </row>
    <row r="262" ht="22" customHeight="1">
      <c r="B262" s="8" t="inlineStr">
        <is>
          <t>R00258</t>
        </is>
      </c>
      <c r="C262" s="8" t="inlineStr">
        <is>
          <t>MTR-BLR-003</t>
        </is>
      </c>
      <c r="D262" s="8" t="inlineStr">
        <is>
          <t>Boiler House</t>
        </is>
      </c>
      <c r="E262" s="8" t="inlineStr">
        <is>
          <t>Steam Boiler 1</t>
        </is>
      </c>
      <c r="F262" s="8" t="inlineStr">
        <is>
          <t>2024-09-15 08:00</t>
        </is>
      </c>
      <c r="G262" s="12" t="n">
        <v>60487.44</v>
      </c>
      <c r="H262" s="8" t="inlineStr">
        <is>
          <t>m3</t>
        </is>
      </c>
      <c r="I262" s="8" t="inlineStr">
        <is>
          <t>cumulative</t>
        </is>
      </c>
      <c r="J262" s="8" t="inlineStr">
        <is>
          <t>KL</t>
        </is>
      </c>
      <c r="K262" s="8" t="inlineStr"/>
      <c r="L262" s="10">
        <f>IFERROR(IF(F262&lt;F261,"NEGATIVE",ROUND(F262-F261,2)),"")</f>
        <v/>
      </c>
    </row>
    <row r="263" ht="22" customHeight="1">
      <c r="B263" s="5" t="inlineStr">
        <is>
          <t>R00259</t>
        </is>
      </c>
      <c r="C263" s="5" t="inlineStr">
        <is>
          <t>MTR-BLR-003</t>
        </is>
      </c>
      <c r="D263" s="5" t="inlineStr">
        <is>
          <t>Boiler House</t>
        </is>
      </c>
      <c r="E263" s="5" t="inlineStr">
        <is>
          <t>Steam Boiler 1</t>
        </is>
      </c>
      <c r="F263" s="5" t="inlineStr">
        <is>
          <t>2024-09-16 08:00</t>
        </is>
      </c>
      <c r="G263" s="11" t="n">
        <v>60511.27</v>
      </c>
      <c r="H263" s="5" t="inlineStr">
        <is>
          <t>m3</t>
        </is>
      </c>
      <c r="I263" s="5" t="inlineStr">
        <is>
          <t>cumulative</t>
        </is>
      </c>
      <c r="J263" s="5" t="inlineStr">
        <is>
          <t>IJ</t>
        </is>
      </c>
      <c r="K263" s="5" t="inlineStr"/>
      <c r="L263" s="7">
        <f>IFERROR(IF(F263&lt;F262,"NEGATIVE",ROUND(F263-F262,2)),"")</f>
        <v/>
      </c>
    </row>
    <row r="264" ht="22" customHeight="1">
      <c r="B264" s="8" t="inlineStr">
        <is>
          <t>R00260</t>
        </is>
      </c>
      <c r="C264" s="8" t="inlineStr">
        <is>
          <t>MTR-BLR-003</t>
        </is>
      </c>
      <c r="D264" s="8" t="inlineStr">
        <is>
          <t>Boiler House</t>
        </is>
      </c>
      <c r="E264" s="8" t="inlineStr">
        <is>
          <t>Steam Boiler 1</t>
        </is>
      </c>
      <c r="F264" s="8" t="inlineStr">
        <is>
          <t>2024-09-17 08:00</t>
        </is>
      </c>
      <c r="G264" s="12" t="n">
        <v>60531.26</v>
      </c>
      <c r="H264" s="8" t="inlineStr">
        <is>
          <t>m3</t>
        </is>
      </c>
      <c r="I264" s="8" t="inlineStr">
        <is>
          <t>cumulative</t>
        </is>
      </c>
      <c r="J264" s="8" t="inlineStr">
        <is>
          <t>CD</t>
        </is>
      </c>
      <c r="K264" s="8" t="inlineStr"/>
      <c r="L264" s="10">
        <f>IFERROR(IF(F264&lt;F263,"NEGATIVE",ROUND(F264-F263,2)),"")</f>
        <v/>
      </c>
    </row>
    <row r="265" ht="22" customHeight="1">
      <c r="B265" s="5" t="inlineStr">
        <is>
          <t>R00261</t>
        </is>
      </c>
      <c r="C265" s="5" t="inlineStr">
        <is>
          <t>MTR-BLR-003</t>
        </is>
      </c>
      <c r="D265" s="5" t="inlineStr">
        <is>
          <t>Boiler House</t>
        </is>
      </c>
      <c r="E265" s="5" t="inlineStr">
        <is>
          <t>Steam Boiler 1</t>
        </is>
      </c>
      <c r="F265" s="5" t="inlineStr">
        <is>
          <t>2024-09-18 08:00</t>
        </is>
      </c>
      <c r="G265" s="11" t="n">
        <v>60554.81</v>
      </c>
      <c r="H265" s="5" t="inlineStr">
        <is>
          <t>m3</t>
        </is>
      </c>
      <c r="I265" s="5" t="inlineStr">
        <is>
          <t>cumulative</t>
        </is>
      </c>
      <c r="J265" s="5" t="inlineStr">
        <is>
          <t>CD</t>
        </is>
      </c>
      <c r="K265" s="5" t="inlineStr"/>
      <c r="L265" s="7">
        <f>IFERROR(IF(F265&lt;F264,"NEGATIVE",ROUND(F265-F264,2)),"")</f>
        <v/>
      </c>
    </row>
    <row r="266" ht="22" customHeight="1">
      <c r="B266" s="8" t="inlineStr">
        <is>
          <t>R00262</t>
        </is>
      </c>
      <c r="C266" s="8" t="inlineStr">
        <is>
          <t>MTR-BLR-003</t>
        </is>
      </c>
      <c r="D266" s="8" t="inlineStr">
        <is>
          <t>Boiler House</t>
        </is>
      </c>
      <c r="E266" s="8" t="inlineStr">
        <is>
          <t>Steam Boiler 1</t>
        </is>
      </c>
      <c r="F266" s="8" t="inlineStr">
        <is>
          <t>2024-09-19 08:00</t>
        </is>
      </c>
      <c r="G266" s="12" t="n">
        <v>60574.33</v>
      </c>
      <c r="H266" s="8" t="inlineStr">
        <is>
          <t>m3</t>
        </is>
      </c>
      <c r="I266" s="8" t="inlineStr">
        <is>
          <t>cumulative</t>
        </is>
      </c>
      <c r="J266" s="8" t="inlineStr">
        <is>
          <t>KL</t>
        </is>
      </c>
      <c r="K266" s="8" t="inlineStr"/>
      <c r="L266" s="10">
        <f>IFERROR(IF(F266&lt;F265,"NEGATIVE",ROUND(F266-F265,2)),"")</f>
        <v/>
      </c>
    </row>
    <row r="267" ht="22" customHeight="1">
      <c r="B267" s="5" t="inlineStr">
        <is>
          <t>R00263</t>
        </is>
      </c>
      <c r="C267" s="5" t="inlineStr">
        <is>
          <t>MTR-BLR-003</t>
        </is>
      </c>
      <c r="D267" s="5" t="inlineStr">
        <is>
          <t>Boiler House</t>
        </is>
      </c>
      <c r="E267" s="5" t="inlineStr">
        <is>
          <t>Steam Boiler 1</t>
        </is>
      </c>
      <c r="F267" s="5" t="inlineStr">
        <is>
          <t>2024-09-20 08:00</t>
        </is>
      </c>
      <c r="G267" s="11" t="n">
        <v>60596.66</v>
      </c>
      <c r="H267" s="5" t="inlineStr">
        <is>
          <t>m3</t>
        </is>
      </c>
      <c r="I267" s="5" t="inlineStr">
        <is>
          <t>cumulative</t>
        </is>
      </c>
      <c r="J267" s="5" t="inlineStr">
        <is>
          <t>GH</t>
        </is>
      </c>
      <c r="K267" s="5" t="inlineStr"/>
      <c r="L267" s="7">
        <f>IFERROR(IF(F267&lt;F266,"NEGATIVE",ROUND(F267-F266,2)),"")</f>
        <v/>
      </c>
    </row>
    <row r="268" ht="22" customHeight="1">
      <c r="B268" s="8" t="inlineStr">
        <is>
          <t>R00264</t>
        </is>
      </c>
      <c r="C268" s="8" t="inlineStr">
        <is>
          <t>MTR-BLR-003</t>
        </is>
      </c>
      <c r="D268" s="8" t="inlineStr">
        <is>
          <t>Boiler House</t>
        </is>
      </c>
      <c r="E268" s="8" t="inlineStr">
        <is>
          <t>Steam Boiler 1</t>
        </is>
      </c>
      <c r="F268" s="8" t="inlineStr">
        <is>
          <t>2024-09-21 08:00</t>
        </is>
      </c>
      <c r="G268" s="12" t="n">
        <v>60613.83</v>
      </c>
      <c r="H268" s="8" t="inlineStr">
        <is>
          <t>m3</t>
        </is>
      </c>
      <c r="I268" s="8" t="inlineStr">
        <is>
          <t>cumulative</t>
        </is>
      </c>
      <c r="J268" s="8" t="inlineStr">
        <is>
          <t>KL</t>
        </is>
      </c>
      <c r="K268" s="8" t="inlineStr"/>
      <c r="L268" s="10">
        <f>IFERROR(IF(F268&lt;F267,"NEGATIVE",ROUND(F268-F267,2)),"")</f>
        <v/>
      </c>
    </row>
    <row r="269" ht="22" customHeight="1">
      <c r="B269" s="5" t="inlineStr">
        <is>
          <t>R00265</t>
        </is>
      </c>
      <c r="C269" s="5" t="inlineStr">
        <is>
          <t>MTR-BLR-003</t>
        </is>
      </c>
      <c r="D269" s="5" t="inlineStr">
        <is>
          <t>Boiler House</t>
        </is>
      </c>
      <c r="E269" s="5" t="inlineStr">
        <is>
          <t>Steam Boiler 1</t>
        </is>
      </c>
      <c r="F269" s="5" t="inlineStr">
        <is>
          <t>2024-09-22 08:00</t>
        </is>
      </c>
      <c r="G269" s="11" t="n">
        <v>60623.52</v>
      </c>
      <c r="H269" s="5" t="inlineStr">
        <is>
          <t>m3</t>
        </is>
      </c>
      <c r="I269" s="5" t="inlineStr">
        <is>
          <t>cumulative</t>
        </is>
      </c>
      <c r="J269" s="5" t="inlineStr">
        <is>
          <t>CD</t>
        </is>
      </c>
      <c r="K269" s="5" t="inlineStr"/>
      <c r="L269" s="7">
        <f>IFERROR(IF(F269&lt;F268,"NEGATIVE",ROUND(F269-F268,2)),"")</f>
        <v/>
      </c>
    </row>
    <row r="270" ht="22" customHeight="1">
      <c r="B270" s="8" t="inlineStr">
        <is>
          <t>R00266</t>
        </is>
      </c>
      <c r="C270" s="8" t="inlineStr">
        <is>
          <t>MTR-BLR-003</t>
        </is>
      </c>
      <c r="D270" s="8" t="inlineStr">
        <is>
          <t>Boiler House</t>
        </is>
      </c>
      <c r="E270" s="8" t="inlineStr">
        <is>
          <t>Steam Boiler 1</t>
        </is>
      </c>
      <c r="F270" s="8" t="inlineStr">
        <is>
          <t>2024-09-23 08:00</t>
        </is>
      </c>
      <c r="G270" s="12" t="n">
        <v>60646.15</v>
      </c>
      <c r="H270" s="8" t="inlineStr">
        <is>
          <t>m3</t>
        </is>
      </c>
      <c r="I270" s="8" t="inlineStr">
        <is>
          <t>cumulative</t>
        </is>
      </c>
      <c r="J270" s="8" t="inlineStr">
        <is>
          <t>CD</t>
        </is>
      </c>
      <c r="K270" s="8" t="inlineStr"/>
      <c r="L270" s="10">
        <f>IFERROR(IF(F270&lt;F269,"NEGATIVE",ROUND(F270-F269,2)),"")</f>
        <v/>
      </c>
    </row>
    <row r="271" ht="22" customHeight="1">
      <c r="B271" s="5" t="inlineStr">
        <is>
          <t>R00267</t>
        </is>
      </c>
      <c r="C271" s="5" t="inlineStr">
        <is>
          <t>MTR-BLR-003</t>
        </is>
      </c>
      <c r="D271" s="5" t="inlineStr">
        <is>
          <t>Boiler House</t>
        </is>
      </c>
      <c r="E271" s="5" t="inlineStr">
        <is>
          <t>Steam Boiler 1</t>
        </is>
      </c>
      <c r="F271" s="5" t="inlineStr">
        <is>
          <t>2024-09-24 08:00</t>
        </is>
      </c>
      <c r="G271" s="11" t="n">
        <v>60665.26</v>
      </c>
      <c r="H271" s="5" t="inlineStr">
        <is>
          <t>m3</t>
        </is>
      </c>
      <c r="I271" s="5" t="inlineStr">
        <is>
          <t>cumulative</t>
        </is>
      </c>
      <c r="J271" s="5" t="inlineStr">
        <is>
          <t>AB</t>
        </is>
      </c>
      <c r="K271" s="5" t="inlineStr"/>
      <c r="L271" s="7">
        <f>IFERROR(IF(F271&lt;F270,"NEGATIVE",ROUND(F271-F270,2)),"")</f>
        <v/>
      </c>
    </row>
    <row r="272" ht="22" customHeight="1">
      <c r="B272" s="8" t="inlineStr">
        <is>
          <t>R00268</t>
        </is>
      </c>
      <c r="C272" s="8" t="inlineStr">
        <is>
          <t>MTR-BLR-003</t>
        </is>
      </c>
      <c r="D272" s="8" t="inlineStr">
        <is>
          <t>Boiler House</t>
        </is>
      </c>
      <c r="E272" s="8" t="inlineStr">
        <is>
          <t>Steam Boiler 1</t>
        </is>
      </c>
      <c r="F272" s="8" t="inlineStr">
        <is>
          <t>2024-09-25 08:00</t>
        </is>
      </c>
      <c r="G272" s="12" t="n">
        <v>60684.06</v>
      </c>
      <c r="H272" s="8" t="inlineStr">
        <is>
          <t>m3</t>
        </is>
      </c>
      <c r="I272" s="8" t="inlineStr">
        <is>
          <t>cumulative</t>
        </is>
      </c>
      <c r="J272" s="8" t="inlineStr">
        <is>
          <t>EF</t>
        </is>
      </c>
      <c r="K272" s="8" t="inlineStr"/>
      <c r="L272" s="10">
        <f>IFERROR(IF(F272&lt;F271,"NEGATIVE",ROUND(F272-F271,2)),"")</f>
        <v/>
      </c>
    </row>
    <row r="273" ht="22" customHeight="1">
      <c r="B273" s="5" t="inlineStr">
        <is>
          <t>R00269</t>
        </is>
      </c>
      <c r="C273" s="5" t="inlineStr">
        <is>
          <t>MTR-BLR-003</t>
        </is>
      </c>
      <c r="D273" s="5" t="inlineStr">
        <is>
          <t>Boiler House</t>
        </is>
      </c>
      <c r="E273" s="5" t="inlineStr">
        <is>
          <t>Steam Boiler 1</t>
        </is>
      </c>
      <c r="F273" s="5" t="inlineStr">
        <is>
          <t>2024-09-26 08:00</t>
        </is>
      </c>
      <c r="G273" s="11" t="n">
        <v>60706.04</v>
      </c>
      <c r="H273" s="5" t="inlineStr">
        <is>
          <t>m3</t>
        </is>
      </c>
      <c r="I273" s="5" t="inlineStr">
        <is>
          <t>cumulative</t>
        </is>
      </c>
      <c r="J273" s="5" t="inlineStr">
        <is>
          <t>GH</t>
        </is>
      </c>
      <c r="K273" s="5" t="inlineStr"/>
      <c r="L273" s="7">
        <f>IFERROR(IF(F273&lt;F272,"NEGATIVE",ROUND(F273-F272,2)),"")</f>
        <v/>
      </c>
    </row>
    <row r="274" ht="22" customHeight="1">
      <c r="B274" s="8" t="inlineStr">
        <is>
          <t>R00270</t>
        </is>
      </c>
      <c r="C274" s="8" t="inlineStr">
        <is>
          <t>MTR-BLR-003</t>
        </is>
      </c>
      <c r="D274" s="8" t="inlineStr">
        <is>
          <t>Boiler House</t>
        </is>
      </c>
      <c r="E274" s="8" t="inlineStr">
        <is>
          <t>Steam Boiler 1</t>
        </is>
      </c>
      <c r="F274" s="8" t="inlineStr">
        <is>
          <t>2024-09-27 08:00</t>
        </is>
      </c>
      <c r="G274" s="12" t="n">
        <v>60728.62</v>
      </c>
      <c r="H274" s="8" t="inlineStr">
        <is>
          <t>m3</t>
        </is>
      </c>
      <c r="I274" s="8" t="inlineStr">
        <is>
          <t>cumulative</t>
        </is>
      </c>
      <c r="J274" s="8" t="inlineStr">
        <is>
          <t>CD</t>
        </is>
      </c>
      <c r="K274" s="8" t="inlineStr"/>
      <c r="L274" s="10">
        <f>IFERROR(IF(F274&lt;F273,"NEGATIVE",ROUND(F274-F273,2)),"")</f>
        <v/>
      </c>
    </row>
    <row r="275" ht="22" customHeight="1">
      <c r="B275" s="5" t="inlineStr">
        <is>
          <t>R00271</t>
        </is>
      </c>
      <c r="C275" s="5" t="inlineStr">
        <is>
          <t>MTR-BLR-003</t>
        </is>
      </c>
      <c r="D275" s="5" t="inlineStr">
        <is>
          <t>Boiler House</t>
        </is>
      </c>
      <c r="E275" s="5" t="inlineStr">
        <is>
          <t>Steam Boiler 1</t>
        </is>
      </c>
      <c r="F275" s="5" t="inlineStr">
        <is>
          <t>2024-09-28 08:00</t>
        </is>
      </c>
      <c r="G275" s="11" t="n">
        <v>60746.03</v>
      </c>
      <c r="H275" s="5" t="inlineStr">
        <is>
          <t>m3</t>
        </is>
      </c>
      <c r="I275" s="5" t="inlineStr">
        <is>
          <t>cumulative</t>
        </is>
      </c>
      <c r="J275" s="5" t="inlineStr">
        <is>
          <t>KL</t>
        </is>
      </c>
      <c r="K275" s="5" t="inlineStr"/>
      <c r="L275" s="7">
        <f>IFERROR(IF(F275&lt;F274,"NEGATIVE",ROUND(F275-F274,2)),"")</f>
        <v/>
      </c>
    </row>
    <row r="276" ht="22" customHeight="1">
      <c r="B276" s="8" t="inlineStr">
        <is>
          <t>R00272</t>
        </is>
      </c>
      <c r="C276" s="8" t="inlineStr">
        <is>
          <t>MTR-BLR-003</t>
        </is>
      </c>
      <c r="D276" s="8" t="inlineStr">
        <is>
          <t>Boiler House</t>
        </is>
      </c>
      <c r="E276" s="8" t="inlineStr">
        <is>
          <t>Steam Boiler 1</t>
        </is>
      </c>
      <c r="F276" s="8" t="inlineStr">
        <is>
          <t>2024-09-29 08:00</t>
        </is>
      </c>
      <c r="G276" s="12" t="n">
        <v>60757.12</v>
      </c>
      <c r="H276" s="8" t="inlineStr">
        <is>
          <t>m3</t>
        </is>
      </c>
      <c r="I276" s="8" t="inlineStr">
        <is>
          <t>cumulative</t>
        </is>
      </c>
      <c r="J276" s="8" t="inlineStr">
        <is>
          <t>AB</t>
        </is>
      </c>
      <c r="K276" s="8" t="inlineStr"/>
      <c r="L276" s="10">
        <f>IFERROR(IF(F276&lt;F275,"NEGATIVE",ROUND(F276-F275,2)),"")</f>
        <v/>
      </c>
    </row>
    <row r="277" ht="22" customHeight="1">
      <c r="B277" s="5" t="inlineStr">
        <is>
          <t>R00273</t>
        </is>
      </c>
      <c r="C277" s="5" t="inlineStr">
        <is>
          <t>MTR-BLR-003</t>
        </is>
      </c>
      <c r="D277" s="5" t="inlineStr">
        <is>
          <t>Boiler House</t>
        </is>
      </c>
      <c r="E277" s="5" t="inlineStr">
        <is>
          <t>Steam Boiler 1</t>
        </is>
      </c>
      <c r="F277" s="5" t="inlineStr">
        <is>
          <t>2024-09-30 08:00</t>
        </is>
      </c>
      <c r="G277" s="11" t="n">
        <v>60778.01</v>
      </c>
      <c r="H277" s="5" t="inlineStr">
        <is>
          <t>m3</t>
        </is>
      </c>
      <c r="I277" s="5" t="inlineStr">
        <is>
          <t>cumulative</t>
        </is>
      </c>
      <c r="J277" s="5" t="inlineStr">
        <is>
          <t>EF</t>
        </is>
      </c>
      <c r="K277" s="5" t="inlineStr"/>
      <c r="L277" s="7">
        <f>IFERROR(IF(F277&lt;F276,"NEGATIVE",ROUND(F277-F276,2)),"")</f>
        <v/>
      </c>
    </row>
    <row r="278" ht="22" customHeight="1">
      <c r="B278" s="8" t="inlineStr">
        <is>
          <t>R00274</t>
        </is>
      </c>
      <c r="C278" s="8" t="inlineStr">
        <is>
          <t>MTR-BLR-003</t>
        </is>
      </c>
      <c r="D278" s="8" t="inlineStr">
        <is>
          <t>Boiler House</t>
        </is>
      </c>
      <c r="E278" s="8" t="inlineStr">
        <is>
          <t>Steam Boiler 1</t>
        </is>
      </c>
      <c r="F278" s="8" t="inlineStr">
        <is>
          <t>2024-10-01 08:00</t>
        </is>
      </c>
      <c r="G278" s="12" t="n">
        <v>60800.05</v>
      </c>
      <c r="H278" s="8" t="inlineStr">
        <is>
          <t>m3</t>
        </is>
      </c>
      <c r="I278" s="8" t="inlineStr">
        <is>
          <t>cumulative</t>
        </is>
      </c>
      <c r="J278" s="8" t="inlineStr">
        <is>
          <t>IJ</t>
        </is>
      </c>
      <c r="K278" s="8" t="inlineStr"/>
      <c r="L278" s="10">
        <f>IFERROR(IF(F278&lt;F277,"NEGATIVE",ROUND(F278-F277,2)),"")</f>
        <v/>
      </c>
    </row>
    <row r="279" ht="22" customHeight="1">
      <c r="B279" s="5" t="inlineStr">
        <is>
          <t>R00275</t>
        </is>
      </c>
      <c r="C279" s="5" t="inlineStr">
        <is>
          <t>MTR-BLR-003</t>
        </is>
      </c>
      <c r="D279" s="5" t="inlineStr">
        <is>
          <t>Boiler House</t>
        </is>
      </c>
      <c r="E279" s="5" t="inlineStr">
        <is>
          <t>Steam Boiler 1</t>
        </is>
      </c>
      <c r="F279" s="5" t="inlineStr">
        <is>
          <t>2024-10-02 08:00</t>
        </is>
      </c>
      <c r="G279" s="11" t="n">
        <v>60817.57</v>
      </c>
      <c r="H279" s="5" t="inlineStr">
        <is>
          <t>m3</t>
        </is>
      </c>
      <c r="I279" s="5" t="inlineStr">
        <is>
          <t>cumulative</t>
        </is>
      </c>
      <c r="J279" s="5" t="inlineStr">
        <is>
          <t>KL</t>
        </is>
      </c>
      <c r="K279" s="5" t="inlineStr"/>
      <c r="L279" s="7">
        <f>IFERROR(IF(F279&lt;F278,"NEGATIVE",ROUND(F279-F278,2)),"")</f>
        <v/>
      </c>
    </row>
    <row r="280" ht="22" customHeight="1">
      <c r="B280" s="8" t="inlineStr">
        <is>
          <t>R00276</t>
        </is>
      </c>
      <c r="C280" s="8" t="inlineStr">
        <is>
          <t>MTR-BLR-003</t>
        </is>
      </c>
      <c r="D280" s="8" t="inlineStr">
        <is>
          <t>Boiler House</t>
        </is>
      </c>
      <c r="E280" s="8" t="inlineStr">
        <is>
          <t>Steam Boiler 1</t>
        </is>
      </c>
      <c r="F280" s="8" t="inlineStr">
        <is>
          <t>2024-10-03 08:00</t>
        </is>
      </c>
      <c r="G280" s="12" t="n">
        <v>60839.48</v>
      </c>
      <c r="H280" s="8" t="inlineStr">
        <is>
          <t>m3</t>
        </is>
      </c>
      <c r="I280" s="8" t="inlineStr">
        <is>
          <t>cumulative</t>
        </is>
      </c>
      <c r="J280" s="8" t="inlineStr">
        <is>
          <t>AB</t>
        </is>
      </c>
      <c r="K280" s="8" t="inlineStr"/>
      <c r="L280" s="10">
        <f>IFERROR(IF(F280&lt;F279,"NEGATIVE",ROUND(F280-F279,2)),"")</f>
        <v/>
      </c>
    </row>
    <row r="281" ht="22" customHeight="1">
      <c r="B281" s="5" t="inlineStr">
        <is>
          <t>R00277</t>
        </is>
      </c>
      <c r="C281" s="5" t="inlineStr">
        <is>
          <t>MTR-BLR-003</t>
        </is>
      </c>
      <c r="D281" s="5" t="inlineStr">
        <is>
          <t>Boiler House</t>
        </is>
      </c>
      <c r="E281" s="5" t="inlineStr">
        <is>
          <t>Steam Boiler 1</t>
        </is>
      </c>
      <c r="F281" s="5" t="inlineStr">
        <is>
          <t>2024-10-04 08:00</t>
        </is>
      </c>
      <c r="G281" s="11" t="n">
        <v>60860.11</v>
      </c>
      <c r="H281" s="5" t="inlineStr">
        <is>
          <t>m3</t>
        </is>
      </c>
      <c r="I281" s="5" t="inlineStr">
        <is>
          <t>cumulative</t>
        </is>
      </c>
      <c r="J281" s="5" t="inlineStr">
        <is>
          <t>KL</t>
        </is>
      </c>
      <c r="K281" s="5" t="inlineStr"/>
      <c r="L281" s="7">
        <f>IFERROR(IF(F281&lt;F280,"NEGATIVE",ROUND(F281-F280,2)),"")</f>
        <v/>
      </c>
    </row>
    <row r="282" ht="22" customHeight="1">
      <c r="B282" s="8" t="inlineStr">
        <is>
          <t>R00278</t>
        </is>
      </c>
      <c r="C282" s="8" t="inlineStr">
        <is>
          <t>MTR-BLR-003</t>
        </is>
      </c>
      <c r="D282" s="8" t="inlineStr">
        <is>
          <t>Boiler House</t>
        </is>
      </c>
      <c r="E282" s="8" t="inlineStr">
        <is>
          <t>Steam Boiler 1</t>
        </is>
      </c>
      <c r="F282" s="8" t="inlineStr">
        <is>
          <t>2024-10-05 08:00</t>
        </is>
      </c>
      <c r="G282" s="12" t="n">
        <v>60877.79</v>
      </c>
      <c r="H282" s="8" t="inlineStr">
        <is>
          <t>m3</t>
        </is>
      </c>
      <c r="I282" s="8" t="inlineStr">
        <is>
          <t>cumulative</t>
        </is>
      </c>
      <c r="J282" s="8" t="inlineStr">
        <is>
          <t>KL</t>
        </is>
      </c>
      <c r="K282" s="8" t="inlineStr"/>
      <c r="L282" s="10">
        <f>IFERROR(IF(F282&lt;F281,"NEGATIVE",ROUND(F282-F281,2)),"")</f>
        <v/>
      </c>
    </row>
    <row r="283" ht="22" customHeight="1">
      <c r="B283" s="5" t="inlineStr">
        <is>
          <t>R00279</t>
        </is>
      </c>
      <c r="C283" s="5" t="inlineStr">
        <is>
          <t>MTR-BLR-003</t>
        </is>
      </c>
      <c r="D283" s="5" t="inlineStr">
        <is>
          <t>Boiler House</t>
        </is>
      </c>
      <c r="E283" s="5" t="inlineStr">
        <is>
          <t>Steam Boiler 1</t>
        </is>
      </c>
      <c r="F283" s="5" t="inlineStr">
        <is>
          <t>2024-10-06 08:00</t>
        </is>
      </c>
      <c r="G283" s="11" t="n">
        <v>60887.49</v>
      </c>
      <c r="H283" s="5" t="inlineStr">
        <is>
          <t>m3</t>
        </is>
      </c>
      <c r="I283" s="5" t="inlineStr">
        <is>
          <t>cumulative</t>
        </is>
      </c>
      <c r="J283" s="5" t="inlineStr">
        <is>
          <t>GH</t>
        </is>
      </c>
      <c r="K283" s="5" t="inlineStr"/>
      <c r="L283" s="7">
        <f>IFERROR(IF(F283&lt;F282,"NEGATIVE",ROUND(F283-F282,2)),"")</f>
        <v/>
      </c>
    </row>
    <row r="284" ht="22" customHeight="1">
      <c r="B284" s="8" t="inlineStr">
        <is>
          <t>R00280</t>
        </is>
      </c>
      <c r="C284" s="8" t="inlineStr">
        <is>
          <t>MTR-BLR-003</t>
        </is>
      </c>
      <c r="D284" s="8" t="inlineStr">
        <is>
          <t>Boiler House</t>
        </is>
      </c>
      <c r="E284" s="8" t="inlineStr">
        <is>
          <t>Steam Boiler 1</t>
        </is>
      </c>
      <c r="F284" s="8" t="inlineStr">
        <is>
          <t>2024-10-07 08:00</t>
        </is>
      </c>
      <c r="G284" s="12" t="n">
        <v>60906.88</v>
      </c>
      <c r="H284" s="8" t="inlineStr">
        <is>
          <t>m3</t>
        </is>
      </c>
      <c r="I284" s="8" t="inlineStr">
        <is>
          <t>cumulative</t>
        </is>
      </c>
      <c r="J284" s="8" t="inlineStr">
        <is>
          <t>KL</t>
        </is>
      </c>
      <c r="K284" s="8" t="inlineStr"/>
      <c r="L284" s="10">
        <f>IFERROR(IF(F284&lt;F283,"NEGATIVE",ROUND(F284-F283,2)),"")</f>
        <v/>
      </c>
    </row>
    <row r="285" ht="22" customHeight="1">
      <c r="B285" s="5" t="inlineStr">
        <is>
          <t>R00281</t>
        </is>
      </c>
      <c r="C285" s="5" t="inlineStr">
        <is>
          <t>MTR-BLR-003</t>
        </is>
      </c>
      <c r="D285" s="5" t="inlineStr">
        <is>
          <t>Boiler House</t>
        </is>
      </c>
      <c r="E285" s="5" t="inlineStr">
        <is>
          <t>Steam Boiler 1</t>
        </is>
      </c>
      <c r="F285" s="5" t="inlineStr">
        <is>
          <t>2024-10-08 08:00</t>
        </is>
      </c>
      <c r="G285" s="11" t="n">
        <v>60928.58</v>
      </c>
      <c r="H285" s="5" t="inlineStr">
        <is>
          <t>m3</t>
        </is>
      </c>
      <c r="I285" s="5" t="inlineStr">
        <is>
          <t>cumulative</t>
        </is>
      </c>
      <c r="J285" s="5" t="inlineStr">
        <is>
          <t>EF</t>
        </is>
      </c>
      <c r="K285" s="5" t="inlineStr"/>
      <c r="L285" s="7">
        <f>IFERROR(IF(F285&lt;F284,"NEGATIVE",ROUND(F285-F284,2)),"")</f>
        <v/>
      </c>
    </row>
    <row r="286" ht="22" customHeight="1">
      <c r="B286" s="8" t="inlineStr">
        <is>
          <t>R00282</t>
        </is>
      </c>
      <c r="C286" s="8" t="inlineStr">
        <is>
          <t>MTR-BLR-003</t>
        </is>
      </c>
      <c r="D286" s="8" t="inlineStr">
        <is>
          <t>Boiler House</t>
        </is>
      </c>
      <c r="E286" s="8" t="inlineStr">
        <is>
          <t>Steam Boiler 1</t>
        </is>
      </c>
      <c r="F286" s="8" t="inlineStr">
        <is>
          <t>2024-10-09 08:00</t>
        </is>
      </c>
      <c r="G286" s="12" t="n">
        <v>60951.06</v>
      </c>
      <c r="H286" s="8" t="inlineStr">
        <is>
          <t>m3</t>
        </is>
      </c>
      <c r="I286" s="8" t="inlineStr">
        <is>
          <t>cumulative</t>
        </is>
      </c>
      <c r="J286" s="8" t="inlineStr">
        <is>
          <t>CD</t>
        </is>
      </c>
      <c r="K286" s="8" t="inlineStr"/>
      <c r="L286" s="10">
        <f>IFERROR(IF(F286&lt;F285,"NEGATIVE",ROUND(F286-F285,2)),"")</f>
        <v/>
      </c>
    </row>
    <row r="287" ht="22" customHeight="1">
      <c r="B287" s="5" t="inlineStr">
        <is>
          <t>R00283</t>
        </is>
      </c>
      <c r="C287" s="5" t="inlineStr">
        <is>
          <t>MTR-BLR-003</t>
        </is>
      </c>
      <c r="D287" s="5" t="inlineStr">
        <is>
          <t>Boiler House</t>
        </is>
      </c>
      <c r="E287" s="5" t="inlineStr">
        <is>
          <t>Steam Boiler 1</t>
        </is>
      </c>
      <c r="F287" s="5" t="inlineStr">
        <is>
          <t>2024-10-10 08:00</t>
        </is>
      </c>
      <c r="G287" s="11" t="n">
        <v>60972.17</v>
      </c>
      <c r="H287" s="5" t="inlineStr">
        <is>
          <t>m3</t>
        </is>
      </c>
      <c r="I287" s="5" t="inlineStr">
        <is>
          <t>cumulative</t>
        </is>
      </c>
      <c r="J287" s="5" t="inlineStr">
        <is>
          <t>EF</t>
        </is>
      </c>
      <c r="K287" s="5" t="inlineStr"/>
      <c r="L287" s="7">
        <f>IFERROR(IF(F287&lt;F286,"NEGATIVE",ROUND(F287-F286,2)),"")</f>
        <v/>
      </c>
    </row>
    <row r="288" ht="22" customHeight="1">
      <c r="B288" s="8" t="inlineStr">
        <is>
          <t>R00284</t>
        </is>
      </c>
      <c r="C288" s="8" t="inlineStr">
        <is>
          <t>MTR-BLR-003</t>
        </is>
      </c>
      <c r="D288" s="8" t="inlineStr">
        <is>
          <t>Boiler House</t>
        </is>
      </c>
      <c r="E288" s="8" t="inlineStr">
        <is>
          <t>Steam Boiler 1</t>
        </is>
      </c>
      <c r="F288" s="8" t="inlineStr">
        <is>
          <t>2024-10-11 08:00</t>
        </is>
      </c>
      <c r="G288" s="12" t="n">
        <v>60990.44</v>
      </c>
      <c r="H288" s="8" t="inlineStr">
        <is>
          <t>m3</t>
        </is>
      </c>
      <c r="I288" s="8" t="inlineStr">
        <is>
          <t>cumulative</t>
        </is>
      </c>
      <c r="J288" s="8" t="inlineStr">
        <is>
          <t>GH</t>
        </is>
      </c>
      <c r="K288" s="8" t="inlineStr"/>
      <c r="L288" s="10">
        <f>IFERROR(IF(F288&lt;F287,"NEGATIVE",ROUND(F288-F287,2)),"")</f>
        <v/>
      </c>
    </row>
    <row r="289" ht="22" customHeight="1">
      <c r="B289" s="5" t="inlineStr">
        <is>
          <t>R00285</t>
        </is>
      </c>
      <c r="C289" s="5" t="inlineStr">
        <is>
          <t>MTR-BLR-003</t>
        </is>
      </c>
      <c r="D289" s="5" t="inlineStr">
        <is>
          <t>Boiler House</t>
        </is>
      </c>
      <c r="E289" s="5" t="inlineStr">
        <is>
          <t>Steam Boiler 1</t>
        </is>
      </c>
      <c r="F289" s="5" t="inlineStr">
        <is>
          <t>2024-10-12 08:00</t>
        </is>
      </c>
      <c r="G289" s="11" t="n">
        <v>61009.16</v>
      </c>
      <c r="H289" s="5" t="inlineStr">
        <is>
          <t>m3</t>
        </is>
      </c>
      <c r="I289" s="5" t="inlineStr">
        <is>
          <t>cumulative</t>
        </is>
      </c>
      <c r="J289" s="5" t="inlineStr">
        <is>
          <t>EF</t>
        </is>
      </c>
      <c r="K289" s="5" t="inlineStr"/>
      <c r="L289" s="7">
        <f>IFERROR(IF(F289&lt;F288,"NEGATIVE",ROUND(F289-F288,2)),"")</f>
        <v/>
      </c>
    </row>
    <row r="290" ht="22" customHeight="1">
      <c r="B290" s="8" t="inlineStr">
        <is>
          <t>R00286</t>
        </is>
      </c>
      <c r="C290" s="8" t="inlineStr">
        <is>
          <t>MTR-BLR-003</t>
        </is>
      </c>
      <c r="D290" s="8" t="inlineStr">
        <is>
          <t>Boiler House</t>
        </is>
      </c>
      <c r="E290" s="8" t="inlineStr">
        <is>
          <t>Steam Boiler 1</t>
        </is>
      </c>
      <c r="F290" s="8" t="inlineStr">
        <is>
          <t>2024-10-13 08:00</t>
        </is>
      </c>
      <c r="G290" s="12" t="n">
        <v>61018.53</v>
      </c>
      <c r="H290" s="8" t="inlineStr">
        <is>
          <t>m3</t>
        </is>
      </c>
      <c r="I290" s="8" t="inlineStr">
        <is>
          <t>cumulative</t>
        </is>
      </c>
      <c r="J290" s="8" t="inlineStr">
        <is>
          <t>EF</t>
        </is>
      </c>
      <c r="K290" s="8" t="inlineStr"/>
      <c r="L290" s="10">
        <f>IFERROR(IF(F290&lt;F289,"NEGATIVE",ROUND(F290-F289,2)),"")</f>
        <v/>
      </c>
    </row>
    <row r="291" ht="22" customHeight="1">
      <c r="B291" s="5" t="inlineStr">
        <is>
          <t>R00287</t>
        </is>
      </c>
      <c r="C291" s="5" t="inlineStr">
        <is>
          <t>MTR-BLR-003</t>
        </is>
      </c>
      <c r="D291" s="5" t="inlineStr">
        <is>
          <t>Boiler House</t>
        </is>
      </c>
      <c r="E291" s="5" t="inlineStr">
        <is>
          <t>Steam Boiler 1</t>
        </is>
      </c>
      <c r="F291" s="5" t="inlineStr">
        <is>
          <t>2024-10-14 08:00</t>
        </is>
      </c>
      <c r="G291" s="11" t="n">
        <v>61039.01</v>
      </c>
      <c r="H291" s="5" t="inlineStr">
        <is>
          <t>m3</t>
        </is>
      </c>
      <c r="I291" s="5" t="inlineStr">
        <is>
          <t>cumulative</t>
        </is>
      </c>
      <c r="J291" s="5" t="inlineStr">
        <is>
          <t>GH</t>
        </is>
      </c>
      <c r="K291" s="5" t="inlineStr"/>
      <c r="L291" s="7">
        <f>IFERROR(IF(F291&lt;F290,"NEGATIVE",ROUND(F291-F290,2)),"")</f>
        <v/>
      </c>
    </row>
    <row r="292" ht="22" customHeight="1">
      <c r="B292" s="8" t="inlineStr">
        <is>
          <t>R00288</t>
        </is>
      </c>
      <c r="C292" s="8" t="inlineStr">
        <is>
          <t>MTR-BLR-003</t>
        </is>
      </c>
      <c r="D292" s="8" t="inlineStr">
        <is>
          <t>Boiler House</t>
        </is>
      </c>
      <c r="E292" s="8" t="inlineStr">
        <is>
          <t>Steam Boiler 1</t>
        </is>
      </c>
      <c r="F292" s="8" t="inlineStr">
        <is>
          <t>2024-10-15 08:00</t>
        </is>
      </c>
      <c r="G292" s="12" t="n">
        <v>61056.88</v>
      </c>
      <c r="H292" s="8" t="inlineStr">
        <is>
          <t>m3</t>
        </is>
      </c>
      <c r="I292" s="8" t="inlineStr">
        <is>
          <t>cumulative</t>
        </is>
      </c>
      <c r="J292" s="8" t="inlineStr">
        <is>
          <t>GH</t>
        </is>
      </c>
      <c r="K292" s="8" t="inlineStr"/>
      <c r="L292" s="10">
        <f>IFERROR(IF(F292&lt;F291,"NEGATIVE",ROUND(F292-F291,2)),"")</f>
        <v/>
      </c>
    </row>
    <row r="293" ht="22" customHeight="1">
      <c r="B293" s="5" t="inlineStr">
        <is>
          <t>R00289</t>
        </is>
      </c>
      <c r="C293" s="5" t="inlineStr">
        <is>
          <t>MTR-BLR-003</t>
        </is>
      </c>
      <c r="D293" s="5" t="inlineStr">
        <is>
          <t>Boiler House</t>
        </is>
      </c>
      <c r="E293" s="5" t="inlineStr">
        <is>
          <t>Steam Boiler 1</t>
        </is>
      </c>
      <c r="F293" s="5" t="inlineStr">
        <is>
          <t>2024-10-16 08:00</t>
        </is>
      </c>
      <c r="G293" s="11" t="n">
        <v>61074.74</v>
      </c>
      <c r="H293" s="5" t="inlineStr">
        <is>
          <t>m3</t>
        </is>
      </c>
      <c r="I293" s="5" t="inlineStr">
        <is>
          <t>cumulative</t>
        </is>
      </c>
      <c r="J293" s="5" t="inlineStr">
        <is>
          <t>CD</t>
        </is>
      </c>
      <c r="K293" s="5" t="inlineStr"/>
      <c r="L293" s="7">
        <f>IFERROR(IF(F293&lt;F292,"NEGATIVE",ROUND(F293-F292,2)),"")</f>
        <v/>
      </c>
    </row>
    <row r="294" ht="22" customHeight="1">
      <c r="B294" s="8" t="inlineStr">
        <is>
          <t>R00290</t>
        </is>
      </c>
      <c r="C294" s="8" t="inlineStr">
        <is>
          <t>MTR-BLR-003</t>
        </is>
      </c>
      <c r="D294" s="8" t="inlineStr">
        <is>
          <t>Boiler House</t>
        </is>
      </c>
      <c r="E294" s="8" t="inlineStr">
        <is>
          <t>Steam Boiler 1</t>
        </is>
      </c>
      <c r="F294" s="8" t="inlineStr">
        <is>
          <t>2024-10-17 08:00</t>
        </is>
      </c>
      <c r="G294" s="12" t="n">
        <v>61092.43</v>
      </c>
      <c r="H294" s="8" t="inlineStr">
        <is>
          <t>m3</t>
        </is>
      </c>
      <c r="I294" s="8" t="inlineStr">
        <is>
          <t>cumulative</t>
        </is>
      </c>
      <c r="J294" s="8" t="inlineStr">
        <is>
          <t>KL</t>
        </is>
      </c>
      <c r="K294" s="8" t="inlineStr"/>
      <c r="L294" s="10">
        <f>IFERROR(IF(F294&lt;F293,"NEGATIVE",ROUND(F294-F293,2)),"")</f>
        <v/>
      </c>
    </row>
    <row r="295" ht="22" customHeight="1">
      <c r="B295" s="5" t="inlineStr">
        <is>
          <t>R00291</t>
        </is>
      </c>
      <c r="C295" s="5" t="inlineStr">
        <is>
          <t>MTR-BLR-003</t>
        </is>
      </c>
      <c r="D295" s="5" t="inlineStr">
        <is>
          <t>Boiler House</t>
        </is>
      </c>
      <c r="E295" s="5" t="inlineStr">
        <is>
          <t>Steam Boiler 1</t>
        </is>
      </c>
      <c r="F295" s="5" t="inlineStr">
        <is>
          <t>2024-10-18 08:00</t>
        </is>
      </c>
      <c r="G295" s="11" t="n">
        <v>61110.29</v>
      </c>
      <c r="H295" s="5" t="inlineStr">
        <is>
          <t>m3</t>
        </is>
      </c>
      <c r="I295" s="5" t="inlineStr">
        <is>
          <t>cumulative</t>
        </is>
      </c>
      <c r="J295" s="5" t="inlineStr">
        <is>
          <t>IJ</t>
        </is>
      </c>
      <c r="K295" s="5" t="inlineStr"/>
      <c r="L295" s="7">
        <f>IFERROR(IF(F295&lt;F294,"NEGATIVE",ROUND(F295-F294,2)),"")</f>
        <v/>
      </c>
    </row>
    <row r="296" ht="22" customHeight="1">
      <c r="B296" s="8" t="inlineStr">
        <is>
          <t>R00292</t>
        </is>
      </c>
      <c r="C296" s="8" t="inlineStr">
        <is>
          <t>MTR-BLR-003</t>
        </is>
      </c>
      <c r="D296" s="8" t="inlineStr">
        <is>
          <t>Boiler House</t>
        </is>
      </c>
      <c r="E296" s="8" t="inlineStr">
        <is>
          <t>Steam Boiler 1</t>
        </is>
      </c>
      <c r="F296" s="8" t="inlineStr">
        <is>
          <t>2024-10-19 08:00</t>
        </is>
      </c>
      <c r="G296" s="12" t="n">
        <v>61124.76</v>
      </c>
      <c r="H296" s="8" t="inlineStr">
        <is>
          <t>m3</t>
        </is>
      </c>
      <c r="I296" s="8" t="inlineStr">
        <is>
          <t>cumulative</t>
        </is>
      </c>
      <c r="J296" s="8" t="inlineStr">
        <is>
          <t>CD</t>
        </is>
      </c>
      <c r="K296" s="8" t="inlineStr"/>
      <c r="L296" s="10">
        <f>IFERROR(IF(F296&lt;F295,"NEGATIVE",ROUND(F296-F295,2)),"")</f>
        <v/>
      </c>
    </row>
    <row r="297" ht="22" customHeight="1">
      <c r="B297" s="5" t="inlineStr">
        <is>
          <t>R00293</t>
        </is>
      </c>
      <c r="C297" s="5" t="inlineStr">
        <is>
          <t>MTR-BLR-003</t>
        </is>
      </c>
      <c r="D297" s="5" t="inlineStr">
        <is>
          <t>Boiler House</t>
        </is>
      </c>
      <c r="E297" s="5" t="inlineStr">
        <is>
          <t>Steam Boiler 1</t>
        </is>
      </c>
      <c r="F297" s="5" t="inlineStr">
        <is>
          <t>2024-10-20 08:00</t>
        </is>
      </c>
      <c r="G297" s="11" t="n">
        <v>61135.02</v>
      </c>
      <c r="H297" s="5" t="inlineStr">
        <is>
          <t>m3</t>
        </is>
      </c>
      <c r="I297" s="5" t="inlineStr">
        <is>
          <t>cumulative</t>
        </is>
      </c>
      <c r="J297" s="5" t="inlineStr">
        <is>
          <t>EF</t>
        </is>
      </c>
      <c r="K297" s="5" t="inlineStr"/>
      <c r="L297" s="7">
        <f>IFERROR(IF(F297&lt;F296,"NEGATIVE",ROUND(F297-F296,2)),"")</f>
        <v/>
      </c>
    </row>
    <row r="298" ht="22" customHeight="1">
      <c r="B298" s="8" t="inlineStr">
        <is>
          <t>R00294</t>
        </is>
      </c>
      <c r="C298" s="8" t="inlineStr">
        <is>
          <t>MTR-BLR-003</t>
        </is>
      </c>
      <c r="D298" s="8" t="inlineStr">
        <is>
          <t>Boiler House</t>
        </is>
      </c>
      <c r="E298" s="8" t="inlineStr">
        <is>
          <t>Steam Boiler 1</t>
        </is>
      </c>
      <c r="F298" s="8" t="inlineStr">
        <is>
          <t>2024-10-21 08:00</t>
        </is>
      </c>
      <c r="G298" s="12" t="n">
        <v>61156.82</v>
      </c>
      <c r="H298" s="8" t="inlineStr">
        <is>
          <t>m3</t>
        </is>
      </c>
      <c r="I298" s="8" t="inlineStr">
        <is>
          <t>cumulative</t>
        </is>
      </c>
      <c r="J298" s="8" t="inlineStr">
        <is>
          <t>IJ</t>
        </is>
      </c>
      <c r="K298" s="8" t="inlineStr"/>
      <c r="L298" s="10">
        <f>IFERROR(IF(F298&lt;F297,"NEGATIVE",ROUND(F298-F297,2)),"")</f>
        <v/>
      </c>
    </row>
    <row r="299" ht="22" customHeight="1">
      <c r="B299" s="5" t="inlineStr">
        <is>
          <t>R00295</t>
        </is>
      </c>
      <c r="C299" s="5" t="inlineStr">
        <is>
          <t>MTR-BLR-003</t>
        </is>
      </c>
      <c r="D299" s="5" t="inlineStr">
        <is>
          <t>Boiler House</t>
        </is>
      </c>
      <c r="E299" s="5" t="inlineStr">
        <is>
          <t>Steam Boiler 1</t>
        </is>
      </c>
      <c r="F299" s="5" t="inlineStr">
        <is>
          <t>2024-10-22 08:00</t>
        </is>
      </c>
      <c r="G299" s="11" t="n">
        <v>61180.19</v>
      </c>
      <c r="H299" s="5" t="inlineStr">
        <is>
          <t>m3</t>
        </is>
      </c>
      <c r="I299" s="5" t="inlineStr">
        <is>
          <t>cumulative</t>
        </is>
      </c>
      <c r="J299" s="5" t="inlineStr">
        <is>
          <t>IJ</t>
        </is>
      </c>
      <c r="K299" s="5" t="inlineStr"/>
      <c r="L299" s="7">
        <f>IFERROR(IF(F299&lt;F298,"NEGATIVE",ROUND(F299-F298,2)),"")</f>
        <v/>
      </c>
    </row>
    <row r="300" ht="22" customHeight="1">
      <c r="B300" s="8" t="inlineStr">
        <is>
          <t>R00296</t>
        </is>
      </c>
      <c r="C300" s="8" t="inlineStr">
        <is>
          <t>MTR-BLR-003</t>
        </is>
      </c>
      <c r="D300" s="8" t="inlineStr">
        <is>
          <t>Boiler House</t>
        </is>
      </c>
      <c r="E300" s="8" t="inlineStr">
        <is>
          <t>Steam Boiler 1</t>
        </is>
      </c>
      <c r="F300" s="8" t="inlineStr">
        <is>
          <t>2024-10-23 08:00</t>
        </is>
      </c>
      <c r="G300" s="12" t="n">
        <v>61198.57</v>
      </c>
      <c r="H300" s="8" t="inlineStr">
        <is>
          <t>m3</t>
        </is>
      </c>
      <c r="I300" s="8" t="inlineStr">
        <is>
          <t>cumulative</t>
        </is>
      </c>
      <c r="J300" s="8" t="inlineStr">
        <is>
          <t>KL</t>
        </is>
      </c>
      <c r="K300" s="8" t="inlineStr"/>
      <c r="L300" s="10">
        <f>IFERROR(IF(F300&lt;F299,"NEGATIVE",ROUND(F300-F299,2)),"")</f>
        <v/>
      </c>
    </row>
    <row r="301" ht="22" customHeight="1">
      <c r="B301" s="5" t="inlineStr">
        <is>
          <t>R00297</t>
        </is>
      </c>
      <c r="C301" s="5" t="inlineStr">
        <is>
          <t>MTR-BLR-003</t>
        </is>
      </c>
      <c r="D301" s="5" t="inlineStr">
        <is>
          <t>Boiler House</t>
        </is>
      </c>
      <c r="E301" s="5" t="inlineStr">
        <is>
          <t>Steam Boiler 1</t>
        </is>
      </c>
      <c r="F301" s="5" t="inlineStr">
        <is>
          <t>2024-10-24 08:00</t>
        </is>
      </c>
      <c r="G301" s="11" t="n">
        <v>61218.84</v>
      </c>
      <c r="H301" s="5" t="inlineStr">
        <is>
          <t>m3</t>
        </is>
      </c>
      <c r="I301" s="5" t="inlineStr">
        <is>
          <t>cumulative</t>
        </is>
      </c>
      <c r="J301" s="5" t="inlineStr">
        <is>
          <t>EF</t>
        </is>
      </c>
      <c r="K301" s="5" t="inlineStr"/>
      <c r="L301" s="7">
        <f>IFERROR(IF(F301&lt;F300,"NEGATIVE",ROUND(F301-F300,2)),"")</f>
        <v/>
      </c>
    </row>
    <row r="302" ht="22" customHeight="1">
      <c r="B302" s="8" t="inlineStr">
        <is>
          <t>R00298</t>
        </is>
      </c>
      <c r="C302" s="8" t="inlineStr">
        <is>
          <t>MTR-BLR-003</t>
        </is>
      </c>
      <c r="D302" s="8" t="inlineStr">
        <is>
          <t>Boiler House</t>
        </is>
      </c>
      <c r="E302" s="8" t="inlineStr">
        <is>
          <t>Steam Boiler 1</t>
        </is>
      </c>
      <c r="F302" s="8" t="inlineStr">
        <is>
          <t>2024-10-25 08:00</t>
        </is>
      </c>
      <c r="G302" s="12" t="n">
        <v>61242.34</v>
      </c>
      <c r="H302" s="8" t="inlineStr">
        <is>
          <t>m3</t>
        </is>
      </c>
      <c r="I302" s="8" t="inlineStr">
        <is>
          <t>cumulative</t>
        </is>
      </c>
      <c r="J302" s="8" t="inlineStr">
        <is>
          <t>GH</t>
        </is>
      </c>
      <c r="K302" s="8" t="inlineStr"/>
      <c r="L302" s="10">
        <f>IFERROR(IF(F302&lt;F301,"NEGATIVE",ROUND(F302-F301,2)),"")</f>
        <v/>
      </c>
    </row>
    <row r="303" ht="22" customHeight="1">
      <c r="B303" s="5" t="inlineStr">
        <is>
          <t>R00299</t>
        </is>
      </c>
      <c r="C303" s="5" t="inlineStr">
        <is>
          <t>MTR-BLR-003</t>
        </is>
      </c>
      <c r="D303" s="5" t="inlineStr">
        <is>
          <t>Boiler House</t>
        </is>
      </c>
      <c r="E303" s="5" t="inlineStr">
        <is>
          <t>Steam Boiler 1</t>
        </is>
      </c>
      <c r="F303" s="5" t="inlineStr">
        <is>
          <t>2024-10-26 08:00</t>
        </is>
      </c>
      <c r="G303" s="11" t="n">
        <v>61257.64</v>
      </c>
      <c r="H303" s="5" t="inlineStr">
        <is>
          <t>m3</t>
        </is>
      </c>
      <c r="I303" s="5" t="inlineStr">
        <is>
          <t>cumulative</t>
        </is>
      </c>
      <c r="J303" s="5" t="inlineStr">
        <is>
          <t>GH</t>
        </is>
      </c>
      <c r="K303" s="5" t="inlineStr"/>
      <c r="L303" s="7">
        <f>IFERROR(IF(F303&lt;F302,"NEGATIVE",ROUND(F303-F302,2)),"")</f>
        <v/>
      </c>
    </row>
    <row r="304" ht="22" customHeight="1">
      <c r="B304" s="8" t="inlineStr">
        <is>
          <t>R00300</t>
        </is>
      </c>
      <c r="C304" s="8" t="inlineStr">
        <is>
          <t>MTR-BLR-003</t>
        </is>
      </c>
      <c r="D304" s="8" t="inlineStr">
        <is>
          <t>Boiler House</t>
        </is>
      </c>
      <c r="E304" s="8" t="inlineStr">
        <is>
          <t>Steam Boiler 1</t>
        </is>
      </c>
      <c r="F304" s="8" t="inlineStr">
        <is>
          <t>2024-10-27 08:00</t>
        </is>
      </c>
      <c r="G304" s="12" t="n">
        <v>61269.18</v>
      </c>
      <c r="H304" s="8" t="inlineStr">
        <is>
          <t>m3</t>
        </is>
      </c>
      <c r="I304" s="8" t="inlineStr">
        <is>
          <t>cumulative</t>
        </is>
      </c>
      <c r="J304" s="8" t="inlineStr">
        <is>
          <t>IJ</t>
        </is>
      </c>
      <c r="K304" s="8" t="inlineStr"/>
      <c r="L304" s="10">
        <f>IFERROR(IF(F304&lt;F303,"NEGATIVE",ROUND(F304-F303,2)),"")</f>
        <v/>
      </c>
    </row>
    <row r="305" ht="22" customHeight="1">
      <c r="B305" s="5" t="inlineStr">
        <is>
          <t>R00301</t>
        </is>
      </c>
      <c r="C305" s="5" t="inlineStr">
        <is>
          <t>MTR-BLR-003</t>
        </is>
      </c>
      <c r="D305" s="5" t="inlineStr">
        <is>
          <t>Boiler House</t>
        </is>
      </c>
      <c r="E305" s="5" t="inlineStr">
        <is>
          <t>Steam Boiler 1</t>
        </is>
      </c>
      <c r="F305" s="5" t="inlineStr">
        <is>
          <t>2024-10-28 08:00</t>
        </is>
      </c>
      <c r="G305" s="11" t="n">
        <v>61287.66</v>
      </c>
      <c r="H305" s="5" t="inlineStr">
        <is>
          <t>m3</t>
        </is>
      </c>
      <c r="I305" s="5" t="inlineStr">
        <is>
          <t>cumulative</t>
        </is>
      </c>
      <c r="J305" s="5" t="inlineStr">
        <is>
          <t>AB</t>
        </is>
      </c>
      <c r="K305" s="5" t="inlineStr"/>
      <c r="L305" s="7">
        <f>IFERROR(IF(F305&lt;F304,"NEGATIVE",ROUND(F305-F304,2)),"")</f>
        <v/>
      </c>
    </row>
    <row r="306" ht="22" customHeight="1">
      <c r="B306" s="8" t="inlineStr">
        <is>
          <t>R00302</t>
        </is>
      </c>
      <c r="C306" s="8" t="inlineStr">
        <is>
          <t>MTR-BLR-003</t>
        </is>
      </c>
      <c r="D306" s="8" t="inlineStr">
        <is>
          <t>Boiler House</t>
        </is>
      </c>
      <c r="E306" s="8" t="inlineStr">
        <is>
          <t>Steam Boiler 1</t>
        </is>
      </c>
      <c r="F306" s="8" t="inlineStr">
        <is>
          <t>2024-10-29 08:00</t>
        </is>
      </c>
      <c r="G306" s="12" t="n">
        <v>61305.76</v>
      </c>
      <c r="H306" s="8" t="inlineStr">
        <is>
          <t>m3</t>
        </is>
      </c>
      <c r="I306" s="8" t="inlineStr">
        <is>
          <t>cumulative</t>
        </is>
      </c>
      <c r="J306" s="8" t="inlineStr">
        <is>
          <t>GH</t>
        </is>
      </c>
      <c r="K306" s="8" t="inlineStr"/>
      <c r="L306" s="10">
        <f>IFERROR(IF(F306&lt;F305,"NEGATIVE",ROUND(F306-F305,2)),"")</f>
        <v/>
      </c>
    </row>
    <row r="307" ht="22" customHeight="1">
      <c r="B307" s="5" t="inlineStr">
        <is>
          <t>R00303</t>
        </is>
      </c>
      <c r="C307" s="5" t="inlineStr">
        <is>
          <t>MTR-BLR-003</t>
        </is>
      </c>
      <c r="D307" s="5" t="inlineStr">
        <is>
          <t>Boiler House</t>
        </is>
      </c>
      <c r="E307" s="5" t="inlineStr">
        <is>
          <t>Steam Boiler 1</t>
        </is>
      </c>
      <c r="F307" s="5" t="inlineStr">
        <is>
          <t>2024-10-30 08:00</t>
        </is>
      </c>
      <c r="G307" s="11" t="n">
        <v>61324.5</v>
      </c>
      <c r="H307" s="5" t="inlineStr">
        <is>
          <t>m3</t>
        </is>
      </c>
      <c r="I307" s="5" t="inlineStr">
        <is>
          <t>cumulative</t>
        </is>
      </c>
      <c r="J307" s="5" t="inlineStr">
        <is>
          <t>AB</t>
        </is>
      </c>
      <c r="K307" s="5" t="inlineStr"/>
      <c r="L307" s="7">
        <f>IFERROR(IF(F307&lt;F306,"NEGATIVE",ROUND(F307-F306,2)),"")</f>
        <v/>
      </c>
    </row>
    <row r="308" ht="22" customHeight="1">
      <c r="B308" s="8" t="inlineStr">
        <is>
          <t>R00304</t>
        </is>
      </c>
      <c r="C308" s="8" t="inlineStr">
        <is>
          <t>MTR-BLR-003</t>
        </is>
      </c>
      <c r="D308" s="8" t="inlineStr">
        <is>
          <t>Boiler House</t>
        </is>
      </c>
      <c r="E308" s="8" t="inlineStr">
        <is>
          <t>Steam Boiler 1</t>
        </is>
      </c>
      <c r="F308" s="8" t="inlineStr">
        <is>
          <t>2024-10-31 08:00</t>
        </is>
      </c>
      <c r="G308" s="12" t="n">
        <v>61343.65</v>
      </c>
      <c r="H308" s="8" t="inlineStr">
        <is>
          <t>m3</t>
        </is>
      </c>
      <c r="I308" s="8" t="inlineStr">
        <is>
          <t>cumulative</t>
        </is>
      </c>
      <c r="J308" s="8" t="inlineStr">
        <is>
          <t>KL</t>
        </is>
      </c>
      <c r="K308" s="8" t="inlineStr"/>
      <c r="L308" s="10">
        <f>IFERROR(IF(F308&lt;F307,"NEGATIVE",ROUND(F308-F307,2)),"")</f>
        <v/>
      </c>
    </row>
    <row r="309" ht="22" customHeight="1">
      <c r="B309" s="5" t="inlineStr">
        <is>
          <t>R00305</t>
        </is>
      </c>
      <c r="C309" s="5" t="inlineStr">
        <is>
          <t>MTR-BLR-003</t>
        </is>
      </c>
      <c r="D309" s="5" t="inlineStr">
        <is>
          <t>Boiler House</t>
        </is>
      </c>
      <c r="E309" s="5" t="inlineStr">
        <is>
          <t>Steam Boiler 1</t>
        </is>
      </c>
      <c r="F309" s="5" t="inlineStr">
        <is>
          <t>2024-11-01 08:00</t>
        </is>
      </c>
      <c r="G309" s="11" t="n">
        <v>61365.71</v>
      </c>
      <c r="H309" s="5" t="inlineStr">
        <is>
          <t>m3</t>
        </is>
      </c>
      <c r="I309" s="5" t="inlineStr">
        <is>
          <t>cumulative</t>
        </is>
      </c>
      <c r="J309" s="5" t="inlineStr">
        <is>
          <t>IJ</t>
        </is>
      </c>
      <c r="K309" s="5" t="inlineStr"/>
      <c r="L309" s="7">
        <f>IFERROR(IF(F309&lt;F308,"NEGATIVE",ROUND(F309-F308,2)),"")</f>
        <v/>
      </c>
    </row>
    <row r="310" ht="22" customHeight="1">
      <c r="B310" s="8" t="inlineStr">
        <is>
          <t>R00306</t>
        </is>
      </c>
      <c r="C310" s="8" t="inlineStr">
        <is>
          <t>MTR-BLR-003</t>
        </is>
      </c>
      <c r="D310" s="8" t="inlineStr">
        <is>
          <t>Boiler House</t>
        </is>
      </c>
      <c r="E310" s="8" t="inlineStr">
        <is>
          <t>Steam Boiler 1</t>
        </is>
      </c>
      <c r="F310" s="8" t="inlineStr">
        <is>
          <t>2024-11-02 08:00</t>
        </is>
      </c>
      <c r="G310" s="12" t="n">
        <v>61383.59</v>
      </c>
      <c r="H310" s="8" t="inlineStr">
        <is>
          <t>m3</t>
        </is>
      </c>
      <c r="I310" s="8" t="inlineStr">
        <is>
          <t>cumulative</t>
        </is>
      </c>
      <c r="J310" s="8" t="inlineStr">
        <is>
          <t>IJ</t>
        </is>
      </c>
      <c r="K310" s="8" t="inlineStr"/>
      <c r="L310" s="10">
        <f>IFERROR(IF(F310&lt;F309,"NEGATIVE",ROUND(F310-F309,2)),"")</f>
        <v/>
      </c>
    </row>
    <row r="311" ht="22" customHeight="1">
      <c r="B311" s="5" t="inlineStr">
        <is>
          <t>R00307</t>
        </is>
      </c>
      <c r="C311" s="5" t="inlineStr">
        <is>
          <t>MTR-BLR-003</t>
        </is>
      </c>
      <c r="D311" s="5" t="inlineStr">
        <is>
          <t>Boiler House</t>
        </is>
      </c>
      <c r="E311" s="5" t="inlineStr">
        <is>
          <t>Steam Boiler 1</t>
        </is>
      </c>
      <c r="F311" s="5" t="inlineStr">
        <is>
          <t>2024-11-03 08:00</t>
        </is>
      </c>
      <c r="G311" s="11" t="n">
        <v>61392.62</v>
      </c>
      <c r="H311" s="5" t="inlineStr">
        <is>
          <t>m3</t>
        </is>
      </c>
      <c r="I311" s="5" t="inlineStr">
        <is>
          <t>cumulative</t>
        </is>
      </c>
      <c r="J311" s="5" t="inlineStr">
        <is>
          <t>IJ</t>
        </is>
      </c>
      <c r="K311" s="5" t="inlineStr"/>
      <c r="L311" s="7">
        <f>IFERROR(IF(F311&lt;F310,"NEGATIVE",ROUND(F311-F310,2)),"")</f>
        <v/>
      </c>
    </row>
    <row r="312" ht="22" customHeight="1">
      <c r="B312" s="8" t="inlineStr">
        <is>
          <t>R00308</t>
        </is>
      </c>
      <c r="C312" s="8" t="inlineStr">
        <is>
          <t>MTR-BLR-003</t>
        </is>
      </c>
      <c r="D312" s="8" t="inlineStr">
        <is>
          <t>Boiler House</t>
        </is>
      </c>
      <c r="E312" s="8" t="inlineStr">
        <is>
          <t>Steam Boiler 1</t>
        </is>
      </c>
      <c r="F312" s="8" t="inlineStr">
        <is>
          <t>2024-11-04 08:00</t>
        </is>
      </c>
      <c r="G312" s="12" t="n">
        <v>61410.41</v>
      </c>
      <c r="H312" s="8" t="inlineStr">
        <is>
          <t>m3</t>
        </is>
      </c>
      <c r="I312" s="8" t="inlineStr">
        <is>
          <t>cumulative</t>
        </is>
      </c>
      <c r="J312" s="8" t="inlineStr">
        <is>
          <t>GH</t>
        </is>
      </c>
      <c r="K312" s="8" t="inlineStr"/>
      <c r="L312" s="10">
        <f>IFERROR(IF(F312&lt;F311,"NEGATIVE",ROUND(F312-F311,2)),"")</f>
        <v/>
      </c>
    </row>
    <row r="313" ht="22" customHeight="1">
      <c r="B313" s="5" t="inlineStr">
        <is>
          <t>R00309</t>
        </is>
      </c>
      <c r="C313" s="5" t="inlineStr">
        <is>
          <t>MTR-BLR-003</t>
        </is>
      </c>
      <c r="D313" s="5" t="inlineStr">
        <is>
          <t>Boiler House</t>
        </is>
      </c>
      <c r="E313" s="5" t="inlineStr">
        <is>
          <t>Steam Boiler 1</t>
        </is>
      </c>
      <c r="F313" s="5" t="inlineStr">
        <is>
          <t>2024-11-05 08:00</t>
        </is>
      </c>
      <c r="G313" s="11" t="n">
        <v>61377.96</v>
      </c>
      <c r="H313" s="5" t="inlineStr">
        <is>
          <t>m3</t>
        </is>
      </c>
      <c r="I313" s="5" t="inlineStr">
        <is>
          <t>cumulative</t>
        </is>
      </c>
      <c r="J313" s="5" t="inlineStr">
        <is>
          <t>IJ</t>
        </is>
      </c>
      <c r="K313" s="5" t="inlineStr">
        <is>
          <t>operator reports meter replaced - investigate</t>
        </is>
      </c>
      <c r="L313" s="7">
        <f>IFERROR(IF(F313&lt;F312,"NEGATIVE",ROUND(F313-F312,2)),"")</f>
        <v/>
      </c>
    </row>
    <row r="314" ht="22" customHeight="1">
      <c r="B314" s="8" t="inlineStr">
        <is>
          <t>R00310</t>
        </is>
      </c>
      <c r="C314" s="8" t="inlineStr">
        <is>
          <t>MTR-BLR-003</t>
        </is>
      </c>
      <c r="D314" s="8" t="inlineStr">
        <is>
          <t>Boiler House</t>
        </is>
      </c>
      <c r="E314" s="8" t="inlineStr">
        <is>
          <t>Steam Boiler 1</t>
        </is>
      </c>
      <c r="F314" s="8" t="inlineStr">
        <is>
          <t>2024-11-06 08:00</t>
        </is>
      </c>
      <c r="G314" s="12" t="n">
        <v>61445.67</v>
      </c>
      <c r="H314" s="8" t="inlineStr">
        <is>
          <t>m3</t>
        </is>
      </c>
      <c r="I314" s="8" t="inlineStr">
        <is>
          <t>cumulative</t>
        </is>
      </c>
      <c r="J314" s="8" t="inlineStr">
        <is>
          <t>CD</t>
        </is>
      </c>
      <c r="K314" s="8" t="inlineStr"/>
      <c r="L314" s="10">
        <f>IFERROR(IF(F314&lt;F313,"NEGATIVE",ROUND(F314-F313,2)),"")</f>
        <v/>
      </c>
    </row>
    <row r="315" ht="22" customHeight="1">
      <c r="B315" s="5" t="inlineStr">
        <is>
          <t>R00311</t>
        </is>
      </c>
      <c r="C315" s="5" t="inlineStr">
        <is>
          <t>MTR-BLR-003</t>
        </is>
      </c>
      <c r="D315" s="5" t="inlineStr">
        <is>
          <t>Boiler House</t>
        </is>
      </c>
      <c r="E315" s="5" t="inlineStr">
        <is>
          <t>Steam Boiler 1</t>
        </is>
      </c>
      <c r="F315" s="5" t="inlineStr">
        <is>
          <t>2024-11-07 08:00</t>
        </is>
      </c>
      <c r="G315" s="11" t="n">
        <v>61467.98</v>
      </c>
      <c r="H315" s="5" t="inlineStr">
        <is>
          <t>m3</t>
        </is>
      </c>
      <c r="I315" s="5" t="inlineStr">
        <is>
          <t>cumulative</t>
        </is>
      </c>
      <c r="J315" s="5" t="inlineStr">
        <is>
          <t>EF</t>
        </is>
      </c>
      <c r="K315" s="5" t="inlineStr"/>
      <c r="L315" s="7">
        <f>IFERROR(IF(F315&lt;F314,"NEGATIVE",ROUND(F315-F314,2)),"")</f>
        <v/>
      </c>
    </row>
    <row r="316" ht="22" customHeight="1">
      <c r="B316" s="8" t="inlineStr">
        <is>
          <t>R00312</t>
        </is>
      </c>
      <c r="C316" s="8" t="inlineStr">
        <is>
          <t>MTR-BLR-003</t>
        </is>
      </c>
      <c r="D316" s="8" t="inlineStr">
        <is>
          <t>Boiler House</t>
        </is>
      </c>
      <c r="E316" s="8" t="inlineStr">
        <is>
          <t>Steam Boiler 1</t>
        </is>
      </c>
      <c r="F316" s="8" t="inlineStr">
        <is>
          <t>2024-11-08 08:00</t>
        </is>
      </c>
      <c r="G316" s="12" t="n">
        <v>61487.42</v>
      </c>
      <c r="H316" s="8" t="inlineStr">
        <is>
          <t>m3</t>
        </is>
      </c>
      <c r="I316" s="8" t="inlineStr">
        <is>
          <t>cumulative</t>
        </is>
      </c>
      <c r="J316" s="8" t="inlineStr">
        <is>
          <t>GH</t>
        </is>
      </c>
      <c r="K316" s="8" t="inlineStr"/>
      <c r="L316" s="10">
        <f>IFERROR(IF(F316&lt;F315,"NEGATIVE",ROUND(F316-F315,2)),"")</f>
        <v/>
      </c>
    </row>
    <row r="317" ht="22" customHeight="1">
      <c r="B317" s="5" t="inlineStr">
        <is>
          <t>R00313</t>
        </is>
      </c>
      <c r="C317" s="5" t="inlineStr">
        <is>
          <t>MTR-BLR-003</t>
        </is>
      </c>
      <c r="D317" s="5" t="inlineStr">
        <is>
          <t>Boiler House</t>
        </is>
      </c>
      <c r="E317" s="5" t="inlineStr">
        <is>
          <t>Steam Boiler 1</t>
        </is>
      </c>
      <c r="F317" s="5" t="inlineStr">
        <is>
          <t>2024-11-09 08:00</t>
        </is>
      </c>
      <c r="G317" s="11" t="n">
        <v>61502.72</v>
      </c>
      <c r="H317" s="5" t="inlineStr">
        <is>
          <t>m3</t>
        </is>
      </c>
      <c r="I317" s="5" t="inlineStr">
        <is>
          <t>cumulative</t>
        </is>
      </c>
      <c r="J317" s="5" t="inlineStr">
        <is>
          <t>GH</t>
        </is>
      </c>
      <c r="K317" s="5" t="inlineStr"/>
      <c r="L317" s="7">
        <f>IFERROR(IF(F317&lt;F316,"NEGATIVE",ROUND(F317-F316,2)),"")</f>
        <v/>
      </c>
    </row>
    <row r="318" ht="22" customHeight="1">
      <c r="B318" s="8" t="inlineStr">
        <is>
          <t>R00314</t>
        </is>
      </c>
      <c r="C318" s="8" t="inlineStr">
        <is>
          <t>MTR-BLR-003</t>
        </is>
      </c>
      <c r="D318" s="8" t="inlineStr">
        <is>
          <t>Boiler House</t>
        </is>
      </c>
      <c r="E318" s="8" t="inlineStr">
        <is>
          <t>Steam Boiler 1</t>
        </is>
      </c>
      <c r="F318" s="8" t="inlineStr">
        <is>
          <t>2024-11-10 08:00</t>
        </is>
      </c>
      <c r="G318" s="12" t="n">
        <v>61513.54</v>
      </c>
      <c r="H318" s="8" t="inlineStr">
        <is>
          <t>m3</t>
        </is>
      </c>
      <c r="I318" s="8" t="inlineStr">
        <is>
          <t>cumulative</t>
        </is>
      </c>
      <c r="J318" s="8" t="inlineStr">
        <is>
          <t>AB</t>
        </is>
      </c>
      <c r="K318" s="8" t="inlineStr"/>
      <c r="L318" s="10">
        <f>IFERROR(IF(F318&lt;F317,"NEGATIVE",ROUND(F318-F317,2)),"")</f>
        <v/>
      </c>
    </row>
    <row r="319" ht="22" customHeight="1">
      <c r="B319" s="5" t="inlineStr">
        <is>
          <t>R00315</t>
        </is>
      </c>
      <c r="C319" s="5" t="inlineStr">
        <is>
          <t>MTR-BLR-003</t>
        </is>
      </c>
      <c r="D319" s="5" t="inlineStr">
        <is>
          <t>Boiler House</t>
        </is>
      </c>
      <c r="E319" s="5" t="inlineStr">
        <is>
          <t>Steam Boiler 1</t>
        </is>
      </c>
      <c r="F319" s="5" t="inlineStr">
        <is>
          <t>2024-11-11 08:00</t>
        </is>
      </c>
      <c r="G319" s="11" t="n">
        <v>61530.96</v>
      </c>
      <c r="H319" s="5" t="inlineStr">
        <is>
          <t>m3</t>
        </is>
      </c>
      <c r="I319" s="5" t="inlineStr">
        <is>
          <t>cumulative</t>
        </is>
      </c>
      <c r="J319" s="5" t="inlineStr">
        <is>
          <t>KL</t>
        </is>
      </c>
      <c r="K319" s="5" t="inlineStr"/>
      <c r="L319" s="7">
        <f>IFERROR(IF(F319&lt;F318,"NEGATIVE",ROUND(F319-F318,2)),"")</f>
        <v/>
      </c>
    </row>
    <row r="320" ht="22" customHeight="1">
      <c r="B320" s="8" t="inlineStr">
        <is>
          <t>R00316</t>
        </is>
      </c>
      <c r="C320" s="8" t="inlineStr">
        <is>
          <t>MTR-BLR-003</t>
        </is>
      </c>
      <c r="D320" s="8" t="inlineStr">
        <is>
          <t>Boiler House</t>
        </is>
      </c>
      <c r="E320" s="8" t="inlineStr">
        <is>
          <t>Steam Boiler 1</t>
        </is>
      </c>
      <c r="F320" s="8" t="inlineStr">
        <is>
          <t>2024-11-12 08:00</t>
        </is>
      </c>
      <c r="G320" s="12" t="n">
        <v>61548.19</v>
      </c>
      <c r="H320" s="8" t="inlineStr">
        <is>
          <t>m3</t>
        </is>
      </c>
      <c r="I320" s="8" t="inlineStr">
        <is>
          <t>cumulative</t>
        </is>
      </c>
      <c r="J320" s="8" t="inlineStr">
        <is>
          <t>AB</t>
        </is>
      </c>
      <c r="K320" s="8" t="inlineStr"/>
      <c r="L320" s="10">
        <f>IFERROR(IF(F320&lt;F319,"NEGATIVE",ROUND(F320-F319,2)),"")</f>
        <v/>
      </c>
    </row>
    <row r="321" ht="22" customHeight="1">
      <c r="B321" s="5" t="inlineStr">
        <is>
          <t>R00317</t>
        </is>
      </c>
      <c r="C321" s="5" t="inlineStr">
        <is>
          <t>MTR-BLR-003</t>
        </is>
      </c>
      <c r="D321" s="5" t="inlineStr">
        <is>
          <t>Boiler House</t>
        </is>
      </c>
      <c r="E321" s="5" t="inlineStr">
        <is>
          <t>Steam Boiler 1</t>
        </is>
      </c>
      <c r="F321" s="5" t="inlineStr">
        <is>
          <t>2024-11-13 08:00</t>
        </is>
      </c>
      <c r="G321" s="11" t="n">
        <v>61567.46</v>
      </c>
      <c r="H321" s="5" t="inlineStr">
        <is>
          <t>m3</t>
        </is>
      </c>
      <c r="I321" s="5" t="inlineStr">
        <is>
          <t>cumulative</t>
        </is>
      </c>
      <c r="J321" s="5" t="inlineStr">
        <is>
          <t>IJ</t>
        </is>
      </c>
      <c r="K321" s="5" t="inlineStr"/>
      <c r="L321" s="7">
        <f>IFERROR(IF(F321&lt;F320,"NEGATIVE",ROUND(F321-F320,2)),"")</f>
        <v/>
      </c>
    </row>
    <row r="322" ht="22" customHeight="1">
      <c r="B322" s="8" t="inlineStr">
        <is>
          <t>R00318</t>
        </is>
      </c>
      <c r="C322" s="8" t="inlineStr">
        <is>
          <t>MTR-BLR-003</t>
        </is>
      </c>
      <c r="D322" s="8" t="inlineStr">
        <is>
          <t>Boiler House</t>
        </is>
      </c>
      <c r="E322" s="8" t="inlineStr">
        <is>
          <t>Steam Boiler 1</t>
        </is>
      </c>
      <c r="F322" s="8" t="inlineStr">
        <is>
          <t>2024-11-14 08:00</t>
        </is>
      </c>
      <c r="G322" s="12" t="n">
        <v>61586.81</v>
      </c>
      <c r="H322" s="8" t="inlineStr">
        <is>
          <t>m3</t>
        </is>
      </c>
      <c r="I322" s="8" t="inlineStr">
        <is>
          <t>cumulative</t>
        </is>
      </c>
      <c r="J322" s="8" t="inlineStr">
        <is>
          <t>CD</t>
        </is>
      </c>
      <c r="K322" s="8" t="inlineStr"/>
      <c r="L322" s="10">
        <f>IFERROR(IF(F322&lt;F321,"NEGATIVE",ROUND(F322-F321,2)),"")</f>
        <v/>
      </c>
    </row>
    <row r="323" ht="22" customHeight="1">
      <c r="B323" s="5" t="inlineStr">
        <is>
          <t>R00319</t>
        </is>
      </c>
      <c r="C323" s="5" t="inlineStr">
        <is>
          <t>MTR-BLR-003</t>
        </is>
      </c>
      <c r="D323" s="5" t="inlineStr">
        <is>
          <t>Boiler House</t>
        </is>
      </c>
      <c r="E323" s="5" t="inlineStr">
        <is>
          <t>Steam Boiler 1</t>
        </is>
      </c>
      <c r="F323" s="5" t="inlineStr">
        <is>
          <t>2024-11-15 08:00</t>
        </is>
      </c>
      <c r="G323" s="11" t="n">
        <v>61603.89</v>
      </c>
      <c r="H323" s="5" t="inlineStr">
        <is>
          <t>m3</t>
        </is>
      </c>
      <c r="I323" s="5" t="inlineStr">
        <is>
          <t>cumulative</t>
        </is>
      </c>
      <c r="J323" s="5" t="inlineStr">
        <is>
          <t>CD</t>
        </is>
      </c>
      <c r="K323" s="5" t="inlineStr"/>
      <c r="L323" s="7">
        <f>IFERROR(IF(F323&lt;F322,"NEGATIVE",ROUND(F323-F322,2)),"")</f>
        <v/>
      </c>
    </row>
    <row r="324" ht="22" customHeight="1">
      <c r="B324" s="8" t="inlineStr">
        <is>
          <t>R00320</t>
        </is>
      </c>
      <c r="C324" s="8" t="inlineStr">
        <is>
          <t>MTR-BLR-003</t>
        </is>
      </c>
      <c r="D324" s="8" t="inlineStr">
        <is>
          <t>Boiler House</t>
        </is>
      </c>
      <c r="E324" s="8" t="inlineStr">
        <is>
          <t>Steam Boiler 1</t>
        </is>
      </c>
      <c r="F324" s="8" t="inlineStr">
        <is>
          <t>2024-11-16 08:00</t>
        </is>
      </c>
      <c r="G324" s="12" t="n">
        <v>61622.03</v>
      </c>
      <c r="H324" s="8" t="inlineStr">
        <is>
          <t>m3</t>
        </is>
      </c>
      <c r="I324" s="8" t="inlineStr">
        <is>
          <t>cumulative</t>
        </is>
      </c>
      <c r="J324" s="8" t="inlineStr">
        <is>
          <t>EF</t>
        </is>
      </c>
      <c r="K324" s="8" t="inlineStr"/>
      <c r="L324" s="10">
        <f>IFERROR(IF(F324&lt;F323,"NEGATIVE",ROUND(F324-F323,2)),"")</f>
        <v/>
      </c>
    </row>
    <row r="325" ht="22" customHeight="1">
      <c r="B325" s="5" t="inlineStr">
        <is>
          <t>R00321</t>
        </is>
      </c>
      <c r="C325" s="5" t="inlineStr">
        <is>
          <t>MTR-BLR-003</t>
        </is>
      </c>
      <c r="D325" s="5" t="inlineStr">
        <is>
          <t>Boiler House</t>
        </is>
      </c>
      <c r="E325" s="5" t="inlineStr">
        <is>
          <t>Steam Boiler 1</t>
        </is>
      </c>
      <c r="F325" s="5" t="inlineStr">
        <is>
          <t>2024-11-17 08:00</t>
        </is>
      </c>
      <c r="G325" s="11" t="n">
        <v>61633.99</v>
      </c>
      <c r="H325" s="5" t="inlineStr">
        <is>
          <t>m3</t>
        </is>
      </c>
      <c r="I325" s="5" t="inlineStr">
        <is>
          <t>cumulative</t>
        </is>
      </c>
      <c r="J325" s="5" t="inlineStr">
        <is>
          <t>EF</t>
        </is>
      </c>
      <c r="K325" s="5" t="inlineStr"/>
      <c r="L325" s="7">
        <f>IFERROR(IF(F325&lt;F324,"NEGATIVE",ROUND(F325-F324,2)),"")</f>
        <v/>
      </c>
    </row>
    <row r="326" ht="22" customHeight="1">
      <c r="B326" s="8" t="inlineStr">
        <is>
          <t>R00322</t>
        </is>
      </c>
      <c r="C326" s="8" t="inlineStr">
        <is>
          <t>MTR-BLR-003</t>
        </is>
      </c>
      <c r="D326" s="8" t="inlineStr">
        <is>
          <t>Boiler House</t>
        </is>
      </c>
      <c r="E326" s="8" t="inlineStr">
        <is>
          <t>Steam Boiler 1</t>
        </is>
      </c>
      <c r="F326" s="8" t="inlineStr">
        <is>
          <t>2024-11-18 08:00</t>
        </is>
      </c>
      <c r="G326" s="12" t="n">
        <v>61652.59</v>
      </c>
      <c r="H326" s="8" t="inlineStr">
        <is>
          <t>m3</t>
        </is>
      </c>
      <c r="I326" s="8" t="inlineStr">
        <is>
          <t>cumulative</t>
        </is>
      </c>
      <c r="J326" s="8" t="inlineStr">
        <is>
          <t>KL</t>
        </is>
      </c>
      <c r="K326" s="8" t="inlineStr"/>
      <c r="L326" s="10">
        <f>IFERROR(IF(F326&lt;F325,"NEGATIVE",ROUND(F326-F325,2)),"")</f>
        <v/>
      </c>
    </row>
    <row r="327" ht="22" customHeight="1">
      <c r="B327" s="5" t="inlineStr">
        <is>
          <t>R00323</t>
        </is>
      </c>
      <c r="C327" s="5" t="inlineStr">
        <is>
          <t>MTR-BLR-003</t>
        </is>
      </c>
      <c r="D327" s="5" t="inlineStr">
        <is>
          <t>Boiler House</t>
        </is>
      </c>
      <c r="E327" s="5" t="inlineStr">
        <is>
          <t>Steam Boiler 1</t>
        </is>
      </c>
      <c r="F327" s="5" t="inlineStr">
        <is>
          <t>2024-11-19 08:00</t>
        </is>
      </c>
      <c r="G327" s="11" t="n">
        <v>61673.71</v>
      </c>
      <c r="H327" s="5" t="inlineStr">
        <is>
          <t>m3</t>
        </is>
      </c>
      <c r="I327" s="5" t="inlineStr">
        <is>
          <t>cumulative</t>
        </is>
      </c>
      <c r="J327" s="5" t="inlineStr">
        <is>
          <t>KL</t>
        </is>
      </c>
      <c r="K327" s="5" t="inlineStr"/>
      <c r="L327" s="7">
        <f>IFERROR(IF(F327&lt;F326,"NEGATIVE",ROUND(F327-F326,2)),"")</f>
        <v/>
      </c>
    </row>
    <row r="328" ht="22" customHeight="1">
      <c r="B328" s="8" t="inlineStr">
        <is>
          <t>R00324</t>
        </is>
      </c>
      <c r="C328" s="8" t="inlineStr">
        <is>
          <t>MTR-BLR-003</t>
        </is>
      </c>
      <c r="D328" s="8" t="inlineStr">
        <is>
          <t>Boiler House</t>
        </is>
      </c>
      <c r="E328" s="8" t="inlineStr">
        <is>
          <t>Steam Boiler 1</t>
        </is>
      </c>
      <c r="F328" s="8" t="inlineStr">
        <is>
          <t>2024-11-20 08:00</t>
        </is>
      </c>
      <c r="G328" s="12" t="n">
        <v>61695.64</v>
      </c>
      <c r="H328" s="8" t="inlineStr">
        <is>
          <t>m3</t>
        </is>
      </c>
      <c r="I328" s="8" t="inlineStr">
        <is>
          <t>cumulative</t>
        </is>
      </c>
      <c r="J328" s="8" t="inlineStr">
        <is>
          <t>EF</t>
        </is>
      </c>
      <c r="K328" s="8" t="inlineStr"/>
      <c r="L328" s="10">
        <f>IFERROR(IF(F328&lt;F327,"NEGATIVE",ROUND(F328-F327,2)),"")</f>
        <v/>
      </c>
    </row>
    <row r="329" ht="22" customHeight="1">
      <c r="B329" s="5" t="inlineStr">
        <is>
          <t>R00325</t>
        </is>
      </c>
      <c r="C329" s="5" t="inlineStr">
        <is>
          <t>MTR-BLR-003</t>
        </is>
      </c>
      <c r="D329" s="5" t="inlineStr">
        <is>
          <t>Boiler House</t>
        </is>
      </c>
      <c r="E329" s="5" t="inlineStr">
        <is>
          <t>Steam Boiler 1</t>
        </is>
      </c>
      <c r="F329" s="5" t="inlineStr">
        <is>
          <t>2024-11-21 08:00</t>
        </is>
      </c>
      <c r="G329" s="11" t="n">
        <v>61717.94</v>
      </c>
      <c r="H329" s="5" t="inlineStr">
        <is>
          <t>m3</t>
        </is>
      </c>
      <c r="I329" s="5" t="inlineStr">
        <is>
          <t>cumulative</t>
        </is>
      </c>
      <c r="J329" s="5" t="inlineStr">
        <is>
          <t>CD</t>
        </is>
      </c>
      <c r="K329" s="5" t="inlineStr"/>
      <c r="L329" s="7">
        <f>IFERROR(IF(F329&lt;F328,"NEGATIVE",ROUND(F329-F328,2)),"")</f>
        <v/>
      </c>
    </row>
    <row r="330" ht="22" customHeight="1">
      <c r="B330" s="8" t="inlineStr">
        <is>
          <t>R00326</t>
        </is>
      </c>
      <c r="C330" s="8" t="inlineStr">
        <is>
          <t>MTR-BLR-003</t>
        </is>
      </c>
      <c r="D330" s="8" t="inlineStr">
        <is>
          <t>Boiler House</t>
        </is>
      </c>
      <c r="E330" s="8" t="inlineStr">
        <is>
          <t>Steam Boiler 1</t>
        </is>
      </c>
      <c r="F330" s="8" t="inlineStr">
        <is>
          <t>2024-11-22 08:00</t>
        </is>
      </c>
      <c r="G330" s="12" t="n">
        <v>61738.9</v>
      </c>
      <c r="H330" s="8" t="inlineStr">
        <is>
          <t>m3</t>
        </is>
      </c>
      <c r="I330" s="8" t="inlineStr">
        <is>
          <t>cumulative</t>
        </is>
      </c>
      <c r="J330" s="8" t="inlineStr">
        <is>
          <t>CD</t>
        </is>
      </c>
      <c r="K330" s="8" t="inlineStr"/>
      <c r="L330" s="10">
        <f>IFERROR(IF(F330&lt;F329,"NEGATIVE",ROUND(F330-F329,2)),"")</f>
        <v/>
      </c>
    </row>
    <row r="331" ht="22" customHeight="1">
      <c r="B331" s="5" t="inlineStr">
        <is>
          <t>R00327</t>
        </is>
      </c>
      <c r="C331" s="5" t="inlineStr">
        <is>
          <t>MTR-BLR-003</t>
        </is>
      </c>
      <c r="D331" s="5" t="inlineStr">
        <is>
          <t>Boiler House</t>
        </is>
      </c>
      <c r="E331" s="5" t="inlineStr">
        <is>
          <t>Steam Boiler 1</t>
        </is>
      </c>
      <c r="F331" s="5" t="inlineStr">
        <is>
          <t>2024-11-23 08:00</t>
        </is>
      </c>
      <c r="G331" s="11" t="n">
        <v>61754.97</v>
      </c>
      <c r="H331" s="5" t="inlineStr">
        <is>
          <t>m3</t>
        </is>
      </c>
      <c r="I331" s="5" t="inlineStr">
        <is>
          <t>cumulative</t>
        </is>
      </c>
      <c r="J331" s="5" t="inlineStr">
        <is>
          <t>KL</t>
        </is>
      </c>
      <c r="K331" s="5" t="inlineStr"/>
      <c r="L331" s="7">
        <f>IFERROR(IF(F331&lt;F330,"NEGATIVE",ROUND(F331-F330,2)),"")</f>
        <v/>
      </c>
    </row>
    <row r="332" ht="22" customHeight="1">
      <c r="B332" s="8" t="inlineStr">
        <is>
          <t>R00328</t>
        </is>
      </c>
      <c r="C332" s="8" t="inlineStr">
        <is>
          <t>MTR-BLR-003</t>
        </is>
      </c>
      <c r="D332" s="8" t="inlineStr">
        <is>
          <t>Boiler House</t>
        </is>
      </c>
      <c r="E332" s="8" t="inlineStr">
        <is>
          <t>Steam Boiler 1</t>
        </is>
      </c>
      <c r="F332" s="8" t="inlineStr">
        <is>
          <t>2024-11-24 08:00</t>
        </is>
      </c>
      <c r="G332" s="12" t="n">
        <v>61764.32</v>
      </c>
      <c r="H332" s="8" t="inlineStr">
        <is>
          <t>m3</t>
        </is>
      </c>
      <c r="I332" s="8" t="inlineStr">
        <is>
          <t>cumulative</t>
        </is>
      </c>
      <c r="J332" s="8" t="inlineStr">
        <is>
          <t>CD</t>
        </is>
      </c>
      <c r="K332" s="8" t="inlineStr"/>
      <c r="L332" s="10">
        <f>IFERROR(IF(F332&lt;F331,"NEGATIVE",ROUND(F332-F331,2)),"")</f>
        <v/>
      </c>
    </row>
    <row r="333" ht="22" customHeight="1">
      <c r="B333" s="5" t="inlineStr">
        <is>
          <t>R00329</t>
        </is>
      </c>
      <c r="C333" s="5" t="inlineStr">
        <is>
          <t>MTR-BLR-003</t>
        </is>
      </c>
      <c r="D333" s="5" t="inlineStr">
        <is>
          <t>Boiler House</t>
        </is>
      </c>
      <c r="E333" s="5" t="inlineStr">
        <is>
          <t>Steam Boiler 1</t>
        </is>
      </c>
      <c r="F333" s="5" t="inlineStr">
        <is>
          <t>2024-11-25 08:00</t>
        </is>
      </c>
      <c r="G333" s="11" t="n">
        <v>61787.28</v>
      </c>
      <c r="H333" s="5" t="inlineStr">
        <is>
          <t>m3</t>
        </is>
      </c>
      <c r="I333" s="5" t="inlineStr">
        <is>
          <t>cumulative</t>
        </is>
      </c>
      <c r="J333" s="5" t="inlineStr">
        <is>
          <t>EF</t>
        </is>
      </c>
      <c r="K333" s="5" t="inlineStr"/>
      <c r="L333" s="7">
        <f>IFERROR(IF(F333&lt;F332,"NEGATIVE",ROUND(F333-F332,2)),"")</f>
        <v/>
      </c>
    </row>
    <row r="334" ht="22" customHeight="1">
      <c r="B334" s="8" t="inlineStr">
        <is>
          <t>R00330</t>
        </is>
      </c>
      <c r="C334" s="8" t="inlineStr">
        <is>
          <t>MTR-BLR-003</t>
        </is>
      </c>
      <c r="D334" s="8" t="inlineStr">
        <is>
          <t>Boiler House</t>
        </is>
      </c>
      <c r="E334" s="8" t="inlineStr">
        <is>
          <t>Steam Boiler 1</t>
        </is>
      </c>
      <c r="F334" s="8" t="inlineStr">
        <is>
          <t>2024-11-26 08:00</t>
        </is>
      </c>
      <c r="G334" s="12" t="n">
        <v>61805.09</v>
      </c>
      <c r="H334" s="8" t="inlineStr">
        <is>
          <t>m3</t>
        </is>
      </c>
      <c r="I334" s="8" t="inlineStr">
        <is>
          <t>cumulative</t>
        </is>
      </c>
      <c r="J334" s="8" t="inlineStr">
        <is>
          <t>GH</t>
        </is>
      </c>
      <c r="K334" s="8" t="inlineStr"/>
      <c r="L334" s="10">
        <f>IFERROR(IF(F334&lt;F333,"NEGATIVE",ROUND(F334-F333,2)),"")</f>
        <v/>
      </c>
    </row>
    <row r="335" ht="22" customHeight="1">
      <c r="B335" s="5" t="inlineStr">
        <is>
          <t>R00331</t>
        </is>
      </c>
      <c r="C335" s="5" t="inlineStr">
        <is>
          <t>MTR-BLR-003</t>
        </is>
      </c>
      <c r="D335" s="5" t="inlineStr">
        <is>
          <t>Boiler House</t>
        </is>
      </c>
      <c r="E335" s="5" t="inlineStr">
        <is>
          <t>Steam Boiler 1</t>
        </is>
      </c>
      <c r="F335" s="5" t="inlineStr">
        <is>
          <t>2024-11-27 08:00</t>
        </is>
      </c>
      <c r="G335" s="11" t="n">
        <v>61827.48</v>
      </c>
      <c r="H335" s="5" t="inlineStr">
        <is>
          <t>m3</t>
        </is>
      </c>
      <c r="I335" s="5" t="inlineStr">
        <is>
          <t>cumulative</t>
        </is>
      </c>
      <c r="J335" s="5" t="inlineStr">
        <is>
          <t>IJ</t>
        </is>
      </c>
      <c r="K335" s="5" t="inlineStr"/>
      <c r="L335" s="7">
        <f>IFERROR(IF(F335&lt;F334,"NEGATIVE",ROUND(F335-F334,2)),"")</f>
        <v/>
      </c>
    </row>
    <row r="336" ht="22" customHeight="1">
      <c r="B336" s="8" t="inlineStr">
        <is>
          <t>R00332</t>
        </is>
      </c>
      <c r="C336" s="8" t="inlineStr">
        <is>
          <t>MTR-BLR-003</t>
        </is>
      </c>
      <c r="D336" s="8" t="inlineStr">
        <is>
          <t>Boiler House</t>
        </is>
      </c>
      <c r="E336" s="8" t="inlineStr">
        <is>
          <t>Steam Boiler 1</t>
        </is>
      </c>
      <c r="F336" s="8" t="inlineStr">
        <is>
          <t>2024-11-28 08:00</t>
        </is>
      </c>
      <c r="G336" s="12" t="n">
        <v>61847.53</v>
      </c>
      <c r="H336" s="8" t="inlineStr">
        <is>
          <t>m3</t>
        </is>
      </c>
      <c r="I336" s="8" t="inlineStr">
        <is>
          <t>cumulative</t>
        </is>
      </c>
      <c r="J336" s="8" t="inlineStr">
        <is>
          <t>EF</t>
        </is>
      </c>
      <c r="K336" s="8" t="inlineStr"/>
      <c r="L336" s="10">
        <f>IFERROR(IF(F336&lt;F335,"NEGATIVE",ROUND(F336-F335,2)),"")</f>
        <v/>
      </c>
    </row>
    <row r="337" ht="22" customHeight="1">
      <c r="B337" s="5" t="inlineStr">
        <is>
          <t>R00333</t>
        </is>
      </c>
      <c r="C337" s="5" t="inlineStr">
        <is>
          <t>MTR-BLR-003</t>
        </is>
      </c>
      <c r="D337" s="5" t="inlineStr">
        <is>
          <t>Boiler House</t>
        </is>
      </c>
      <c r="E337" s="5" t="inlineStr">
        <is>
          <t>Steam Boiler 1</t>
        </is>
      </c>
      <c r="F337" s="5" t="inlineStr">
        <is>
          <t>2024-11-29 08:00</t>
        </is>
      </c>
      <c r="G337" s="11" t="n">
        <v>61870.54</v>
      </c>
      <c r="H337" s="5" t="inlineStr">
        <is>
          <t>m3</t>
        </is>
      </c>
      <c r="I337" s="5" t="inlineStr">
        <is>
          <t>cumulative</t>
        </is>
      </c>
      <c r="J337" s="5" t="inlineStr">
        <is>
          <t>EF</t>
        </is>
      </c>
      <c r="K337" s="5" t="inlineStr"/>
      <c r="L337" s="7">
        <f>IFERROR(IF(F337&lt;F336,"NEGATIVE",ROUND(F337-F336,2)),"")</f>
        <v/>
      </c>
    </row>
    <row r="338" ht="22" customHeight="1">
      <c r="B338" s="8" t="inlineStr">
        <is>
          <t>R00334</t>
        </is>
      </c>
      <c r="C338" s="8" t="inlineStr">
        <is>
          <t>MTR-BLR-003</t>
        </is>
      </c>
      <c r="D338" s="8" t="inlineStr">
        <is>
          <t>Boiler House</t>
        </is>
      </c>
      <c r="E338" s="8" t="inlineStr">
        <is>
          <t>Steam Boiler 1</t>
        </is>
      </c>
      <c r="F338" s="8" t="inlineStr">
        <is>
          <t>2024-11-30 08:00</t>
        </is>
      </c>
      <c r="G338" s="12" t="n">
        <v>61885.35</v>
      </c>
      <c r="H338" s="8" t="inlineStr">
        <is>
          <t>m3</t>
        </is>
      </c>
      <c r="I338" s="8" t="inlineStr">
        <is>
          <t>cumulative</t>
        </is>
      </c>
      <c r="J338" s="8" t="inlineStr">
        <is>
          <t>AB</t>
        </is>
      </c>
      <c r="K338" s="8" t="inlineStr"/>
      <c r="L338" s="10">
        <f>IFERROR(IF(F338&lt;F337,"NEGATIVE",ROUND(F338-F337,2)),"")</f>
        <v/>
      </c>
    </row>
    <row r="339" ht="22" customHeight="1">
      <c r="B339" s="5" t="inlineStr">
        <is>
          <t>R00335</t>
        </is>
      </c>
      <c r="C339" s="5" t="inlineStr">
        <is>
          <t>MTR-BLR-003</t>
        </is>
      </c>
      <c r="D339" s="5" t="inlineStr">
        <is>
          <t>Boiler House</t>
        </is>
      </c>
      <c r="E339" s="5" t="inlineStr">
        <is>
          <t>Steam Boiler 1</t>
        </is>
      </c>
      <c r="F339" s="5" t="inlineStr">
        <is>
          <t>2024-12-01 08:00</t>
        </is>
      </c>
      <c r="G339" s="11" t="n">
        <v>61895.92</v>
      </c>
      <c r="H339" s="5" t="inlineStr">
        <is>
          <t>m3</t>
        </is>
      </c>
      <c r="I339" s="5" t="inlineStr">
        <is>
          <t>cumulative</t>
        </is>
      </c>
      <c r="J339" s="5" t="inlineStr">
        <is>
          <t>IJ</t>
        </is>
      </c>
      <c r="K339" s="5" t="inlineStr"/>
      <c r="L339" s="7">
        <f>IFERROR(IF(F339&lt;F338,"NEGATIVE",ROUND(F339-F338,2)),"")</f>
        <v/>
      </c>
    </row>
    <row r="340" ht="22" customHeight="1">
      <c r="B340" s="8" t="inlineStr">
        <is>
          <t>R00336</t>
        </is>
      </c>
      <c r="C340" s="8" t="inlineStr">
        <is>
          <t>MTR-BLR-003</t>
        </is>
      </c>
      <c r="D340" s="8" t="inlineStr">
        <is>
          <t>Boiler House</t>
        </is>
      </c>
      <c r="E340" s="8" t="inlineStr">
        <is>
          <t>Steam Boiler 1</t>
        </is>
      </c>
      <c r="F340" s="8" t="inlineStr">
        <is>
          <t>2024-12-02 08:00</t>
        </is>
      </c>
      <c r="G340" s="12" t="n">
        <v>61915.24</v>
      </c>
      <c r="H340" s="8" t="inlineStr">
        <is>
          <t>m3</t>
        </is>
      </c>
      <c r="I340" s="8" t="inlineStr">
        <is>
          <t>cumulative</t>
        </is>
      </c>
      <c r="J340" s="8" t="inlineStr">
        <is>
          <t>CD</t>
        </is>
      </c>
      <c r="K340" s="8" t="inlineStr"/>
      <c r="L340" s="10">
        <f>IFERROR(IF(F340&lt;F339,"NEGATIVE",ROUND(F340-F339,2)),"")</f>
        <v/>
      </c>
    </row>
    <row r="341" ht="22" customHeight="1">
      <c r="B341" s="5" t="inlineStr">
        <is>
          <t>R00337</t>
        </is>
      </c>
      <c r="C341" s="5" t="inlineStr">
        <is>
          <t>MTR-BLR-003</t>
        </is>
      </c>
      <c r="D341" s="5" t="inlineStr">
        <is>
          <t>Boiler House</t>
        </is>
      </c>
      <c r="E341" s="5" t="inlineStr">
        <is>
          <t>Steam Boiler 1</t>
        </is>
      </c>
      <c r="F341" s="5" t="inlineStr">
        <is>
          <t>2024-12-03 08:00</t>
        </is>
      </c>
      <c r="G341" s="11" t="n">
        <v>61932.59</v>
      </c>
      <c r="H341" s="5" t="inlineStr">
        <is>
          <t>m3</t>
        </is>
      </c>
      <c r="I341" s="5" t="inlineStr">
        <is>
          <t>cumulative</t>
        </is>
      </c>
      <c r="J341" s="5" t="inlineStr">
        <is>
          <t>AB</t>
        </is>
      </c>
      <c r="K341" s="5" t="inlineStr"/>
      <c r="L341" s="7">
        <f>IFERROR(IF(F341&lt;F340,"NEGATIVE",ROUND(F341-F340,2)),"")</f>
        <v/>
      </c>
    </row>
    <row r="342" ht="22" customHeight="1">
      <c r="B342" s="8" t="inlineStr">
        <is>
          <t>R00338</t>
        </is>
      </c>
      <c r="C342" s="8" t="inlineStr">
        <is>
          <t>MTR-BLR-003</t>
        </is>
      </c>
      <c r="D342" s="8" t="inlineStr">
        <is>
          <t>Boiler House</t>
        </is>
      </c>
      <c r="E342" s="8" t="inlineStr">
        <is>
          <t>Steam Boiler 1</t>
        </is>
      </c>
      <c r="F342" s="8" t="inlineStr">
        <is>
          <t>2024-12-04 08:00</t>
        </is>
      </c>
      <c r="G342" s="12" t="n">
        <v>61954.82</v>
      </c>
      <c r="H342" s="8" t="inlineStr">
        <is>
          <t>m3</t>
        </is>
      </c>
      <c r="I342" s="8" t="inlineStr">
        <is>
          <t>cumulative</t>
        </is>
      </c>
      <c r="J342" s="8" t="inlineStr">
        <is>
          <t>EF</t>
        </is>
      </c>
      <c r="K342" s="8" t="inlineStr"/>
      <c r="L342" s="10">
        <f>IFERROR(IF(F342&lt;F341,"NEGATIVE",ROUND(F342-F341,2)),"")</f>
        <v/>
      </c>
    </row>
    <row r="343" ht="22" customHeight="1">
      <c r="B343" s="5" t="inlineStr">
        <is>
          <t>R00339</t>
        </is>
      </c>
      <c r="C343" s="5" t="inlineStr">
        <is>
          <t>MTR-BLR-003</t>
        </is>
      </c>
      <c r="D343" s="5" t="inlineStr">
        <is>
          <t>Boiler House</t>
        </is>
      </c>
      <c r="E343" s="5" t="inlineStr">
        <is>
          <t>Steam Boiler 1</t>
        </is>
      </c>
      <c r="F343" s="5" t="inlineStr">
        <is>
          <t>2024-12-05 08:00</t>
        </is>
      </c>
      <c r="G343" s="11" t="n">
        <v>61971.44</v>
      </c>
      <c r="H343" s="5" t="inlineStr">
        <is>
          <t>m3</t>
        </is>
      </c>
      <c r="I343" s="5" t="inlineStr">
        <is>
          <t>cumulative</t>
        </is>
      </c>
      <c r="J343" s="5" t="inlineStr">
        <is>
          <t>AB</t>
        </is>
      </c>
      <c r="K343" s="5" t="inlineStr"/>
      <c r="L343" s="7">
        <f>IFERROR(IF(F343&lt;F342,"NEGATIVE",ROUND(F343-F342,2)),"")</f>
        <v/>
      </c>
    </row>
    <row r="344" ht="22" customHeight="1">
      <c r="B344" s="8" t="inlineStr">
        <is>
          <t>R00340</t>
        </is>
      </c>
      <c r="C344" s="8" t="inlineStr">
        <is>
          <t>MTR-BLR-003</t>
        </is>
      </c>
      <c r="D344" s="8" t="inlineStr">
        <is>
          <t>Boiler House</t>
        </is>
      </c>
      <c r="E344" s="8" t="inlineStr">
        <is>
          <t>Steam Boiler 1</t>
        </is>
      </c>
      <c r="F344" s="8" t="inlineStr">
        <is>
          <t>2024-12-06 08:00</t>
        </is>
      </c>
      <c r="G344" s="12" t="n">
        <v>61991.75</v>
      </c>
      <c r="H344" s="8" t="inlineStr">
        <is>
          <t>m3</t>
        </is>
      </c>
      <c r="I344" s="8" t="inlineStr">
        <is>
          <t>cumulative</t>
        </is>
      </c>
      <c r="J344" s="8" t="inlineStr">
        <is>
          <t>GH</t>
        </is>
      </c>
      <c r="K344" s="8" t="inlineStr"/>
      <c r="L344" s="10">
        <f>IFERROR(IF(F344&lt;F343,"NEGATIVE",ROUND(F344-F343,2)),"")</f>
        <v/>
      </c>
    </row>
    <row r="345" ht="22" customHeight="1">
      <c r="B345" s="5" t="inlineStr">
        <is>
          <t>R00341</t>
        </is>
      </c>
      <c r="C345" s="5" t="inlineStr">
        <is>
          <t>MTR-BLR-003</t>
        </is>
      </c>
      <c r="D345" s="5" t="inlineStr">
        <is>
          <t>Boiler House</t>
        </is>
      </c>
      <c r="E345" s="5" t="inlineStr">
        <is>
          <t>Steam Boiler 1</t>
        </is>
      </c>
      <c r="F345" s="5" t="inlineStr">
        <is>
          <t>2024-12-07 08:00</t>
        </is>
      </c>
      <c r="G345" s="11" t="n">
        <v>62006.62</v>
      </c>
      <c r="H345" s="5" t="inlineStr">
        <is>
          <t>m3</t>
        </is>
      </c>
      <c r="I345" s="5" t="inlineStr">
        <is>
          <t>cumulative</t>
        </is>
      </c>
      <c r="J345" s="5" t="inlineStr">
        <is>
          <t>KL</t>
        </is>
      </c>
      <c r="K345" s="5" t="inlineStr"/>
      <c r="L345" s="7">
        <f>IFERROR(IF(F345&lt;F344,"NEGATIVE",ROUND(F345-F344,2)),"")</f>
        <v/>
      </c>
    </row>
    <row r="346" ht="22" customHeight="1">
      <c r="B346" s="8" t="inlineStr">
        <is>
          <t>R00342</t>
        </is>
      </c>
      <c r="C346" s="8" t="inlineStr">
        <is>
          <t>MTR-BLR-003</t>
        </is>
      </c>
      <c r="D346" s="8" t="inlineStr">
        <is>
          <t>Boiler House</t>
        </is>
      </c>
      <c r="E346" s="8" t="inlineStr">
        <is>
          <t>Steam Boiler 1</t>
        </is>
      </c>
      <c r="F346" s="8" t="inlineStr">
        <is>
          <t>2024-12-08 08:00</t>
        </is>
      </c>
      <c r="G346" s="12" t="n">
        <v>62017.97</v>
      </c>
      <c r="H346" s="8" t="inlineStr">
        <is>
          <t>m3</t>
        </is>
      </c>
      <c r="I346" s="8" t="inlineStr">
        <is>
          <t>cumulative</t>
        </is>
      </c>
      <c r="J346" s="8" t="inlineStr">
        <is>
          <t>AB</t>
        </is>
      </c>
      <c r="K346" s="8" t="inlineStr"/>
      <c r="L346" s="10">
        <f>IFERROR(IF(F346&lt;F345,"NEGATIVE",ROUND(F346-F345,2)),"")</f>
        <v/>
      </c>
    </row>
    <row r="347" ht="22" customHeight="1">
      <c r="B347" s="5" t="inlineStr">
        <is>
          <t>R00343</t>
        </is>
      </c>
      <c r="C347" s="5" t="inlineStr">
        <is>
          <t>MTR-BLR-003</t>
        </is>
      </c>
      <c r="D347" s="5" t="inlineStr">
        <is>
          <t>Boiler House</t>
        </is>
      </c>
      <c r="E347" s="5" t="inlineStr">
        <is>
          <t>Steam Boiler 1</t>
        </is>
      </c>
      <c r="F347" s="5" t="inlineStr">
        <is>
          <t>2024-12-09 08:00</t>
        </is>
      </c>
      <c r="G347" s="11" t="n">
        <v>62039.19</v>
      </c>
      <c r="H347" s="5" t="inlineStr">
        <is>
          <t>m3</t>
        </is>
      </c>
      <c r="I347" s="5" t="inlineStr">
        <is>
          <t>cumulative</t>
        </is>
      </c>
      <c r="J347" s="5" t="inlineStr">
        <is>
          <t>KL</t>
        </is>
      </c>
      <c r="K347" s="5" t="inlineStr"/>
      <c r="L347" s="7">
        <f>IFERROR(IF(F347&lt;F346,"NEGATIVE",ROUND(F347-F346,2)),"")</f>
        <v/>
      </c>
    </row>
    <row r="348" ht="22" customHeight="1">
      <c r="B348" s="8" t="inlineStr">
        <is>
          <t>R00344</t>
        </is>
      </c>
      <c r="C348" s="8" t="inlineStr">
        <is>
          <t>MTR-BLR-003</t>
        </is>
      </c>
      <c r="D348" s="8" t="inlineStr">
        <is>
          <t>Boiler House</t>
        </is>
      </c>
      <c r="E348" s="8" t="inlineStr">
        <is>
          <t>Steam Boiler 1</t>
        </is>
      </c>
      <c r="F348" s="8" t="inlineStr">
        <is>
          <t>2024-12-10 08:00</t>
        </is>
      </c>
      <c r="G348" s="12" t="n">
        <v>62059.7</v>
      </c>
      <c r="H348" s="8" t="inlineStr">
        <is>
          <t>m3</t>
        </is>
      </c>
      <c r="I348" s="8" t="inlineStr">
        <is>
          <t>cumulative</t>
        </is>
      </c>
      <c r="J348" s="8" t="inlineStr">
        <is>
          <t>CD</t>
        </is>
      </c>
      <c r="K348" s="8" t="inlineStr"/>
      <c r="L348" s="10">
        <f>IFERROR(IF(F348&lt;F347,"NEGATIVE",ROUND(F348-F347,2)),"")</f>
        <v/>
      </c>
    </row>
    <row r="349" ht="22" customHeight="1">
      <c r="B349" s="5" t="inlineStr">
        <is>
          <t>R00345</t>
        </is>
      </c>
      <c r="C349" s="5" t="inlineStr">
        <is>
          <t>MTR-BLR-003</t>
        </is>
      </c>
      <c r="D349" s="5" t="inlineStr">
        <is>
          <t>Boiler House</t>
        </is>
      </c>
      <c r="E349" s="5" t="inlineStr">
        <is>
          <t>Steam Boiler 1</t>
        </is>
      </c>
      <c r="F349" s="5" t="inlineStr">
        <is>
          <t>2024-12-11 08:00</t>
        </is>
      </c>
      <c r="G349" s="11" t="n">
        <v>62076.91</v>
      </c>
      <c r="H349" s="5" t="inlineStr">
        <is>
          <t>m3</t>
        </is>
      </c>
      <c r="I349" s="5" t="inlineStr">
        <is>
          <t>cumulative</t>
        </is>
      </c>
      <c r="J349" s="5" t="inlineStr">
        <is>
          <t>GH</t>
        </is>
      </c>
      <c r="K349" s="5" t="inlineStr"/>
      <c r="L349" s="7">
        <f>IFERROR(IF(F349&lt;F348,"NEGATIVE",ROUND(F349-F348,2)),"")</f>
        <v/>
      </c>
    </row>
    <row r="350" ht="22" customHeight="1">
      <c r="B350" s="8" t="inlineStr">
        <is>
          <t>R00346</t>
        </is>
      </c>
      <c r="C350" s="8" t="inlineStr">
        <is>
          <t>MTR-BLR-003</t>
        </is>
      </c>
      <c r="D350" s="8" t="inlineStr">
        <is>
          <t>Boiler House</t>
        </is>
      </c>
      <c r="E350" s="8" t="inlineStr">
        <is>
          <t>Steam Boiler 1</t>
        </is>
      </c>
      <c r="F350" s="8" t="inlineStr">
        <is>
          <t>2024-12-12 08:00</t>
        </is>
      </c>
      <c r="G350" s="12" t="n">
        <v>62094.77</v>
      </c>
      <c r="H350" s="8" t="inlineStr">
        <is>
          <t>m3</t>
        </is>
      </c>
      <c r="I350" s="8" t="inlineStr">
        <is>
          <t>cumulative</t>
        </is>
      </c>
      <c r="J350" s="8" t="inlineStr">
        <is>
          <t>KL</t>
        </is>
      </c>
      <c r="K350" s="8" t="inlineStr"/>
      <c r="L350" s="10">
        <f>IFERROR(IF(F350&lt;F349,"NEGATIVE",ROUND(F350-F349,2)),"")</f>
        <v/>
      </c>
    </row>
    <row r="351" ht="22" customHeight="1">
      <c r="B351" s="5" t="inlineStr">
        <is>
          <t>R00347</t>
        </is>
      </c>
      <c r="C351" s="5" t="inlineStr">
        <is>
          <t>MTR-BLR-003</t>
        </is>
      </c>
      <c r="D351" s="5" t="inlineStr">
        <is>
          <t>Boiler House</t>
        </is>
      </c>
      <c r="E351" s="5" t="inlineStr">
        <is>
          <t>Steam Boiler 1</t>
        </is>
      </c>
      <c r="F351" s="5" t="inlineStr">
        <is>
          <t>2024-12-13 08:00</t>
        </is>
      </c>
      <c r="G351" s="11" t="n">
        <v>62115.27</v>
      </c>
      <c r="H351" s="5" t="inlineStr">
        <is>
          <t>m3</t>
        </is>
      </c>
      <c r="I351" s="5" t="inlineStr">
        <is>
          <t>cumulative</t>
        </is>
      </c>
      <c r="J351" s="5" t="inlineStr">
        <is>
          <t>GH</t>
        </is>
      </c>
      <c r="K351" s="5" t="inlineStr"/>
      <c r="L351" s="7">
        <f>IFERROR(IF(F351&lt;F350,"NEGATIVE",ROUND(F351-F350,2)),"")</f>
        <v/>
      </c>
    </row>
    <row r="352" ht="22" customHeight="1">
      <c r="B352" s="8" t="inlineStr">
        <is>
          <t>R00348</t>
        </is>
      </c>
      <c r="C352" s="8" t="inlineStr">
        <is>
          <t>MTR-BLR-003</t>
        </is>
      </c>
      <c r="D352" s="8" t="inlineStr">
        <is>
          <t>Boiler House</t>
        </is>
      </c>
      <c r="E352" s="8" t="inlineStr">
        <is>
          <t>Steam Boiler 1</t>
        </is>
      </c>
      <c r="F352" s="8" t="inlineStr">
        <is>
          <t>2024-12-14 08:00</t>
        </is>
      </c>
      <c r="G352" s="12" t="n">
        <v>62132.78</v>
      </c>
      <c r="H352" s="8" t="inlineStr">
        <is>
          <t>m3</t>
        </is>
      </c>
      <c r="I352" s="8" t="inlineStr">
        <is>
          <t>cumulative</t>
        </is>
      </c>
      <c r="J352" s="8" t="inlineStr">
        <is>
          <t>AB</t>
        </is>
      </c>
      <c r="K352" s="8" t="inlineStr"/>
      <c r="L352" s="10">
        <f>IFERROR(IF(F352&lt;F351,"NEGATIVE",ROUND(F352-F351,2)),"")</f>
        <v/>
      </c>
    </row>
    <row r="353" ht="22" customHeight="1">
      <c r="B353" s="5" t="inlineStr">
        <is>
          <t>R00349</t>
        </is>
      </c>
      <c r="C353" s="5" t="inlineStr">
        <is>
          <t>MTR-BLR-003</t>
        </is>
      </c>
      <c r="D353" s="5" t="inlineStr">
        <is>
          <t>Boiler House</t>
        </is>
      </c>
      <c r="E353" s="5" t="inlineStr">
        <is>
          <t>Steam Boiler 1</t>
        </is>
      </c>
      <c r="F353" s="5" t="inlineStr">
        <is>
          <t>2024-12-15 08:00</t>
        </is>
      </c>
      <c r="G353" s="11" t="n">
        <v>62141.69</v>
      </c>
      <c r="H353" s="5" t="inlineStr">
        <is>
          <t>m3</t>
        </is>
      </c>
      <c r="I353" s="5" t="inlineStr">
        <is>
          <t>cumulative</t>
        </is>
      </c>
      <c r="J353" s="5" t="inlineStr">
        <is>
          <t>GH</t>
        </is>
      </c>
      <c r="K353" s="5" t="inlineStr"/>
      <c r="L353" s="7">
        <f>IFERROR(IF(F353&lt;F352,"NEGATIVE",ROUND(F353-F352,2)),"")</f>
        <v/>
      </c>
    </row>
    <row r="354" ht="22" customHeight="1">
      <c r="B354" s="8" t="inlineStr">
        <is>
          <t>R00350</t>
        </is>
      </c>
      <c r="C354" s="8" t="inlineStr">
        <is>
          <t>MTR-BLR-003</t>
        </is>
      </c>
      <c r="D354" s="8" t="inlineStr">
        <is>
          <t>Boiler House</t>
        </is>
      </c>
      <c r="E354" s="8" t="inlineStr">
        <is>
          <t>Steam Boiler 1</t>
        </is>
      </c>
      <c r="F354" s="8" t="inlineStr">
        <is>
          <t>2024-12-16 08:00</t>
        </is>
      </c>
      <c r="G354" s="12" t="n">
        <v>62160.59</v>
      </c>
      <c r="H354" s="8" t="inlineStr">
        <is>
          <t>m3</t>
        </is>
      </c>
      <c r="I354" s="8" t="inlineStr">
        <is>
          <t>cumulative</t>
        </is>
      </c>
      <c r="J354" s="8" t="inlineStr">
        <is>
          <t>AB</t>
        </is>
      </c>
      <c r="K354" s="8" t="inlineStr"/>
      <c r="L354" s="10">
        <f>IFERROR(IF(F354&lt;F353,"NEGATIVE",ROUND(F354-F353,2)),"")</f>
        <v/>
      </c>
    </row>
    <row r="355" ht="22" customHeight="1">
      <c r="B355" s="5" t="inlineStr">
        <is>
          <t>R00351</t>
        </is>
      </c>
      <c r="C355" s="5" t="inlineStr">
        <is>
          <t>MTR-BLR-003</t>
        </is>
      </c>
      <c r="D355" s="5" t="inlineStr">
        <is>
          <t>Boiler House</t>
        </is>
      </c>
      <c r="E355" s="5" t="inlineStr">
        <is>
          <t>Steam Boiler 1</t>
        </is>
      </c>
      <c r="F355" s="5" t="inlineStr">
        <is>
          <t>2024-12-17 08:00</t>
        </is>
      </c>
      <c r="G355" s="11" t="n">
        <v>62181.06</v>
      </c>
      <c r="H355" s="5" t="inlineStr">
        <is>
          <t>m3</t>
        </is>
      </c>
      <c r="I355" s="5" t="inlineStr">
        <is>
          <t>cumulative</t>
        </is>
      </c>
      <c r="J355" s="5" t="inlineStr">
        <is>
          <t>EF</t>
        </is>
      </c>
      <c r="K355" s="5" t="inlineStr"/>
      <c r="L355" s="7">
        <f>IFERROR(IF(F355&lt;F354,"NEGATIVE",ROUND(F355-F354,2)),"")</f>
        <v/>
      </c>
    </row>
    <row r="356" ht="22" customHeight="1">
      <c r="B356" s="8" t="inlineStr">
        <is>
          <t>R00352</t>
        </is>
      </c>
      <c r="C356" s="8" t="inlineStr">
        <is>
          <t>MTR-BLR-003</t>
        </is>
      </c>
      <c r="D356" s="8" t="inlineStr">
        <is>
          <t>Boiler House</t>
        </is>
      </c>
      <c r="E356" s="8" t="inlineStr">
        <is>
          <t>Steam Boiler 1</t>
        </is>
      </c>
      <c r="F356" s="8" t="inlineStr">
        <is>
          <t>2024-12-18 08:00</t>
        </is>
      </c>
      <c r="G356" s="12" t="n">
        <v>62200.25</v>
      </c>
      <c r="H356" s="8" t="inlineStr">
        <is>
          <t>m3</t>
        </is>
      </c>
      <c r="I356" s="8" t="inlineStr">
        <is>
          <t>cumulative</t>
        </is>
      </c>
      <c r="J356" s="8" t="inlineStr">
        <is>
          <t>AB</t>
        </is>
      </c>
      <c r="K356" s="8" t="inlineStr"/>
      <c r="L356" s="10">
        <f>IFERROR(IF(F356&lt;F355,"NEGATIVE",ROUND(F356-F355,2)),"")</f>
        <v/>
      </c>
    </row>
    <row r="357" ht="22" customHeight="1">
      <c r="B357" s="5" t="inlineStr">
        <is>
          <t>R00353</t>
        </is>
      </c>
      <c r="C357" s="5" t="inlineStr">
        <is>
          <t>MTR-BLR-003</t>
        </is>
      </c>
      <c r="D357" s="5" t="inlineStr">
        <is>
          <t>Boiler House</t>
        </is>
      </c>
      <c r="E357" s="5" t="inlineStr">
        <is>
          <t>Steam Boiler 1</t>
        </is>
      </c>
      <c r="F357" s="5" t="inlineStr">
        <is>
          <t>2024-12-19 08:00</t>
        </is>
      </c>
      <c r="G357" s="11" t="n">
        <v>62222.03</v>
      </c>
      <c r="H357" s="5" t="inlineStr">
        <is>
          <t>m3</t>
        </is>
      </c>
      <c r="I357" s="5" t="inlineStr">
        <is>
          <t>cumulative</t>
        </is>
      </c>
      <c r="J357" s="5" t="inlineStr">
        <is>
          <t>GH</t>
        </is>
      </c>
      <c r="K357" s="5" t="inlineStr"/>
      <c r="L357" s="7">
        <f>IFERROR(IF(F357&lt;F356,"NEGATIVE",ROUND(F357-F356,2)),"")</f>
        <v/>
      </c>
    </row>
    <row r="358" ht="22" customHeight="1">
      <c r="B358" s="8" t="inlineStr">
        <is>
          <t>R00354</t>
        </is>
      </c>
      <c r="C358" s="8" t="inlineStr">
        <is>
          <t>MTR-BLR-003</t>
        </is>
      </c>
      <c r="D358" s="8" t="inlineStr">
        <is>
          <t>Boiler House</t>
        </is>
      </c>
      <c r="E358" s="8" t="inlineStr">
        <is>
          <t>Steam Boiler 1</t>
        </is>
      </c>
      <c r="F358" s="8" t="inlineStr">
        <is>
          <t>2024-12-20 08:00</t>
        </is>
      </c>
      <c r="G358" s="12" t="n">
        <v>62239.84</v>
      </c>
      <c r="H358" s="8" t="inlineStr">
        <is>
          <t>m3</t>
        </is>
      </c>
      <c r="I358" s="8" t="inlineStr">
        <is>
          <t>cumulative</t>
        </is>
      </c>
      <c r="J358" s="8" t="inlineStr">
        <is>
          <t>CD</t>
        </is>
      </c>
      <c r="K358" s="8" t="inlineStr"/>
      <c r="L358" s="10">
        <f>IFERROR(IF(F358&lt;F357,"NEGATIVE",ROUND(F358-F357,2)),"")</f>
        <v/>
      </c>
    </row>
    <row r="359" ht="22" customHeight="1">
      <c r="B359" s="5" t="inlineStr">
        <is>
          <t>R00355</t>
        </is>
      </c>
      <c r="C359" s="5" t="inlineStr">
        <is>
          <t>MTR-BLR-003</t>
        </is>
      </c>
      <c r="D359" s="5" t="inlineStr">
        <is>
          <t>Boiler House</t>
        </is>
      </c>
      <c r="E359" s="5" t="inlineStr">
        <is>
          <t>Steam Boiler 1</t>
        </is>
      </c>
      <c r="F359" s="5" t="inlineStr">
        <is>
          <t>2024-12-21 08:00</t>
        </is>
      </c>
      <c r="G359" s="11" t="n">
        <v>62257.76</v>
      </c>
      <c r="H359" s="5" t="inlineStr">
        <is>
          <t>m3</t>
        </is>
      </c>
      <c r="I359" s="5" t="inlineStr">
        <is>
          <t>cumulative</t>
        </is>
      </c>
      <c r="J359" s="5" t="inlineStr">
        <is>
          <t>CD</t>
        </is>
      </c>
      <c r="K359" s="5" t="inlineStr"/>
      <c r="L359" s="7">
        <f>IFERROR(IF(F359&lt;F358,"NEGATIVE",ROUND(F359-F358,2)),"")</f>
        <v/>
      </c>
    </row>
    <row r="360" ht="22" customHeight="1">
      <c r="B360" s="8" t="inlineStr">
        <is>
          <t>R00356</t>
        </is>
      </c>
      <c r="C360" s="8" t="inlineStr">
        <is>
          <t>MTR-BLR-003</t>
        </is>
      </c>
      <c r="D360" s="8" t="inlineStr">
        <is>
          <t>Boiler House</t>
        </is>
      </c>
      <c r="E360" s="8" t="inlineStr">
        <is>
          <t>Steam Boiler 1</t>
        </is>
      </c>
      <c r="F360" s="8" t="inlineStr">
        <is>
          <t>2024-12-22 08:00</t>
        </is>
      </c>
      <c r="G360" s="12" t="n">
        <v>62268.54</v>
      </c>
      <c r="H360" s="8" t="inlineStr">
        <is>
          <t>m3</t>
        </is>
      </c>
      <c r="I360" s="8" t="inlineStr">
        <is>
          <t>cumulative</t>
        </is>
      </c>
      <c r="J360" s="8" t="inlineStr">
        <is>
          <t>CD</t>
        </is>
      </c>
      <c r="K360" s="8" t="inlineStr"/>
      <c r="L360" s="10">
        <f>IFERROR(IF(F360&lt;F359,"NEGATIVE",ROUND(F360-F359,2)),"")</f>
        <v/>
      </c>
    </row>
    <row r="361" ht="22" customHeight="1">
      <c r="B361" s="5" t="inlineStr">
        <is>
          <t>R00357</t>
        </is>
      </c>
      <c r="C361" s="5" t="inlineStr">
        <is>
          <t>MTR-BLR-003</t>
        </is>
      </c>
      <c r="D361" s="5" t="inlineStr">
        <is>
          <t>Boiler House</t>
        </is>
      </c>
      <c r="E361" s="5" t="inlineStr">
        <is>
          <t>Steam Boiler 1</t>
        </is>
      </c>
      <c r="F361" s="5" t="inlineStr">
        <is>
          <t>2024-12-23 08:00</t>
        </is>
      </c>
      <c r="G361" s="11" t="n">
        <v>62290.44</v>
      </c>
      <c r="H361" s="5" t="inlineStr">
        <is>
          <t>m3</t>
        </is>
      </c>
      <c r="I361" s="5" t="inlineStr">
        <is>
          <t>cumulative</t>
        </is>
      </c>
      <c r="J361" s="5" t="inlineStr">
        <is>
          <t>CD</t>
        </is>
      </c>
      <c r="K361" s="5" t="inlineStr"/>
      <c r="L361" s="7">
        <f>IFERROR(IF(F361&lt;F360,"NEGATIVE",ROUND(F361-F360,2)),"")</f>
        <v/>
      </c>
    </row>
    <row r="362" ht="22" customHeight="1">
      <c r="B362" s="8" t="inlineStr">
        <is>
          <t>R00358</t>
        </is>
      </c>
      <c r="C362" s="8" t="inlineStr">
        <is>
          <t>MTR-BLR-003</t>
        </is>
      </c>
      <c r="D362" s="8" t="inlineStr">
        <is>
          <t>Boiler House</t>
        </is>
      </c>
      <c r="E362" s="8" t="inlineStr">
        <is>
          <t>Steam Boiler 1</t>
        </is>
      </c>
      <c r="F362" s="8" t="inlineStr">
        <is>
          <t>2024-12-24 08:00</t>
        </is>
      </c>
      <c r="G362" s="12" t="n">
        <v>62308.73</v>
      </c>
      <c r="H362" s="8" t="inlineStr">
        <is>
          <t>m3</t>
        </is>
      </c>
      <c r="I362" s="8" t="inlineStr">
        <is>
          <t>cumulative</t>
        </is>
      </c>
      <c r="J362" s="8" t="inlineStr">
        <is>
          <t>KL</t>
        </is>
      </c>
      <c r="K362" s="8" t="inlineStr"/>
      <c r="L362" s="10">
        <f>IFERROR(IF(F362&lt;F361,"NEGATIVE",ROUND(F362-F361,2)),"")</f>
        <v/>
      </c>
    </row>
    <row r="363" ht="22" customHeight="1">
      <c r="B363" s="5" t="inlineStr">
        <is>
          <t>R00359</t>
        </is>
      </c>
      <c r="C363" s="5" t="inlineStr">
        <is>
          <t>MTR-BLR-003</t>
        </is>
      </c>
      <c r="D363" s="5" t="inlineStr">
        <is>
          <t>Boiler House</t>
        </is>
      </c>
      <c r="E363" s="5" t="inlineStr">
        <is>
          <t>Steam Boiler 1</t>
        </is>
      </c>
      <c r="F363" s="5" t="inlineStr">
        <is>
          <t>2024-12-25 08:00</t>
        </is>
      </c>
      <c r="G363" s="11" t="n">
        <v>62330.66</v>
      </c>
      <c r="H363" s="5" t="inlineStr">
        <is>
          <t>m3</t>
        </is>
      </c>
      <c r="I363" s="5" t="inlineStr">
        <is>
          <t>cumulative</t>
        </is>
      </c>
      <c r="J363" s="5" t="inlineStr">
        <is>
          <t>CD</t>
        </is>
      </c>
      <c r="K363" s="5" t="inlineStr"/>
      <c r="L363" s="7">
        <f>IFERROR(IF(F363&lt;F362,"NEGATIVE",ROUND(F363-F362,2)),"")</f>
        <v/>
      </c>
    </row>
    <row r="364" ht="22" customHeight="1">
      <c r="B364" s="8" t="inlineStr">
        <is>
          <t>R00360</t>
        </is>
      </c>
      <c r="C364" s="8" t="inlineStr">
        <is>
          <t>MTR-BLR-003</t>
        </is>
      </c>
      <c r="D364" s="8" t="inlineStr">
        <is>
          <t>Boiler House</t>
        </is>
      </c>
      <c r="E364" s="8" t="inlineStr">
        <is>
          <t>Steam Boiler 1</t>
        </is>
      </c>
      <c r="F364" s="8" t="inlineStr">
        <is>
          <t>2024-12-26 08:00</t>
        </is>
      </c>
      <c r="G364" s="12" t="n">
        <v>62350.49</v>
      </c>
      <c r="H364" s="8" t="inlineStr">
        <is>
          <t>m3</t>
        </is>
      </c>
      <c r="I364" s="8" t="inlineStr">
        <is>
          <t>cumulative</t>
        </is>
      </c>
      <c r="J364" s="8" t="inlineStr">
        <is>
          <t>IJ</t>
        </is>
      </c>
      <c r="K364" s="8" t="inlineStr"/>
      <c r="L364" s="10">
        <f>IFERROR(IF(F364&lt;F363,"NEGATIVE",ROUND(F364-F363,2)),"")</f>
        <v/>
      </c>
    </row>
    <row r="365" ht="22" customHeight="1">
      <c r="B365" s="5" t="inlineStr">
        <is>
          <t>R00361</t>
        </is>
      </c>
      <c r="C365" s="5" t="inlineStr">
        <is>
          <t>MTR-BLR-003</t>
        </is>
      </c>
      <c r="D365" s="5" t="inlineStr">
        <is>
          <t>Boiler House</t>
        </is>
      </c>
      <c r="E365" s="5" t="inlineStr">
        <is>
          <t>Steam Boiler 1</t>
        </is>
      </c>
      <c r="F365" s="5" t="inlineStr">
        <is>
          <t>2024-12-27 08:00</t>
        </is>
      </c>
      <c r="G365" s="11" t="n">
        <v>62367.66</v>
      </c>
      <c r="H365" s="5" t="inlineStr">
        <is>
          <t>m3</t>
        </is>
      </c>
      <c r="I365" s="5" t="inlineStr">
        <is>
          <t>cumulative</t>
        </is>
      </c>
      <c r="J365" s="5" t="inlineStr">
        <is>
          <t>GH</t>
        </is>
      </c>
      <c r="K365" s="5" t="inlineStr"/>
      <c r="L365" s="7">
        <f>IFERROR(IF(F365&lt;F364,"NEGATIVE",ROUND(F365-F364,2)),"")</f>
        <v/>
      </c>
    </row>
    <row r="366" ht="22" customHeight="1">
      <c r="B366" s="8" t="inlineStr">
        <is>
          <t>R00362</t>
        </is>
      </c>
      <c r="C366" s="8" t="inlineStr">
        <is>
          <t>MTR-BLR-003</t>
        </is>
      </c>
      <c r="D366" s="8" t="inlineStr">
        <is>
          <t>Boiler House</t>
        </is>
      </c>
      <c r="E366" s="8" t="inlineStr">
        <is>
          <t>Steam Boiler 1</t>
        </is>
      </c>
      <c r="F366" s="8" t="inlineStr">
        <is>
          <t>2024-12-28 08:00</t>
        </is>
      </c>
      <c r="G366" s="12" t="n">
        <v>62384.32</v>
      </c>
      <c r="H366" s="8" t="inlineStr">
        <is>
          <t>m3</t>
        </is>
      </c>
      <c r="I366" s="8" t="inlineStr">
        <is>
          <t>cumulative</t>
        </is>
      </c>
      <c r="J366" s="8" t="inlineStr">
        <is>
          <t>EF</t>
        </is>
      </c>
      <c r="K366" s="8" t="inlineStr"/>
      <c r="L366" s="10">
        <f>IFERROR(IF(F366&lt;F365,"NEGATIVE",ROUND(F366-F365,2)),"")</f>
        <v/>
      </c>
    </row>
    <row r="367" ht="22" customHeight="1">
      <c r="B367" s="5" t="inlineStr">
        <is>
          <t>R00363</t>
        </is>
      </c>
      <c r="C367" s="5" t="inlineStr">
        <is>
          <t>MTR-BLR-003</t>
        </is>
      </c>
      <c r="D367" s="5" t="inlineStr">
        <is>
          <t>Boiler House</t>
        </is>
      </c>
      <c r="E367" s="5" t="inlineStr">
        <is>
          <t>Steam Boiler 1</t>
        </is>
      </c>
      <c r="F367" s="5" t="inlineStr">
        <is>
          <t>2024-12-29 08:00</t>
        </is>
      </c>
      <c r="G367" s="11" t="n">
        <v>62394.18</v>
      </c>
      <c r="H367" s="5" t="inlineStr">
        <is>
          <t>m3</t>
        </is>
      </c>
      <c r="I367" s="5" t="inlineStr">
        <is>
          <t>cumulative</t>
        </is>
      </c>
      <c r="J367" s="5" t="inlineStr">
        <is>
          <t>IJ</t>
        </is>
      </c>
      <c r="K367" s="5" t="inlineStr"/>
      <c r="L367" s="7">
        <f>IFERROR(IF(F367&lt;F366,"NEGATIVE",ROUND(F367-F366,2)),"")</f>
        <v/>
      </c>
    </row>
    <row r="368" ht="22" customHeight="1">
      <c r="B368" s="8" t="inlineStr">
        <is>
          <t>R00364</t>
        </is>
      </c>
      <c r="C368" s="8" t="inlineStr">
        <is>
          <t>MTR-BLR-003</t>
        </is>
      </c>
      <c r="D368" s="8" t="inlineStr">
        <is>
          <t>Boiler House</t>
        </is>
      </c>
      <c r="E368" s="8" t="inlineStr">
        <is>
          <t>Steam Boiler 1</t>
        </is>
      </c>
      <c r="F368" s="8" t="inlineStr">
        <is>
          <t>2024-12-30 08:00</t>
        </is>
      </c>
      <c r="G368" s="12" t="n">
        <v>62411.04</v>
      </c>
      <c r="H368" s="8" t="inlineStr">
        <is>
          <t>m3</t>
        </is>
      </c>
      <c r="I368" s="8" t="inlineStr">
        <is>
          <t>cumulative</t>
        </is>
      </c>
      <c r="J368" s="8" t="inlineStr">
        <is>
          <t>KL</t>
        </is>
      </c>
      <c r="K368" s="8" t="inlineStr"/>
      <c r="L368" s="10">
        <f>IFERROR(IF(F368&lt;F367,"NEGATIVE",ROUND(F368-F367,2)),"")</f>
        <v/>
      </c>
    </row>
    <row r="369" ht="22" customHeight="1">
      <c r="B369" s="5" t="inlineStr">
        <is>
          <t>R00365</t>
        </is>
      </c>
      <c r="C369" s="5" t="inlineStr">
        <is>
          <t>MTR-BLR-003</t>
        </is>
      </c>
      <c r="D369" s="5" t="inlineStr">
        <is>
          <t>Boiler House</t>
        </is>
      </c>
      <c r="E369" s="5" t="inlineStr">
        <is>
          <t>Steam Boiler 1</t>
        </is>
      </c>
      <c r="F369" s="5" t="inlineStr">
        <is>
          <t>2024-12-31 08:00</t>
        </is>
      </c>
      <c r="G369" s="11" t="n">
        <v>62430.78</v>
      </c>
      <c r="H369" s="5" t="inlineStr">
        <is>
          <t>m3</t>
        </is>
      </c>
      <c r="I369" s="5" t="inlineStr">
        <is>
          <t>cumulative</t>
        </is>
      </c>
      <c r="J369" s="5" t="inlineStr">
        <is>
          <t>IJ</t>
        </is>
      </c>
      <c r="K369" s="5" t="inlineStr"/>
      <c r="L369" s="7">
        <f>IFERROR(IF(F369&lt;F368,"NEGATIVE",ROUND(F369-F368,2)),"")</f>
        <v/>
      </c>
    </row>
    <row r="370" ht="22" customHeight="1">
      <c r="B370" s="8" t="inlineStr">
        <is>
          <t>R00366</t>
        </is>
      </c>
      <c r="C370" s="8" t="inlineStr">
        <is>
          <t>MTR-CTW-004</t>
        </is>
      </c>
      <c r="D370" s="8" t="inlineStr">
        <is>
          <t>Cooling Tower</t>
        </is>
      </c>
      <c r="E370" s="8" t="inlineStr">
        <is>
          <t>Cooling Tower Cell 2</t>
        </is>
      </c>
      <c r="F370" s="8" t="inlineStr">
        <is>
          <t>2024-01-01 08:00</t>
        </is>
      </c>
      <c r="G370" s="12" t="n">
        <v>73012.37</v>
      </c>
      <c r="H370" s="8" t="inlineStr">
        <is>
          <t>m3</t>
        </is>
      </c>
      <c r="I370" s="8" t="inlineStr">
        <is>
          <t>cumulative</t>
        </is>
      </c>
      <c r="J370" s="8" t="inlineStr">
        <is>
          <t>KL</t>
        </is>
      </c>
      <c r="K370" s="8" t="inlineStr"/>
      <c r="L370" s="10" t="inlineStr"/>
    </row>
    <row r="371" ht="22" customHeight="1">
      <c r="B371" s="5" t="inlineStr">
        <is>
          <t>R00367</t>
        </is>
      </c>
      <c r="C371" s="5" t="inlineStr">
        <is>
          <t>MTR-CTW-004</t>
        </is>
      </c>
      <c r="D371" s="5" t="inlineStr">
        <is>
          <t>Cooling Tower</t>
        </is>
      </c>
      <c r="E371" s="5" t="inlineStr">
        <is>
          <t>Cooling Tower Cell 2</t>
        </is>
      </c>
      <c r="F371" s="5" t="inlineStr">
        <is>
          <t>2024-01-02 08:00</t>
        </is>
      </c>
      <c r="G371" s="11" t="n">
        <v>73051.5</v>
      </c>
      <c r="H371" s="5" t="inlineStr">
        <is>
          <t>m3</t>
        </is>
      </c>
      <c r="I371" s="5" t="inlineStr">
        <is>
          <t>cumulative</t>
        </is>
      </c>
      <c r="J371" s="5" t="inlineStr">
        <is>
          <t>KL</t>
        </is>
      </c>
      <c r="K371" s="5" t="inlineStr"/>
      <c r="L371" s="7">
        <f>IFERROR(IF(F371&lt;F370,"NEGATIVE",ROUND(F371-F370,2)),"")</f>
        <v/>
      </c>
    </row>
    <row r="372" ht="22" customHeight="1">
      <c r="B372" s="8" t="inlineStr">
        <is>
          <t>R00368</t>
        </is>
      </c>
      <c r="C372" s="8" t="inlineStr">
        <is>
          <t>MTR-CTW-004</t>
        </is>
      </c>
      <c r="D372" s="8" t="inlineStr">
        <is>
          <t>Cooling Tower</t>
        </is>
      </c>
      <c r="E372" s="8" t="inlineStr">
        <is>
          <t>Cooling Tower Cell 2</t>
        </is>
      </c>
      <c r="F372" s="8" t="inlineStr">
        <is>
          <t>2024-01-03 08:00</t>
        </is>
      </c>
      <c r="G372" s="12" t="n">
        <v>73085.8</v>
      </c>
      <c r="H372" s="8" t="inlineStr">
        <is>
          <t>m3</t>
        </is>
      </c>
      <c r="I372" s="8" t="inlineStr">
        <is>
          <t>cumulative</t>
        </is>
      </c>
      <c r="J372" s="8" t="inlineStr">
        <is>
          <t>CD</t>
        </is>
      </c>
      <c r="K372" s="8" t="inlineStr"/>
      <c r="L372" s="10">
        <f>IFERROR(IF(F372&lt;F371,"NEGATIVE",ROUND(F372-F371,2)),"")</f>
        <v/>
      </c>
    </row>
    <row r="373" ht="22" customHeight="1">
      <c r="B373" s="5" t="inlineStr">
        <is>
          <t>R00369</t>
        </is>
      </c>
      <c r="C373" s="5" t="inlineStr">
        <is>
          <t>MTR-CTW-004</t>
        </is>
      </c>
      <c r="D373" s="5" t="inlineStr">
        <is>
          <t>Cooling Tower</t>
        </is>
      </c>
      <c r="E373" s="5" t="inlineStr">
        <is>
          <t>Cooling Tower Cell 2</t>
        </is>
      </c>
      <c r="F373" s="5" t="inlineStr">
        <is>
          <t>2024-01-04 08:00</t>
        </is>
      </c>
      <c r="G373" s="11" t="n">
        <v>73118.41</v>
      </c>
      <c r="H373" s="5" t="inlineStr">
        <is>
          <t>m3</t>
        </is>
      </c>
      <c r="I373" s="5" t="inlineStr">
        <is>
          <t>cumulative</t>
        </is>
      </c>
      <c r="J373" s="5" t="inlineStr">
        <is>
          <t>GH</t>
        </is>
      </c>
      <c r="K373" s="5" t="inlineStr"/>
      <c r="L373" s="7">
        <f>IFERROR(IF(F373&lt;F372,"NEGATIVE",ROUND(F373-F372,2)),"")</f>
        <v/>
      </c>
    </row>
    <row r="374" ht="22" customHeight="1">
      <c r="B374" s="8" t="inlineStr">
        <is>
          <t>R00370</t>
        </is>
      </c>
      <c r="C374" s="8" t="inlineStr">
        <is>
          <t>MTR-CTW-004</t>
        </is>
      </c>
      <c r="D374" s="8" t="inlineStr">
        <is>
          <t>Cooling Tower</t>
        </is>
      </c>
      <c r="E374" s="8" t="inlineStr">
        <is>
          <t>Cooling Tower Cell 2</t>
        </is>
      </c>
      <c r="F374" s="8" t="inlineStr">
        <is>
          <t>2024-01-05 08:00</t>
        </is>
      </c>
      <c r="G374" s="12" t="n">
        <v>73152.16</v>
      </c>
      <c r="H374" s="8" t="inlineStr">
        <is>
          <t>m3</t>
        </is>
      </c>
      <c r="I374" s="8" t="inlineStr">
        <is>
          <t>cumulative</t>
        </is>
      </c>
      <c r="J374" s="8" t="inlineStr">
        <is>
          <t>EF</t>
        </is>
      </c>
      <c r="K374" s="8" t="inlineStr"/>
      <c r="L374" s="10">
        <f>IFERROR(IF(F374&lt;F373,"NEGATIVE",ROUND(F374-F373,2)),"")</f>
        <v/>
      </c>
    </row>
    <row r="375" ht="22" customHeight="1">
      <c r="B375" s="5" t="inlineStr">
        <is>
          <t>R00371</t>
        </is>
      </c>
      <c r="C375" s="5" t="inlineStr">
        <is>
          <t>MTR-CTW-004</t>
        </is>
      </c>
      <c r="D375" s="5" t="inlineStr">
        <is>
          <t>Cooling Tower</t>
        </is>
      </c>
      <c r="E375" s="5" t="inlineStr">
        <is>
          <t>Cooling Tower Cell 2</t>
        </is>
      </c>
      <c r="F375" s="5" t="inlineStr">
        <is>
          <t>2024-01-06 08:00</t>
        </is>
      </c>
      <c r="G375" s="11" t="n">
        <v>73183.42999999999</v>
      </c>
      <c r="H375" s="5" t="inlineStr">
        <is>
          <t>m3</t>
        </is>
      </c>
      <c r="I375" s="5" t="inlineStr">
        <is>
          <t>cumulative</t>
        </is>
      </c>
      <c r="J375" s="5" t="inlineStr">
        <is>
          <t>KL</t>
        </is>
      </c>
      <c r="K375" s="5" t="inlineStr"/>
      <c r="L375" s="7">
        <f>IFERROR(IF(F375&lt;F374,"NEGATIVE",ROUND(F375-F374,2)),"")</f>
        <v/>
      </c>
    </row>
    <row r="376" ht="22" customHeight="1">
      <c r="B376" s="8" t="inlineStr">
        <is>
          <t>R00372</t>
        </is>
      </c>
      <c r="C376" s="8" t="inlineStr">
        <is>
          <t>MTR-CTW-004</t>
        </is>
      </c>
      <c r="D376" s="8" t="inlineStr">
        <is>
          <t>Cooling Tower</t>
        </is>
      </c>
      <c r="E376" s="8" t="inlineStr">
        <is>
          <t>Cooling Tower Cell 2</t>
        </is>
      </c>
      <c r="F376" s="8" t="inlineStr">
        <is>
          <t>2024-01-07 08:00</t>
        </is>
      </c>
      <c r="G376" s="12" t="n">
        <v>73203.77</v>
      </c>
      <c r="H376" s="8" t="inlineStr">
        <is>
          <t>m3</t>
        </is>
      </c>
      <c r="I376" s="8" t="inlineStr">
        <is>
          <t>cumulative</t>
        </is>
      </c>
      <c r="J376" s="8" t="inlineStr">
        <is>
          <t>CD</t>
        </is>
      </c>
      <c r="K376" s="8" t="inlineStr"/>
      <c r="L376" s="10">
        <f>IFERROR(IF(F376&lt;F375,"NEGATIVE",ROUND(F376-F375,2)),"")</f>
        <v/>
      </c>
    </row>
    <row r="377" ht="22" customHeight="1">
      <c r="B377" s="5" t="inlineStr">
        <is>
          <t>R00373</t>
        </is>
      </c>
      <c r="C377" s="5" t="inlineStr">
        <is>
          <t>MTR-CTW-004</t>
        </is>
      </c>
      <c r="D377" s="5" t="inlineStr">
        <is>
          <t>Cooling Tower</t>
        </is>
      </c>
      <c r="E377" s="5" t="inlineStr">
        <is>
          <t>Cooling Tower Cell 2</t>
        </is>
      </c>
      <c r="F377" s="5" t="inlineStr">
        <is>
          <t>2024-01-08 08:00</t>
        </is>
      </c>
      <c r="G377" s="11" t="n">
        <v>73244.67</v>
      </c>
      <c r="H377" s="5" t="inlineStr">
        <is>
          <t>m3</t>
        </is>
      </c>
      <c r="I377" s="5" t="inlineStr">
        <is>
          <t>cumulative</t>
        </is>
      </c>
      <c r="J377" s="5" t="inlineStr">
        <is>
          <t>EF</t>
        </is>
      </c>
      <c r="K377" s="5" t="inlineStr"/>
      <c r="L377" s="7">
        <f>IFERROR(IF(F377&lt;F376,"NEGATIVE",ROUND(F377-F376,2)),"")</f>
        <v/>
      </c>
    </row>
    <row r="378" ht="22" customHeight="1">
      <c r="B378" s="8" t="inlineStr">
        <is>
          <t>R00374</t>
        </is>
      </c>
      <c r="C378" s="8" t="inlineStr">
        <is>
          <t>MTR-CTW-004</t>
        </is>
      </c>
      <c r="D378" s="8" t="inlineStr">
        <is>
          <t>Cooling Tower</t>
        </is>
      </c>
      <c r="E378" s="8" t="inlineStr">
        <is>
          <t>Cooling Tower Cell 2</t>
        </is>
      </c>
      <c r="F378" s="8" t="inlineStr">
        <is>
          <t>2024-01-09 08:00</t>
        </is>
      </c>
      <c r="G378" s="12" t="n">
        <v>73284.14</v>
      </c>
      <c r="H378" s="8" t="inlineStr">
        <is>
          <t>m3</t>
        </is>
      </c>
      <c r="I378" s="8" t="inlineStr">
        <is>
          <t>cumulative</t>
        </is>
      </c>
      <c r="J378" s="8" t="inlineStr">
        <is>
          <t>GH</t>
        </is>
      </c>
      <c r="K378" s="8" t="inlineStr"/>
      <c r="L378" s="10">
        <f>IFERROR(IF(F378&lt;F377,"NEGATIVE",ROUND(F378-F377,2)),"")</f>
        <v/>
      </c>
    </row>
    <row r="379" ht="22" customHeight="1">
      <c r="B379" s="5" t="inlineStr">
        <is>
          <t>R00375</t>
        </is>
      </c>
      <c r="C379" s="5" t="inlineStr">
        <is>
          <t>MTR-CTW-004</t>
        </is>
      </c>
      <c r="D379" s="5" t="inlineStr">
        <is>
          <t>Cooling Tower</t>
        </is>
      </c>
      <c r="E379" s="5" t="inlineStr">
        <is>
          <t>Cooling Tower Cell 2</t>
        </is>
      </c>
      <c r="F379" s="5" t="inlineStr">
        <is>
          <t>2024-01-10 08:00</t>
        </is>
      </c>
      <c r="G379" s="11" t="n">
        <v>73324.11</v>
      </c>
      <c r="H379" s="5" t="inlineStr">
        <is>
          <t>m3</t>
        </is>
      </c>
      <c r="I379" s="5" t="inlineStr">
        <is>
          <t>cumulative</t>
        </is>
      </c>
      <c r="J379" s="5" t="inlineStr">
        <is>
          <t>GH</t>
        </is>
      </c>
      <c r="K379" s="5" t="inlineStr"/>
      <c r="L379" s="7">
        <f>IFERROR(IF(F379&lt;F378,"NEGATIVE",ROUND(F379-F378,2)),"")</f>
        <v/>
      </c>
    </row>
    <row r="380" ht="22" customHeight="1">
      <c r="B380" s="8" t="inlineStr">
        <is>
          <t>R00376</t>
        </is>
      </c>
      <c r="C380" s="8" t="inlineStr">
        <is>
          <t>MTR-CTW-004</t>
        </is>
      </c>
      <c r="D380" s="8" t="inlineStr">
        <is>
          <t>Cooling Tower</t>
        </is>
      </c>
      <c r="E380" s="8" t="inlineStr">
        <is>
          <t>Cooling Tower Cell 2</t>
        </is>
      </c>
      <c r="F380" s="8" t="inlineStr">
        <is>
          <t>2024-01-11 08:00</t>
        </is>
      </c>
      <c r="G380" s="12" t="n">
        <v>73362.86</v>
      </c>
      <c r="H380" s="8" t="inlineStr">
        <is>
          <t>m3</t>
        </is>
      </c>
      <c r="I380" s="8" t="inlineStr">
        <is>
          <t>cumulative</t>
        </is>
      </c>
      <c r="J380" s="8" t="inlineStr">
        <is>
          <t>IJ</t>
        </is>
      </c>
      <c r="K380" s="8" t="inlineStr"/>
      <c r="L380" s="10">
        <f>IFERROR(IF(F380&lt;F379,"NEGATIVE",ROUND(F380-F379,2)),"")</f>
        <v/>
      </c>
    </row>
    <row r="381" ht="22" customHeight="1">
      <c r="B381" s="5" t="inlineStr">
        <is>
          <t>R00377</t>
        </is>
      </c>
      <c r="C381" s="5" t="inlineStr">
        <is>
          <t>MTR-CTW-004</t>
        </is>
      </c>
      <c r="D381" s="5" t="inlineStr">
        <is>
          <t>Cooling Tower</t>
        </is>
      </c>
      <c r="E381" s="5" t="inlineStr">
        <is>
          <t>Cooling Tower Cell 2</t>
        </is>
      </c>
      <c r="F381" s="5" t="inlineStr">
        <is>
          <t>2024-01-12 08:00</t>
        </is>
      </c>
      <c r="G381" s="11" t="n">
        <v>73404.81</v>
      </c>
      <c r="H381" s="5" t="inlineStr">
        <is>
          <t>m3</t>
        </is>
      </c>
      <c r="I381" s="5" t="inlineStr">
        <is>
          <t>cumulative</t>
        </is>
      </c>
      <c r="J381" s="5" t="inlineStr">
        <is>
          <t>CD</t>
        </is>
      </c>
      <c r="K381" s="5" t="inlineStr"/>
      <c r="L381" s="7">
        <f>IFERROR(IF(F381&lt;F380,"NEGATIVE",ROUND(F381-F380,2)),"")</f>
        <v/>
      </c>
    </row>
    <row r="382" ht="22" customHeight="1">
      <c r="B382" s="8" t="inlineStr">
        <is>
          <t>R00378</t>
        </is>
      </c>
      <c r="C382" s="8" t="inlineStr">
        <is>
          <t>MTR-CTW-004</t>
        </is>
      </c>
      <c r="D382" s="8" t="inlineStr">
        <is>
          <t>Cooling Tower</t>
        </is>
      </c>
      <c r="E382" s="8" t="inlineStr">
        <is>
          <t>Cooling Tower Cell 2</t>
        </is>
      </c>
      <c r="F382" s="8" t="inlineStr">
        <is>
          <t>2024-01-13 08:00</t>
        </is>
      </c>
      <c r="G382" s="12" t="n">
        <v>73434.91</v>
      </c>
      <c r="H382" s="8" t="inlineStr">
        <is>
          <t>m3</t>
        </is>
      </c>
      <c r="I382" s="8" t="inlineStr">
        <is>
          <t>cumulative</t>
        </is>
      </c>
      <c r="J382" s="8" t="inlineStr">
        <is>
          <t>IJ</t>
        </is>
      </c>
      <c r="K382" s="8" t="inlineStr"/>
      <c r="L382" s="10">
        <f>IFERROR(IF(F382&lt;F381,"NEGATIVE",ROUND(F382-F381,2)),"")</f>
        <v/>
      </c>
    </row>
    <row r="383" ht="22" customHeight="1">
      <c r="B383" s="5" t="inlineStr">
        <is>
          <t>R00379</t>
        </is>
      </c>
      <c r="C383" s="5" t="inlineStr">
        <is>
          <t>MTR-CTW-004</t>
        </is>
      </c>
      <c r="D383" s="5" t="inlineStr">
        <is>
          <t>Cooling Tower</t>
        </is>
      </c>
      <c r="E383" s="5" t="inlineStr">
        <is>
          <t>Cooling Tower Cell 2</t>
        </is>
      </c>
      <c r="F383" s="5" t="inlineStr">
        <is>
          <t>2024-01-14 08:00</t>
        </is>
      </c>
      <c r="G383" s="11" t="n">
        <v>73456.34</v>
      </c>
      <c r="H383" s="5" t="inlineStr">
        <is>
          <t>m3</t>
        </is>
      </c>
      <c r="I383" s="5" t="inlineStr">
        <is>
          <t>cumulative</t>
        </is>
      </c>
      <c r="J383" s="5" t="inlineStr">
        <is>
          <t>AB</t>
        </is>
      </c>
      <c r="K383" s="5" t="inlineStr"/>
      <c r="L383" s="7">
        <f>IFERROR(IF(F383&lt;F382,"NEGATIVE",ROUND(F383-F382,2)),"")</f>
        <v/>
      </c>
    </row>
    <row r="384" ht="22" customHeight="1">
      <c r="B384" s="8" t="inlineStr">
        <is>
          <t>R00380</t>
        </is>
      </c>
      <c r="C384" s="8" t="inlineStr">
        <is>
          <t>MTR-CTW-004</t>
        </is>
      </c>
      <c r="D384" s="8" t="inlineStr">
        <is>
          <t>Cooling Tower</t>
        </is>
      </c>
      <c r="E384" s="8" t="inlineStr">
        <is>
          <t>Cooling Tower Cell 2</t>
        </is>
      </c>
      <c r="F384" s="8" t="inlineStr">
        <is>
          <t>2024-01-15 08:00</t>
        </is>
      </c>
      <c r="G384" s="12" t="n">
        <v>73497.2</v>
      </c>
      <c r="H384" s="8" t="inlineStr">
        <is>
          <t>m3</t>
        </is>
      </c>
      <c r="I384" s="8" t="inlineStr">
        <is>
          <t>cumulative</t>
        </is>
      </c>
      <c r="J384" s="8" t="inlineStr">
        <is>
          <t>GH</t>
        </is>
      </c>
      <c r="K384" s="8" t="inlineStr"/>
      <c r="L384" s="10">
        <f>IFERROR(IF(F384&lt;F383,"NEGATIVE",ROUND(F384-F383,2)),"")</f>
        <v/>
      </c>
    </row>
    <row r="385" ht="22" customHeight="1">
      <c r="B385" s="5" t="inlineStr">
        <is>
          <t>R00381</t>
        </is>
      </c>
      <c r="C385" s="5" t="inlineStr">
        <is>
          <t>MTR-CTW-004</t>
        </is>
      </c>
      <c r="D385" s="5" t="inlineStr">
        <is>
          <t>Cooling Tower</t>
        </is>
      </c>
      <c r="E385" s="5" t="inlineStr">
        <is>
          <t>Cooling Tower Cell 2</t>
        </is>
      </c>
      <c r="F385" s="5" t="inlineStr">
        <is>
          <t>2024-01-16 08:00</t>
        </is>
      </c>
      <c r="G385" s="11" t="n">
        <v>73538.36</v>
      </c>
      <c r="H385" s="5" t="inlineStr">
        <is>
          <t>m3</t>
        </is>
      </c>
      <c r="I385" s="5" t="inlineStr">
        <is>
          <t>cumulative</t>
        </is>
      </c>
      <c r="J385" s="5" t="inlineStr">
        <is>
          <t>GH</t>
        </is>
      </c>
      <c r="K385" s="5" t="inlineStr"/>
      <c r="L385" s="7">
        <f>IFERROR(IF(F385&lt;F384,"NEGATIVE",ROUND(F385-F384,2)),"")</f>
        <v/>
      </c>
    </row>
    <row r="386" ht="22" customHeight="1">
      <c r="B386" s="8" t="inlineStr">
        <is>
          <t>R00382</t>
        </is>
      </c>
      <c r="C386" s="8" t="inlineStr">
        <is>
          <t>MTR-CTW-004</t>
        </is>
      </c>
      <c r="D386" s="8" t="inlineStr">
        <is>
          <t>Cooling Tower</t>
        </is>
      </c>
      <c r="E386" s="8" t="inlineStr">
        <is>
          <t>Cooling Tower Cell 2</t>
        </is>
      </c>
      <c r="F386" s="8" t="inlineStr">
        <is>
          <t>2024-01-17 08:00</t>
        </is>
      </c>
      <c r="G386" s="12" t="n">
        <v>73570.25</v>
      </c>
      <c r="H386" s="8" t="inlineStr">
        <is>
          <t>m3</t>
        </is>
      </c>
      <c r="I386" s="8" t="inlineStr">
        <is>
          <t>cumulative</t>
        </is>
      </c>
      <c r="J386" s="8" t="inlineStr">
        <is>
          <t>AB</t>
        </is>
      </c>
      <c r="K386" s="8" t="inlineStr"/>
      <c r="L386" s="10">
        <f>IFERROR(IF(F386&lt;F385,"NEGATIVE",ROUND(F386-F385,2)),"")</f>
        <v/>
      </c>
    </row>
    <row r="387" ht="22" customHeight="1">
      <c r="B387" s="5" t="inlineStr">
        <is>
          <t>R00383</t>
        </is>
      </c>
      <c r="C387" s="5" t="inlineStr">
        <is>
          <t>MTR-CTW-004</t>
        </is>
      </c>
      <c r="D387" s="5" t="inlineStr">
        <is>
          <t>Cooling Tower</t>
        </is>
      </c>
      <c r="E387" s="5" t="inlineStr">
        <is>
          <t>Cooling Tower Cell 2</t>
        </is>
      </c>
      <c r="F387" s="5" t="inlineStr">
        <is>
          <t>2024-01-18 08:00</t>
        </is>
      </c>
      <c r="G387" s="11" t="n">
        <v>73607.84</v>
      </c>
      <c r="H387" s="5" t="inlineStr">
        <is>
          <t>m3</t>
        </is>
      </c>
      <c r="I387" s="5" t="inlineStr">
        <is>
          <t>cumulative</t>
        </is>
      </c>
      <c r="J387" s="5" t="inlineStr">
        <is>
          <t>CD</t>
        </is>
      </c>
      <c r="K387" s="5" t="inlineStr"/>
      <c r="L387" s="7">
        <f>IFERROR(IF(F387&lt;F386,"NEGATIVE",ROUND(F387-F386,2)),"")</f>
        <v/>
      </c>
    </row>
    <row r="388" ht="22" customHeight="1">
      <c r="B388" s="8" t="inlineStr">
        <is>
          <t>R00384</t>
        </is>
      </c>
      <c r="C388" s="8" t="inlineStr">
        <is>
          <t>MTR-CTW-004</t>
        </is>
      </c>
      <c r="D388" s="8" t="inlineStr">
        <is>
          <t>Cooling Tower</t>
        </is>
      </c>
      <c r="E388" s="8" t="inlineStr">
        <is>
          <t>Cooling Tower Cell 2</t>
        </is>
      </c>
      <c r="F388" s="8" t="inlineStr">
        <is>
          <t>2024-01-19 08:00</t>
        </is>
      </c>
      <c r="G388" s="12" t="n">
        <v>73646.5</v>
      </c>
      <c r="H388" s="8" t="inlineStr">
        <is>
          <t>m3</t>
        </is>
      </c>
      <c r="I388" s="8" t="inlineStr">
        <is>
          <t>cumulative</t>
        </is>
      </c>
      <c r="J388" s="8" t="inlineStr">
        <is>
          <t>KL</t>
        </is>
      </c>
      <c r="K388" s="8" t="inlineStr"/>
      <c r="L388" s="10">
        <f>IFERROR(IF(F388&lt;F387,"NEGATIVE",ROUND(F388-F387,2)),"")</f>
        <v/>
      </c>
    </row>
    <row r="389" ht="22" customHeight="1">
      <c r="B389" s="5" t="inlineStr">
        <is>
          <t>R00385</t>
        </is>
      </c>
      <c r="C389" s="5" t="inlineStr">
        <is>
          <t>MTR-CTW-004</t>
        </is>
      </c>
      <c r="D389" s="5" t="inlineStr">
        <is>
          <t>Cooling Tower</t>
        </is>
      </c>
      <c r="E389" s="5" t="inlineStr">
        <is>
          <t>Cooling Tower Cell 2</t>
        </is>
      </c>
      <c r="F389" s="5" t="inlineStr">
        <is>
          <t>2024-01-20 08:00</t>
        </is>
      </c>
      <c r="G389" s="11" t="n">
        <v>73675.92</v>
      </c>
      <c r="H389" s="5" t="inlineStr">
        <is>
          <t>m3</t>
        </is>
      </c>
      <c r="I389" s="5" t="inlineStr">
        <is>
          <t>cumulative</t>
        </is>
      </c>
      <c r="J389" s="5" t="inlineStr">
        <is>
          <t>AB</t>
        </is>
      </c>
      <c r="K389" s="5" t="inlineStr"/>
      <c r="L389" s="7">
        <f>IFERROR(IF(F389&lt;F388,"NEGATIVE",ROUND(F389-F388,2)),"")</f>
        <v/>
      </c>
    </row>
    <row r="390" ht="22" customHeight="1">
      <c r="B390" s="8" t="inlineStr">
        <is>
          <t>R00386</t>
        </is>
      </c>
      <c r="C390" s="8" t="inlineStr">
        <is>
          <t>MTR-CTW-004</t>
        </is>
      </c>
      <c r="D390" s="8" t="inlineStr">
        <is>
          <t>Cooling Tower</t>
        </is>
      </c>
      <c r="E390" s="8" t="inlineStr">
        <is>
          <t>Cooling Tower Cell 2</t>
        </is>
      </c>
      <c r="F390" s="8" t="inlineStr">
        <is>
          <t>2024-01-21 08:00</t>
        </is>
      </c>
      <c r="G390" s="12" t="n">
        <v>73695.06</v>
      </c>
      <c r="H390" s="8" t="inlineStr">
        <is>
          <t>m3</t>
        </is>
      </c>
      <c r="I390" s="8" t="inlineStr">
        <is>
          <t>cumulative</t>
        </is>
      </c>
      <c r="J390" s="8" t="inlineStr">
        <is>
          <t>GH</t>
        </is>
      </c>
      <c r="K390" s="8" t="inlineStr"/>
      <c r="L390" s="10">
        <f>IFERROR(IF(F390&lt;F389,"NEGATIVE",ROUND(F390-F389,2)),"")</f>
        <v/>
      </c>
    </row>
    <row r="391" ht="22" customHeight="1">
      <c r="B391" s="5" t="inlineStr">
        <is>
          <t>R00387</t>
        </is>
      </c>
      <c r="C391" s="5" t="inlineStr">
        <is>
          <t>MTR-CTW-004</t>
        </is>
      </c>
      <c r="D391" s="5" t="inlineStr">
        <is>
          <t>Cooling Tower</t>
        </is>
      </c>
      <c r="E391" s="5" t="inlineStr">
        <is>
          <t>Cooling Tower Cell 2</t>
        </is>
      </c>
      <c r="F391" s="5" t="inlineStr">
        <is>
          <t>2024-01-22 08:00</t>
        </is>
      </c>
      <c r="G391" s="11" t="n">
        <v>73733.59</v>
      </c>
      <c r="H391" s="5" t="inlineStr">
        <is>
          <t>m3</t>
        </is>
      </c>
      <c r="I391" s="5" t="inlineStr">
        <is>
          <t>cumulative</t>
        </is>
      </c>
      <c r="J391" s="5" t="inlineStr">
        <is>
          <t>GH</t>
        </is>
      </c>
      <c r="K391" s="5" t="inlineStr"/>
      <c r="L391" s="7">
        <f>IFERROR(IF(F391&lt;F390,"NEGATIVE",ROUND(F391-F390,2)),"")</f>
        <v/>
      </c>
    </row>
    <row r="392" ht="22" customHeight="1">
      <c r="B392" s="8" t="inlineStr">
        <is>
          <t>R00388</t>
        </is>
      </c>
      <c r="C392" s="8" t="inlineStr">
        <is>
          <t>MTR-CTW-004</t>
        </is>
      </c>
      <c r="D392" s="8" t="inlineStr">
        <is>
          <t>Cooling Tower</t>
        </is>
      </c>
      <c r="E392" s="8" t="inlineStr">
        <is>
          <t>Cooling Tower Cell 2</t>
        </is>
      </c>
      <c r="F392" s="8" t="inlineStr">
        <is>
          <t>2024-01-23 08:00</t>
        </is>
      </c>
      <c r="G392" s="12" t="n">
        <v>73770.08</v>
      </c>
      <c r="H392" s="8" t="inlineStr">
        <is>
          <t>m3</t>
        </is>
      </c>
      <c r="I392" s="8" t="inlineStr">
        <is>
          <t>cumulative</t>
        </is>
      </c>
      <c r="J392" s="8" t="inlineStr">
        <is>
          <t>IJ</t>
        </is>
      </c>
      <c r="K392" s="8" t="inlineStr"/>
      <c r="L392" s="10">
        <f>IFERROR(IF(F392&lt;F391,"NEGATIVE",ROUND(F392-F391,2)),"")</f>
        <v/>
      </c>
    </row>
    <row r="393" ht="22" customHeight="1">
      <c r="B393" s="5" t="inlineStr">
        <is>
          <t>R00389</t>
        </is>
      </c>
      <c r="C393" s="5" t="inlineStr">
        <is>
          <t>MTR-CTW-004</t>
        </is>
      </c>
      <c r="D393" s="5" t="inlineStr">
        <is>
          <t>Cooling Tower</t>
        </is>
      </c>
      <c r="E393" s="5" t="inlineStr">
        <is>
          <t>Cooling Tower Cell 2</t>
        </is>
      </c>
      <c r="F393" s="5" t="inlineStr">
        <is>
          <t>2024-01-24 08:00</t>
        </is>
      </c>
      <c r="G393" s="11" t="n">
        <v>73804.03</v>
      </c>
      <c r="H393" s="5" t="inlineStr">
        <is>
          <t>m3</t>
        </is>
      </c>
      <c r="I393" s="5" t="inlineStr">
        <is>
          <t>cumulative</t>
        </is>
      </c>
      <c r="J393" s="5" t="inlineStr">
        <is>
          <t>IJ</t>
        </is>
      </c>
      <c r="K393" s="5" t="inlineStr"/>
      <c r="L393" s="7">
        <f>IFERROR(IF(F393&lt;F392,"NEGATIVE",ROUND(F393-F392,2)),"")</f>
        <v/>
      </c>
    </row>
    <row r="394" ht="22" customHeight="1">
      <c r="B394" s="8" t="inlineStr">
        <is>
          <t>R00390</t>
        </is>
      </c>
      <c r="C394" s="8" t="inlineStr">
        <is>
          <t>MTR-CTW-004</t>
        </is>
      </c>
      <c r="D394" s="8" t="inlineStr">
        <is>
          <t>Cooling Tower</t>
        </is>
      </c>
      <c r="E394" s="8" t="inlineStr">
        <is>
          <t>Cooling Tower Cell 2</t>
        </is>
      </c>
      <c r="F394" s="8" t="inlineStr">
        <is>
          <t>2024-01-25 08:00</t>
        </is>
      </c>
      <c r="G394" s="12" t="n">
        <v>73837.89999999999</v>
      </c>
      <c r="H394" s="8" t="inlineStr">
        <is>
          <t>m3</t>
        </is>
      </c>
      <c r="I394" s="8" t="inlineStr">
        <is>
          <t>cumulative</t>
        </is>
      </c>
      <c r="J394" s="8" t="inlineStr">
        <is>
          <t>GH</t>
        </is>
      </c>
      <c r="K394" s="8" t="inlineStr"/>
      <c r="L394" s="10">
        <f>IFERROR(IF(F394&lt;F393,"NEGATIVE",ROUND(F394-F393,2)),"")</f>
        <v/>
      </c>
    </row>
    <row r="395" ht="22" customHeight="1">
      <c r="B395" s="5" t="inlineStr">
        <is>
          <t>R00391</t>
        </is>
      </c>
      <c r="C395" s="5" t="inlineStr">
        <is>
          <t>MTR-CTW-004</t>
        </is>
      </c>
      <c r="D395" s="5" t="inlineStr">
        <is>
          <t>Cooling Tower</t>
        </is>
      </c>
      <c r="E395" s="5" t="inlineStr">
        <is>
          <t>Cooling Tower Cell 2</t>
        </is>
      </c>
      <c r="F395" s="5" t="inlineStr">
        <is>
          <t>2024-01-26 08:00</t>
        </is>
      </c>
      <c r="G395" s="11" t="n">
        <v>73869.95</v>
      </c>
      <c r="H395" s="5" t="inlineStr">
        <is>
          <t>m3</t>
        </is>
      </c>
      <c r="I395" s="5" t="inlineStr">
        <is>
          <t>cumulative</t>
        </is>
      </c>
      <c r="J395" s="5" t="inlineStr">
        <is>
          <t>CD</t>
        </is>
      </c>
      <c r="K395" s="5" t="inlineStr"/>
      <c r="L395" s="7">
        <f>IFERROR(IF(F395&lt;F394,"NEGATIVE",ROUND(F395-F394,2)),"")</f>
        <v/>
      </c>
    </row>
    <row r="396" ht="22" customHeight="1">
      <c r="B396" s="8" t="inlineStr">
        <is>
          <t>R00392</t>
        </is>
      </c>
      <c r="C396" s="8" t="inlineStr">
        <is>
          <t>MTR-CTW-004</t>
        </is>
      </c>
      <c r="D396" s="8" t="inlineStr">
        <is>
          <t>Cooling Tower</t>
        </is>
      </c>
      <c r="E396" s="8" t="inlineStr">
        <is>
          <t>Cooling Tower Cell 2</t>
        </is>
      </c>
      <c r="F396" s="8" t="inlineStr">
        <is>
          <t>2024-01-27 08:00</t>
        </is>
      </c>
      <c r="G396" s="12" t="n">
        <v>73897.94</v>
      </c>
      <c r="H396" s="8" t="inlineStr">
        <is>
          <t>m3</t>
        </is>
      </c>
      <c r="I396" s="8" t="inlineStr">
        <is>
          <t>cumulative</t>
        </is>
      </c>
      <c r="J396" s="8" t="inlineStr">
        <is>
          <t>KL</t>
        </is>
      </c>
      <c r="K396" s="8" t="inlineStr"/>
      <c r="L396" s="10">
        <f>IFERROR(IF(F396&lt;F395,"NEGATIVE",ROUND(F396-F395,2)),"")</f>
        <v/>
      </c>
    </row>
    <row r="397" ht="22" customHeight="1">
      <c r="B397" s="5" t="inlineStr">
        <is>
          <t>R00393</t>
        </is>
      </c>
      <c r="C397" s="5" t="inlineStr">
        <is>
          <t>MTR-CTW-004</t>
        </is>
      </c>
      <c r="D397" s="5" t="inlineStr">
        <is>
          <t>Cooling Tower</t>
        </is>
      </c>
      <c r="E397" s="5" t="inlineStr">
        <is>
          <t>Cooling Tower Cell 2</t>
        </is>
      </c>
      <c r="F397" s="5" t="inlineStr">
        <is>
          <t>2024-01-28 08:00</t>
        </is>
      </c>
      <c r="G397" s="11" t="n">
        <v>73918.59</v>
      </c>
      <c r="H397" s="5" t="inlineStr">
        <is>
          <t>m3</t>
        </is>
      </c>
      <c r="I397" s="5" t="inlineStr">
        <is>
          <t>cumulative</t>
        </is>
      </c>
      <c r="J397" s="5" t="inlineStr">
        <is>
          <t>CD</t>
        </is>
      </c>
      <c r="K397" s="5" t="inlineStr"/>
      <c r="L397" s="7">
        <f>IFERROR(IF(F397&lt;F396,"NEGATIVE",ROUND(F397-F396,2)),"")</f>
        <v/>
      </c>
    </row>
    <row r="398" ht="22" customHeight="1">
      <c r="B398" s="8" t="inlineStr">
        <is>
          <t>R00394</t>
        </is>
      </c>
      <c r="C398" s="8" t="inlineStr">
        <is>
          <t>MTR-CTW-004</t>
        </is>
      </c>
      <c r="D398" s="8" t="inlineStr">
        <is>
          <t>Cooling Tower</t>
        </is>
      </c>
      <c r="E398" s="8" t="inlineStr">
        <is>
          <t>Cooling Tower Cell 2</t>
        </is>
      </c>
      <c r="F398" s="8" t="inlineStr">
        <is>
          <t>2024-01-29 08:00</t>
        </is>
      </c>
      <c r="G398" s="12" t="n">
        <v>73950.85000000001</v>
      </c>
      <c r="H398" s="8" t="inlineStr">
        <is>
          <t>m3</t>
        </is>
      </c>
      <c r="I398" s="8" t="inlineStr">
        <is>
          <t>cumulative</t>
        </is>
      </c>
      <c r="J398" s="8" t="inlineStr">
        <is>
          <t>GH</t>
        </is>
      </c>
      <c r="K398" s="8" t="inlineStr"/>
      <c r="L398" s="10">
        <f>IFERROR(IF(F398&lt;F397,"NEGATIVE",ROUND(F398-F397,2)),"")</f>
        <v/>
      </c>
    </row>
    <row r="399" ht="22" customHeight="1">
      <c r="B399" s="5" t="inlineStr">
        <is>
          <t>R00395</t>
        </is>
      </c>
      <c r="C399" s="5" t="inlineStr">
        <is>
          <t>MTR-CTW-004</t>
        </is>
      </c>
      <c r="D399" s="5" t="inlineStr">
        <is>
          <t>Cooling Tower</t>
        </is>
      </c>
      <c r="E399" s="5" t="inlineStr">
        <is>
          <t>Cooling Tower Cell 2</t>
        </is>
      </c>
      <c r="F399" s="5" t="inlineStr">
        <is>
          <t>2024-01-30 08:00</t>
        </is>
      </c>
      <c r="G399" s="11" t="n">
        <v>73988.27</v>
      </c>
      <c r="H399" s="5" t="inlineStr">
        <is>
          <t>m3</t>
        </is>
      </c>
      <c r="I399" s="5" t="inlineStr">
        <is>
          <t>cumulative</t>
        </is>
      </c>
      <c r="J399" s="5" t="inlineStr">
        <is>
          <t>AB</t>
        </is>
      </c>
      <c r="K399" s="5" t="inlineStr"/>
      <c r="L399" s="7">
        <f>IFERROR(IF(F399&lt;F398,"NEGATIVE",ROUND(F399-F398,2)),"")</f>
        <v/>
      </c>
    </row>
    <row r="400" ht="22" customHeight="1">
      <c r="B400" s="8" t="inlineStr">
        <is>
          <t>R00396</t>
        </is>
      </c>
      <c r="C400" s="8" t="inlineStr">
        <is>
          <t>MTR-CTW-004</t>
        </is>
      </c>
      <c r="D400" s="8" t="inlineStr">
        <is>
          <t>Cooling Tower</t>
        </is>
      </c>
      <c r="E400" s="8" t="inlineStr">
        <is>
          <t>Cooling Tower Cell 2</t>
        </is>
      </c>
      <c r="F400" s="8" t="inlineStr">
        <is>
          <t>2024-01-31 08:00</t>
        </is>
      </c>
      <c r="G400" s="12" t="n">
        <v>74022.91</v>
      </c>
      <c r="H400" s="8" t="inlineStr">
        <is>
          <t>m3</t>
        </is>
      </c>
      <c r="I400" s="8" t="inlineStr">
        <is>
          <t>cumulative</t>
        </is>
      </c>
      <c r="J400" s="8" t="inlineStr">
        <is>
          <t>AB</t>
        </is>
      </c>
      <c r="K400" s="8" t="inlineStr"/>
      <c r="L400" s="10">
        <f>IFERROR(IF(F400&lt;F399,"NEGATIVE",ROUND(F400-F399,2)),"")</f>
        <v/>
      </c>
    </row>
    <row r="401" ht="22" customHeight="1">
      <c r="B401" s="5" t="inlineStr">
        <is>
          <t>R00397</t>
        </is>
      </c>
      <c r="C401" s="5" t="inlineStr">
        <is>
          <t>MTR-CTW-004</t>
        </is>
      </c>
      <c r="D401" s="5" t="inlineStr">
        <is>
          <t>Cooling Tower</t>
        </is>
      </c>
      <c r="E401" s="5" t="inlineStr">
        <is>
          <t>Cooling Tower Cell 2</t>
        </is>
      </c>
      <c r="F401" s="5" t="inlineStr">
        <is>
          <t>2024-02-01 08:00</t>
        </is>
      </c>
      <c r="G401" s="11" t="n">
        <v>74056.84</v>
      </c>
      <c r="H401" s="5" t="inlineStr">
        <is>
          <t>m3</t>
        </is>
      </c>
      <c r="I401" s="5" t="inlineStr">
        <is>
          <t>cumulative</t>
        </is>
      </c>
      <c r="J401" s="5" t="inlineStr">
        <is>
          <t>CD</t>
        </is>
      </c>
      <c r="K401" s="5" t="inlineStr"/>
      <c r="L401" s="7">
        <f>IFERROR(IF(F401&lt;F400,"NEGATIVE",ROUND(F401-F400,2)),"")</f>
        <v/>
      </c>
    </row>
    <row r="402" ht="22" customHeight="1">
      <c r="B402" s="8" t="inlineStr">
        <is>
          <t>R00398</t>
        </is>
      </c>
      <c r="C402" s="8" t="inlineStr">
        <is>
          <t>MTR-CTW-004</t>
        </is>
      </c>
      <c r="D402" s="8" t="inlineStr">
        <is>
          <t>Cooling Tower</t>
        </is>
      </c>
      <c r="E402" s="8" t="inlineStr">
        <is>
          <t>Cooling Tower Cell 2</t>
        </is>
      </c>
      <c r="F402" s="8" t="inlineStr">
        <is>
          <t>2024-02-02 08:00</t>
        </is>
      </c>
      <c r="G402" s="12" t="n">
        <v>74098.22</v>
      </c>
      <c r="H402" s="8" t="inlineStr">
        <is>
          <t>m3</t>
        </is>
      </c>
      <c r="I402" s="8" t="inlineStr">
        <is>
          <t>cumulative</t>
        </is>
      </c>
      <c r="J402" s="8" t="inlineStr">
        <is>
          <t>EF</t>
        </is>
      </c>
      <c r="K402" s="8" t="inlineStr"/>
      <c r="L402" s="10">
        <f>IFERROR(IF(F402&lt;F401,"NEGATIVE",ROUND(F402-F401,2)),"")</f>
        <v/>
      </c>
    </row>
    <row r="403" ht="22" customHeight="1">
      <c r="B403" s="5" t="inlineStr">
        <is>
          <t>R00399</t>
        </is>
      </c>
      <c r="C403" s="5" t="inlineStr">
        <is>
          <t>MTR-CTW-004</t>
        </is>
      </c>
      <c r="D403" s="5" t="inlineStr">
        <is>
          <t>Cooling Tower</t>
        </is>
      </c>
      <c r="E403" s="5" t="inlineStr">
        <is>
          <t>Cooling Tower Cell 2</t>
        </is>
      </c>
      <c r="F403" s="5" t="inlineStr">
        <is>
          <t>2024-02-03 08:00</t>
        </is>
      </c>
      <c r="G403" s="11" t="n">
        <v>74126.32000000001</v>
      </c>
      <c r="H403" s="5" t="inlineStr">
        <is>
          <t>m3</t>
        </is>
      </c>
      <c r="I403" s="5" t="inlineStr">
        <is>
          <t>cumulative</t>
        </is>
      </c>
      <c r="J403" s="5" t="inlineStr">
        <is>
          <t>KL</t>
        </is>
      </c>
      <c r="K403" s="5" t="inlineStr"/>
      <c r="L403" s="7">
        <f>IFERROR(IF(F403&lt;F402,"NEGATIVE",ROUND(F403-F402,2)),"")</f>
        <v/>
      </c>
    </row>
    <row r="404" ht="22" customHeight="1">
      <c r="B404" s="8" t="inlineStr">
        <is>
          <t>R00400</t>
        </is>
      </c>
      <c r="C404" s="8" t="inlineStr">
        <is>
          <t>MTR-CTW-004</t>
        </is>
      </c>
      <c r="D404" s="8" t="inlineStr">
        <is>
          <t>Cooling Tower</t>
        </is>
      </c>
      <c r="E404" s="8" t="inlineStr">
        <is>
          <t>Cooling Tower Cell 2</t>
        </is>
      </c>
      <c r="F404" s="8" t="inlineStr">
        <is>
          <t>2024-02-04 08:00</t>
        </is>
      </c>
      <c r="G404" s="12" t="n">
        <v>74145.14</v>
      </c>
      <c r="H404" s="8" t="inlineStr">
        <is>
          <t>m3</t>
        </is>
      </c>
      <c r="I404" s="8" t="inlineStr">
        <is>
          <t>cumulative</t>
        </is>
      </c>
      <c r="J404" s="8" t="inlineStr">
        <is>
          <t>AB</t>
        </is>
      </c>
      <c r="K404" s="8" t="inlineStr"/>
      <c r="L404" s="10">
        <f>IFERROR(IF(F404&lt;F403,"NEGATIVE",ROUND(F404-F403,2)),"")</f>
        <v/>
      </c>
    </row>
    <row r="405" ht="22" customHeight="1">
      <c r="B405" s="5" t="inlineStr">
        <is>
          <t>R00401</t>
        </is>
      </c>
      <c r="C405" s="5" t="inlineStr">
        <is>
          <t>MTR-CTW-004</t>
        </is>
      </c>
      <c r="D405" s="5" t="inlineStr">
        <is>
          <t>Cooling Tower</t>
        </is>
      </c>
      <c r="E405" s="5" t="inlineStr">
        <is>
          <t>Cooling Tower Cell 2</t>
        </is>
      </c>
      <c r="F405" s="5" t="inlineStr">
        <is>
          <t>2024-02-05 08:00</t>
        </is>
      </c>
      <c r="G405" s="11" t="n">
        <v>74184.2</v>
      </c>
      <c r="H405" s="5" t="inlineStr">
        <is>
          <t>m3</t>
        </is>
      </c>
      <c r="I405" s="5" t="inlineStr">
        <is>
          <t>cumulative</t>
        </is>
      </c>
      <c r="J405" s="5" t="inlineStr">
        <is>
          <t>IJ</t>
        </is>
      </c>
      <c r="K405" s="5" t="inlineStr"/>
      <c r="L405" s="7">
        <f>IFERROR(IF(F405&lt;F404,"NEGATIVE",ROUND(F405-F404,2)),"")</f>
        <v/>
      </c>
    </row>
    <row r="406" ht="22" customHeight="1">
      <c r="B406" s="8" t="inlineStr">
        <is>
          <t>R00402</t>
        </is>
      </c>
      <c r="C406" s="8" t="inlineStr">
        <is>
          <t>MTR-CTW-004</t>
        </is>
      </c>
      <c r="D406" s="8" t="inlineStr">
        <is>
          <t>Cooling Tower</t>
        </is>
      </c>
      <c r="E406" s="8" t="inlineStr">
        <is>
          <t>Cooling Tower Cell 2</t>
        </is>
      </c>
      <c r="F406" s="8" t="inlineStr">
        <is>
          <t>2024-02-06 08:00</t>
        </is>
      </c>
      <c r="G406" s="12" t="n">
        <v>74224.74000000001</v>
      </c>
      <c r="H406" s="8" t="inlineStr">
        <is>
          <t>m3</t>
        </is>
      </c>
      <c r="I406" s="8" t="inlineStr">
        <is>
          <t>cumulative</t>
        </is>
      </c>
      <c r="J406" s="8" t="inlineStr">
        <is>
          <t>CD</t>
        </is>
      </c>
      <c r="K406" s="8" t="inlineStr"/>
      <c r="L406" s="10">
        <f>IFERROR(IF(F406&lt;F405,"NEGATIVE",ROUND(F406-F405,2)),"")</f>
        <v/>
      </c>
    </row>
    <row r="407" ht="22" customHeight="1">
      <c r="B407" s="5" t="inlineStr">
        <is>
          <t>R00403</t>
        </is>
      </c>
      <c r="C407" s="5" t="inlineStr">
        <is>
          <t>MTR-CTW-004</t>
        </is>
      </c>
      <c r="D407" s="5" t="inlineStr">
        <is>
          <t>Cooling Tower</t>
        </is>
      </c>
      <c r="E407" s="5" t="inlineStr">
        <is>
          <t>Cooling Tower Cell 2</t>
        </is>
      </c>
      <c r="F407" s="5" t="inlineStr">
        <is>
          <t>2024-02-07 08:00</t>
        </is>
      </c>
      <c r="G407" s="11" t="n">
        <v>74260.42999999999</v>
      </c>
      <c r="H407" s="5" t="inlineStr">
        <is>
          <t>m3</t>
        </is>
      </c>
      <c r="I407" s="5" t="inlineStr">
        <is>
          <t>cumulative</t>
        </is>
      </c>
      <c r="J407" s="5" t="inlineStr">
        <is>
          <t>GH</t>
        </is>
      </c>
      <c r="K407" s="5" t="inlineStr"/>
      <c r="L407" s="7">
        <f>IFERROR(IF(F407&lt;F406,"NEGATIVE",ROUND(F407-F406,2)),"")</f>
        <v/>
      </c>
    </row>
    <row r="408" ht="22" customHeight="1">
      <c r="B408" s="8" t="inlineStr">
        <is>
          <t>R00404</t>
        </is>
      </c>
      <c r="C408" s="8" t="inlineStr">
        <is>
          <t>MTR-CTW-004</t>
        </is>
      </c>
      <c r="D408" s="8" t="inlineStr">
        <is>
          <t>Cooling Tower</t>
        </is>
      </c>
      <c r="E408" s="8" t="inlineStr">
        <is>
          <t>Cooling Tower Cell 2</t>
        </is>
      </c>
      <c r="F408" s="8" t="inlineStr">
        <is>
          <t>2024-02-08 08:00</t>
        </is>
      </c>
      <c r="G408" s="12" t="n">
        <v>74299.59</v>
      </c>
      <c r="H408" s="8" t="inlineStr">
        <is>
          <t>m3</t>
        </is>
      </c>
      <c r="I408" s="8" t="inlineStr">
        <is>
          <t>cumulative</t>
        </is>
      </c>
      <c r="J408" s="8" t="inlineStr">
        <is>
          <t>EF</t>
        </is>
      </c>
      <c r="K408" s="8" t="inlineStr"/>
      <c r="L408" s="10">
        <f>IFERROR(IF(F408&lt;F407,"NEGATIVE",ROUND(F408-F407,2)),"")</f>
        <v/>
      </c>
    </row>
    <row r="409" ht="22" customHeight="1">
      <c r="B409" s="5" t="inlineStr">
        <is>
          <t>R00405</t>
        </is>
      </c>
      <c r="C409" s="5" t="inlineStr">
        <is>
          <t>MTR-CTW-004</t>
        </is>
      </c>
      <c r="D409" s="5" t="inlineStr">
        <is>
          <t>Cooling Tower</t>
        </is>
      </c>
      <c r="E409" s="5" t="inlineStr">
        <is>
          <t>Cooling Tower Cell 2</t>
        </is>
      </c>
      <c r="F409" s="5" t="inlineStr">
        <is>
          <t>2024-02-09 08:00</t>
        </is>
      </c>
      <c r="G409" s="11" t="n">
        <v>74339.44</v>
      </c>
      <c r="H409" s="5" t="inlineStr">
        <is>
          <t>m3</t>
        </is>
      </c>
      <c r="I409" s="5" t="inlineStr">
        <is>
          <t>cumulative</t>
        </is>
      </c>
      <c r="J409" s="5" t="inlineStr">
        <is>
          <t>IJ</t>
        </is>
      </c>
      <c r="K409" s="5" t="inlineStr"/>
      <c r="L409" s="7">
        <f>IFERROR(IF(F409&lt;F408,"NEGATIVE",ROUND(F409-F408,2)),"")</f>
        <v/>
      </c>
    </row>
    <row r="410" ht="22" customHeight="1">
      <c r="B410" s="8" t="inlineStr">
        <is>
          <t>R00406</t>
        </is>
      </c>
      <c r="C410" s="8" t="inlineStr">
        <is>
          <t>MTR-CTW-004</t>
        </is>
      </c>
      <c r="D410" s="8" t="inlineStr">
        <is>
          <t>Cooling Tower</t>
        </is>
      </c>
      <c r="E410" s="8" t="inlineStr">
        <is>
          <t>Cooling Tower Cell 2</t>
        </is>
      </c>
      <c r="F410" s="8" t="inlineStr">
        <is>
          <t>2024-02-10 08:00</t>
        </is>
      </c>
      <c r="G410" s="12" t="n">
        <v>74371.67</v>
      </c>
      <c r="H410" s="8" t="inlineStr">
        <is>
          <t>m3</t>
        </is>
      </c>
      <c r="I410" s="8" t="inlineStr">
        <is>
          <t>cumulative</t>
        </is>
      </c>
      <c r="J410" s="8" t="inlineStr">
        <is>
          <t>CD</t>
        </is>
      </c>
      <c r="K410" s="8" t="inlineStr"/>
      <c r="L410" s="10">
        <f>IFERROR(IF(F410&lt;F409,"NEGATIVE",ROUND(F410-F409,2)),"")</f>
        <v/>
      </c>
    </row>
    <row r="411" ht="22" customHeight="1">
      <c r="B411" s="5" t="inlineStr">
        <is>
          <t>R00407</t>
        </is>
      </c>
      <c r="C411" s="5" t="inlineStr">
        <is>
          <t>MTR-CTW-004</t>
        </is>
      </c>
      <c r="D411" s="5" t="inlineStr">
        <is>
          <t>Cooling Tower</t>
        </is>
      </c>
      <c r="E411" s="5" t="inlineStr">
        <is>
          <t>Cooling Tower Cell 2</t>
        </is>
      </c>
      <c r="F411" s="5" t="inlineStr">
        <is>
          <t>2024-02-11 08:00</t>
        </is>
      </c>
      <c r="G411" s="11" t="n">
        <v>74391.95</v>
      </c>
      <c r="H411" s="5" t="inlineStr">
        <is>
          <t>m3</t>
        </is>
      </c>
      <c r="I411" s="5" t="inlineStr">
        <is>
          <t>cumulative</t>
        </is>
      </c>
      <c r="J411" s="5" t="inlineStr">
        <is>
          <t>KL</t>
        </is>
      </c>
      <c r="K411" s="5" t="inlineStr"/>
      <c r="L411" s="7">
        <f>IFERROR(IF(F411&lt;F410,"NEGATIVE",ROUND(F411-F410,2)),"")</f>
        <v/>
      </c>
    </row>
    <row r="412" ht="22" customHeight="1">
      <c r="B412" s="8" t="inlineStr">
        <is>
          <t>R00408</t>
        </is>
      </c>
      <c r="C412" s="8" t="inlineStr">
        <is>
          <t>MTR-CTW-004</t>
        </is>
      </c>
      <c r="D412" s="8" t="inlineStr">
        <is>
          <t>Cooling Tower</t>
        </is>
      </c>
      <c r="E412" s="8" t="inlineStr">
        <is>
          <t>Cooling Tower Cell 2</t>
        </is>
      </c>
      <c r="F412" s="8" t="inlineStr">
        <is>
          <t>2024-02-12 08:00</t>
        </is>
      </c>
      <c r="G412" s="12" t="n">
        <v>74426.12</v>
      </c>
      <c r="H412" s="8" t="inlineStr">
        <is>
          <t>m3</t>
        </is>
      </c>
      <c r="I412" s="8" t="inlineStr">
        <is>
          <t>cumulative</t>
        </is>
      </c>
      <c r="J412" s="8" t="inlineStr">
        <is>
          <t>KL</t>
        </is>
      </c>
      <c r="K412" s="8" t="inlineStr"/>
      <c r="L412" s="10">
        <f>IFERROR(IF(F412&lt;F411,"NEGATIVE",ROUND(F412-F411,2)),"")</f>
        <v/>
      </c>
    </row>
    <row r="413" ht="22" customHeight="1">
      <c r="B413" s="5" t="inlineStr">
        <is>
          <t>R00409</t>
        </is>
      </c>
      <c r="C413" s="5" t="inlineStr">
        <is>
          <t>MTR-CTW-004</t>
        </is>
      </c>
      <c r="D413" s="5" t="inlineStr">
        <is>
          <t>Cooling Tower</t>
        </is>
      </c>
      <c r="E413" s="5" t="inlineStr">
        <is>
          <t>Cooling Tower Cell 2</t>
        </is>
      </c>
      <c r="F413" s="5" t="inlineStr">
        <is>
          <t>2024-02-13 08:00</t>
        </is>
      </c>
      <c r="G413" s="11" t="n">
        <v>74465.25</v>
      </c>
      <c r="H413" s="5" t="inlineStr">
        <is>
          <t>m3</t>
        </is>
      </c>
      <c r="I413" s="5" t="inlineStr">
        <is>
          <t>cumulative</t>
        </is>
      </c>
      <c r="J413" s="5" t="inlineStr">
        <is>
          <t>KL</t>
        </is>
      </c>
      <c r="K413" s="5" t="inlineStr"/>
      <c r="L413" s="7">
        <f>IFERROR(IF(F413&lt;F412,"NEGATIVE",ROUND(F413-F412,2)),"")</f>
        <v/>
      </c>
    </row>
    <row r="414" ht="22" customHeight="1">
      <c r="B414" s="8" t="inlineStr">
        <is>
          <t>R00410</t>
        </is>
      </c>
      <c r="C414" s="8" t="inlineStr">
        <is>
          <t>MTR-CTW-004</t>
        </is>
      </c>
      <c r="D414" s="8" t="inlineStr">
        <is>
          <t>Cooling Tower</t>
        </is>
      </c>
      <c r="E414" s="8" t="inlineStr">
        <is>
          <t>Cooling Tower Cell 2</t>
        </is>
      </c>
      <c r="F414" s="8" t="inlineStr">
        <is>
          <t>2024-02-14 08:00</t>
        </is>
      </c>
      <c r="G414" s="12" t="n">
        <v>74506.96000000001</v>
      </c>
      <c r="H414" s="8" t="inlineStr">
        <is>
          <t>m3</t>
        </is>
      </c>
      <c r="I414" s="8" t="inlineStr">
        <is>
          <t>cumulative</t>
        </is>
      </c>
      <c r="J414" s="8" t="inlineStr">
        <is>
          <t>EF</t>
        </is>
      </c>
      <c r="K414" s="8" t="inlineStr"/>
      <c r="L414" s="10">
        <f>IFERROR(IF(F414&lt;F413,"NEGATIVE",ROUND(F414-F413,2)),"")</f>
        <v/>
      </c>
    </row>
    <row r="415" ht="22" customHeight="1">
      <c r="B415" s="5" t="inlineStr">
        <is>
          <t>R00411</t>
        </is>
      </c>
      <c r="C415" s="5" t="inlineStr">
        <is>
          <t>MTR-CTW-004</t>
        </is>
      </c>
      <c r="D415" s="5" t="inlineStr">
        <is>
          <t>Cooling Tower</t>
        </is>
      </c>
      <c r="E415" s="5" t="inlineStr">
        <is>
          <t>Cooling Tower Cell 2</t>
        </is>
      </c>
      <c r="F415" s="5" t="inlineStr">
        <is>
          <t>2024-02-15 08:00</t>
        </is>
      </c>
      <c r="G415" s="11" t="n">
        <v>74549.28</v>
      </c>
      <c r="H415" s="5" t="inlineStr">
        <is>
          <t>m3</t>
        </is>
      </c>
      <c r="I415" s="5" t="inlineStr">
        <is>
          <t>cumulative</t>
        </is>
      </c>
      <c r="J415" s="5" t="inlineStr">
        <is>
          <t>AB</t>
        </is>
      </c>
      <c r="K415" s="5" t="inlineStr"/>
      <c r="L415" s="7">
        <f>IFERROR(IF(F415&lt;F414,"NEGATIVE",ROUND(F415-F414,2)),"")</f>
        <v/>
      </c>
    </row>
    <row r="416" ht="22" customHeight="1">
      <c r="B416" s="8" t="inlineStr">
        <is>
          <t>R00412</t>
        </is>
      </c>
      <c r="C416" s="8" t="inlineStr">
        <is>
          <t>MTR-CTW-004</t>
        </is>
      </c>
      <c r="D416" s="8" t="inlineStr">
        <is>
          <t>Cooling Tower</t>
        </is>
      </c>
      <c r="E416" s="8" t="inlineStr">
        <is>
          <t>Cooling Tower Cell 2</t>
        </is>
      </c>
      <c r="F416" s="8" t="inlineStr">
        <is>
          <t>2024-02-16 08:00</t>
        </is>
      </c>
      <c r="G416" s="12" t="n">
        <v>74582.16</v>
      </c>
      <c r="H416" s="8" t="inlineStr">
        <is>
          <t>m3</t>
        </is>
      </c>
      <c r="I416" s="8" t="inlineStr">
        <is>
          <t>cumulative</t>
        </is>
      </c>
      <c r="J416" s="8" t="inlineStr">
        <is>
          <t>GH</t>
        </is>
      </c>
      <c r="K416" s="8" t="inlineStr"/>
      <c r="L416" s="10">
        <f>IFERROR(IF(F416&lt;F415,"NEGATIVE",ROUND(F416-F415,2)),"")</f>
        <v/>
      </c>
    </row>
    <row r="417" ht="22" customHeight="1">
      <c r="B417" s="5" t="inlineStr">
        <is>
          <t>R00413</t>
        </is>
      </c>
      <c r="C417" s="5" t="inlineStr">
        <is>
          <t>MTR-CTW-004</t>
        </is>
      </c>
      <c r="D417" s="5" t="inlineStr">
        <is>
          <t>Cooling Tower</t>
        </is>
      </c>
      <c r="E417" s="5" t="inlineStr">
        <is>
          <t>Cooling Tower Cell 2</t>
        </is>
      </c>
      <c r="F417" s="5" t="inlineStr">
        <is>
          <t>2024-02-17 08:00</t>
        </is>
      </c>
      <c r="G417" s="11" t="n">
        <v>74615.13</v>
      </c>
      <c r="H417" s="5" t="inlineStr">
        <is>
          <t>m3</t>
        </is>
      </c>
      <c r="I417" s="5" t="inlineStr">
        <is>
          <t>cumulative</t>
        </is>
      </c>
      <c r="J417" s="5" t="inlineStr">
        <is>
          <t>GH</t>
        </is>
      </c>
      <c r="K417" s="5" t="inlineStr"/>
      <c r="L417" s="7">
        <f>IFERROR(IF(F417&lt;F416,"NEGATIVE",ROUND(F417-F416,2)),"")</f>
        <v/>
      </c>
    </row>
    <row r="418" ht="22" customHeight="1">
      <c r="B418" s="8" t="inlineStr">
        <is>
          <t>R00414</t>
        </is>
      </c>
      <c r="C418" s="8" t="inlineStr">
        <is>
          <t>MTR-CTW-004</t>
        </is>
      </c>
      <c r="D418" s="8" t="inlineStr">
        <is>
          <t>Cooling Tower</t>
        </is>
      </c>
      <c r="E418" s="8" t="inlineStr">
        <is>
          <t>Cooling Tower Cell 2</t>
        </is>
      </c>
      <c r="F418" s="8" t="inlineStr">
        <is>
          <t>2024-02-18 08:00</t>
        </is>
      </c>
      <c r="G418" s="12" t="n">
        <v>74633.98</v>
      </c>
      <c r="H418" s="8" t="inlineStr">
        <is>
          <t>m3</t>
        </is>
      </c>
      <c r="I418" s="8" t="inlineStr">
        <is>
          <t>cumulative</t>
        </is>
      </c>
      <c r="J418" s="8" t="inlineStr">
        <is>
          <t>KL</t>
        </is>
      </c>
      <c r="K418" s="8" t="inlineStr"/>
      <c r="L418" s="10">
        <f>IFERROR(IF(F418&lt;F417,"NEGATIVE",ROUND(F418-F417,2)),"")</f>
        <v/>
      </c>
    </row>
    <row r="419" ht="22" customHeight="1">
      <c r="B419" s="5" t="inlineStr">
        <is>
          <t>R00415</t>
        </is>
      </c>
      <c r="C419" s="5" t="inlineStr">
        <is>
          <t>MTR-CTW-004</t>
        </is>
      </c>
      <c r="D419" s="5" t="inlineStr">
        <is>
          <t>Cooling Tower</t>
        </is>
      </c>
      <c r="E419" s="5" t="inlineStr">
        <is>
          <t>Cooling Tower Cell 2</t>
        </is>
      </c>
      <c r="F419" s="5" t="inlineStr">
        <is>
          <t>2024-02-19 08:00</t>
        </is>
      </c>
      <c r="G419" s="11" t="n">
        <v>74666.46000000001</v>
      </c>
      <c r="H419" s="5" t="inlineStr">
        <is>
          <t>m3</t>
        </is>
      </c>
      <c r="I419" s="5" t="inlineStr">
        <is>
          <t>cumulative</t>
        </is>
      </c>
      <c r="J419" s="5" t="inlineStr">
        <is>
          <t>KL</t>
        </is>
      </c>
      <c r="K419" s="5" t="inlineStr"/>
      <c r="L419" s="7">
        <f>IFERROR(IF(F419&lt;F418,"NEGATIVE",ROUND(F419-F418,2)),"")</f>
        <v/>
      </c>
    </row>
    <row r="420" ht="22" customHeight="1">
      <c r="B420" s="8" t="inlineStr">
        <is>
          <t>R00416</t>
        </is>
      </c>
      <c r="C420" s="8" t="inlineStr">
        <is>
          <t>MTR-CTW-004</t>
        </is>
      </c>
      <c r="D420" s="8" t="inlineStr">
        <is>
          <t>Cooling Tower</t>
        </is>
      </c>
      <c r="E420" s="8" t="inlineStr">
        <is>
          <t>Cooling Tower Cell 2</t>
        </is>
      </c>
      <c r="F420" s="8" t="inlineStr">
        <is>
          <t>2024-02-20 08:00</t>
        </is>
      </c>
      <c r="G420" s="12" t="n">
        <v>74701.78999999999</v>
      </c>
      <c r="H420" s="8" t="inlineStr">
        <is>
          <t>m3</t>
        </is>
      </c>
      <c r="I420" s="8" t="inlineStr">
        <is>
          <t>cumulative</t>
        </is>
      </c>
      <c r="J420" s="8" t="inlineStr">
        <is>
          <t>GH</t>
        </is>
      </c>
      <c r="K420" s="8" t="inlineStr"/>
      <c r="L420" s="10">
        <f>IFERROR(IF(F420&lt;F419,"NEGATIVE",ROUND(F420-F419,2)),"")</f>
        <v/>
      </c>
    </row>
    <row r="421" ht="22" customHeight="1">
      <c r="B421" s="5" t="inlineStr">
        <is>
          <t>R00417</t>
        </is>
      </c>
      <c r="C421" s="5" t="inlineStr">
        <is>
          <t>MTR-CTW-004</t>
        </is>
      </c>
      <c r="D421" s="5" t="inlineStr">
        <is>
          <t>Cooling Tower</t>
        </is>
      </c>
      <c r="E421" s="5" t="inlineStr">
        <is>
          <t>Cooling Tower Cell 2</t>
        </is>
      </c>
      <c r="F421" s="5" t="inlineStr">
        <is>
          <t>2024-02-21 08:00</t>
        </is>
      </c>
      <c r="G421" s="11" t="n">
        <v>74734.42</v>
      </c>
      <c r="H421" s="5" t="inlineStr">
        <is>
          <t>m3</t>
        </is>
      </c>
      <c r="I421" s="5" t="inlineStr">
        <is>
          <t>cumulative</t>
        </is>
      </c>
      <c r="J421" s="5" t="inlineStr">
        <is>
          <t>AB</t>
        </is>
      </c>
      <c r="K421" s="5" t="inlineStr"/>
      <c r="L421" s="7">
        <f>IFERROR(IF(F421&lt;F420,"NEGATIVE",ROUND(F421-F420,2)),"")</f>
        <v/>
      </c>
    </row>
    <row r="422" ht="22" customHeight="1">
      <c r="B422" s="8" t="inlineStr">
        <is>
          <t>R00418</t>
        </is>
      </c>
      <c r="C422" s="8" t="inlineStr">
        <is>
          <t>MTR-CTW-004</t>
        </is>
      </c>
      <c r="D422" s="8" t="inlineStr">
        <is>
          <t>Cooling Tower</t>
        </is>
      </c>
      <c r="E422" s="8" t="inlineStr">
        <is>
          <t>Cooling Tower Cell 2</t>
        </is>
      </c>
      <c r="F422" s="8" t="inlineStr">
        <is>
          <t>2024-02-22 08:00</t>
        </is>
      </c>
      <c r="G422" s="12" t="n">
        <v>74771.88</v>
      </c>
      <c r="H422" s="8" t="inlineStr">
        <is>
          <t>m3</t>
        </is>
      </c>
      <c r="I422" s="8" t="inlineStr">
        <is>
          <t>cumulative</t>
        </is>
      </c>
      <c r="J422" s="8" t="inlineStr">
        <is>
          <t>EF</t>
        </is>
      </c>
      <c r="K422" s="8" t="inlineStr"/>
      <c r="L422" s="10">
        <f>IFERROR(IF(F422&lt;F421,"NEGATIVE",ROUND(F422-F421,2)),"")</f>
        <v/>
      </c>
    </row>
    <row r="423" ht="22" customHeight="1">
      <c r="B423" s="5" t="inlineStr">
        <is>
          <t>R00419</t>
        </is>
      </c>
      <c r="C423" s="5" t="inlineStr">
        <is>
          <t>MTR-CTW-004</t>
        </is>
      </c>
      <c r="D423" s="5" t="inlineStr">
        <is>
          <t>Cooling Tower</t>
        </is>
      </c>
      <c r="E423" s="5" t="inlineStr">
        <is>
          <t>Cooling Tower Cell 2</t>
        </is>
      </c>
      <c r="F423" s="5" t="inlineStr">
        <is>
          <t>2024-02-23 08:00</t>
        </is>
      </c>
      <c r="G423" s="11" t="n">
        <v>74810.59</v>
      </c>
      <c r="H423" s="5" t="inlineStr">
        <is>
          <t>m3</t>
        </is>
      </c>
      <c r="I423" s="5" t="inlineStr">
        <is>
          <t>cumulative</t>
        </is>
      </c>
      <c r="J423" s="5" t="inlineStr">
        <is>
          <t>GH</t>
        </is>
      </c>
      <c r="K423" s="5" t="inlineStr"/>
      <c r="L423" s="7">
        <f>IFERROR(IF(F423&lt;F422,"NEGATIVE",ROUND(F423-F422,2)),"")</f>
        <v/>
      </c>
    </row>
    <row r="424" ht="22" customHeight="1">
      <c r="B424" s="8" t="inlineStr">
        <is>
          <t>R00420</t>
        </is>
      </c>
      <c r="C424" s="8" t="inlineStr">
        <is>
          <t>MTR-CTW-004</t>
        </is>
      </c>
      <c r="D424" s="8" t="inlineStr">
        <is>
          <t>Cooling Tower</t>
        </is>
      </c>
      <c r="E424" s="8" t="inlineStr">
        <is>
          <t>Cooling Tower Cell 2</t>
        </is>
      </c>
      <c r="F424" s="8" t="inlineStr">
        <is>
          <t>2024-02-24 08:00</t>
        </is>
      </c>
      <c r="G424" s="12" t="n">
        <v>74842.16</v>
      </c>
      <c r="H424" s="8" t="inlineStr">
        <is>
          <t>m3</t>
        </is>
      </c>
      <c r="I424" s="8" t="inlineStr">
        <is>
          <t>cumulative</t>
        </is>
      </c>
      <c r="J424" s="8" t="inlineStr">
        <is>
          <t>AB</t>
        </is>
      </c>
      <c r="K424" s="8" t="inlineStr"/>
      <c r="L424" s="10">
        <f>IFERROR(IF(F424&lt;F423,"NEGATIVE",ROUND(F424-F423,2)),"")</f>
        <v/>
      </c>
    </row>
    <row r="425" ht="22" customHeight="1">
      <c r="B425" s="5" t="inlineStr">
        <is>
          <t>R00421</t>
        </is>
      </c>
      <c r="C425" s="5" t="inlineStr">
        <is>
          <t>MTR-CTW-004</t>
        </is>
      </c>
      <c r="D425" s="5" t="inlineStr">
        <is>
          <t>Cooling Tower</t>
        </is>
      </c>
      <c r="E425" s="5" t="inlineStr">
        <is>
          <t>Cooling Tower Cell 2</t>
        </is>
      </c>
      <c r="F425" s="5" t="inlineStr">
        <is>
          <t>2024-02-25 08:00</t>
        </is>
      </c>
      <c r="G425" s="11" t="n">
        <v>74864.07000000001</v>
      </c>
      <c r="H425" s="5" t="inlineStr">
        <is>
          <t>m3</t>
        </is>
      </c>
      <c r="I425" s="5" t="inlineStr">
        <is>
          <t>cumulative</t>
        </is>
      </c>
      <c r="J425" s="5" t="inlineStr">
        <is>
          <t>GH</t>
        </is>
      </c>
      <c r="K425" s="5" t="inlineStr"/>
      <c r="L425" s="7">
        <f>IFERROR(IF(F425&lt;F424,"NEGATIVE",ROUND(F425-F424,2)),"")</f>
        <v/>
      </c>
    </row>
    <row r="426" ht="22" customHeight="1">
      <c r="B426" s="8" t="inlineStr">
        <is>
          <t>R00422</t>
        </is>
      </c>
      <c r="C426" s="8" t="inlineStr">
        <is>
          <t>MTR-CTW-004</t>
        </is>
      </c>
      <c r="D426" s="8" t="inlineStr">
        <is>
          <t>Cooling Tower</t>
        </is>
      </c>
      <c r="E426" s="8" t="inlineStr">
        <is>
          <t>Cooling Tower Cell 2</t>
        </is>
      </c>
      <c r="F426" s="8" t="inlineStr">
        <is>
          <t>2024-02-26 08:00</t>
        </is>
      </c>
      <c r="G426" s="12" t="n">
        <v>74903.24000000001</v>
      </c>
      <c r="H426" s="8" t="inlineStr">
        <is>
          <t>m3</t>
        </is>
      </c>
      <c r="I426" s="8" t="inlineStr">
        <is>
          <t>cumulative</t>
        </is>
      </c>
      <c r="J426" s="8" t="inlineStr">
        <is>
          <t>IJ</t>
        </is>
      </c>
      <c r="K426" s="8" t="inlineStr"/>
      <c r="L426" s="10">
        <f>IFERROR(IF(F426&lt;F425,"NEGATIVE",ROUND(F426-F425,2)),"")</f>
        <v/>
      </c>
    </row>
    <row r="427" ht="22" customHeight="1">
      <c r="B427" s="5" t="inlineStr">
        <is>
          <t>R00423</t>
        </is>
      </c>
      <c r="C427" s="5" t="inlineStr">
        <is>
          <t>MTR-CTW-004</t>
        </is>
      </c>
      <c r="D427" s="5" t="inlineStr">
        <is>
          <t>Cooling Tower</t>
        </is>
      </c>
      <c r="E427" s="5" t="inlineStr">
        <is>
          <t>Cooling Tower Cell 2</t>
        </is>
      </c>
      <c r="F427" s="5" t="inlineStr">
        <is>
          <t>2024-02-27 08:00</t>
        </is>
      </c>
      <c r="G427" s="11" t="n">
        <v>74938.17999999999</v>
      </c>
      <c r="H427" s="5" t="inlineStr">
        <is>
          <t>m3</t>
        </is>
      </c>
      <c r="I427" s="5" t="inlineStr">
        <is>
          <t>cumulative</t>
        </is>
      </c>
      <c r="J427" s="5" t="inlineStr">
        <is>
          <t>GH</t>
        </is>
      </c>
      <c r="K427" s="5" t="inlineStr"/>
      <c r="L427" s="7">
        <f>IFERROR(IF(F427&lt;F426,"NEGATIVE",ROUND(F427-F426,2)),"")</f>
        <v/>
      </c>
    </row>
    <row r="428" ht="22" customHeight="1">
      <c r="B428" s="8" t="inlineStr">
        <is>
          <t>R00424</t>
        </is>
      </c>
      <c r="C428" s="8" t="inlineStr">
        <is>
          <t>MTR-CTW-004</t>
        </is>
      </c>
      <c r="D428" s="8" t="inlineStr">
        <is>
          <t>Cooling Tower</t>
        </is>
      </c>
      <c r="E428" s="8" t="inlineStr">
        <is>
          <t>Cooling Tower Cell 2</t>
        </is>
      </c>
      <c r="F428" s="8" t="inlineStr">
        <is>
          <t>2024-02-28 08:00</t>
        </is>
      </c>
      <c r="G428" s="12" t="n">
        <v>74974.22</v>
      </c>
      <c r="H428" s="8" t="inlineStr">
        <is>
          <t>m3</t>
        </is>
      </c>
      <c r="I428" s="8" t="inlineStr">
        <is>
          <t>cumulative</t>
        </is>
      </c>
      <c r="J428" s="8" t="inlineStr">
        <is>
          <t>IJ</t>
        </is>
      </c>
      <c r="K428" s="8" t="inlineStr"/>
      <c r="L428" s="10">
        <f>IFERROR(IF(F428&lt;F427,"NEGATIVE",ROUND(F428-F427,2)),"")</f>
        <v/>
      </c>
    </row>
    <row r="429" ht="22" customHeight="1">
      <c r="B429" s="5" t="inlineStr">
        <is>
          <t>R00425</t>
        </is>
      </c>
      <c r="C429" s="5" t="inlineStr">
        <is>
          <t>MTR-CTW-004</t>
        </is>
      </c>
      <c r="D429" s="5" t="inlineStr">
        <is>
          <t>Cooling Tower</t>
        </is>
      </c>
      <c r="E429" s="5" t="inlineStr">
        <is>
          <t>Cooling Tower Cell 2</t>
        </is>
      </c>
      <c r="F429" s="5" t="inlineStr">
        <is>
          <t>2024-02-29 08:00</t>
        </is>
      </c>
      <c r="G429" s="11" t="n">
        <v>75014.24000000001</v>
      </c>
      <c r="H429" s="5" t="inlineStr">
        <is>
          <t>m3</t>
        </is>
      </c>
      <c r="I429" s="5" t="inlineStr">
        <is>
          <t>cumulative</t>
        </is>
      </c>
      <c r="J429" s="5" t="inlineStr">
        <is>
          <t>KL</t>
        </is>
      </c>
      <c r="K429" s="5" t="inlineStr"/>
      <c r="L429" s="7">
        <f>IFERROR(IF(F429&lt;F428,"NEGATIVE",ROUND(F429-F428,2)),"")</f>
        <v/>
      </c>
    </row>
    <row r="430" ht="22" customHeight="1">
      <c r="B430" s="8" t="inlineStr">
        <is>
          <t>R00426</t>
        </is>
      </c>
      <c r="C430" s="8" t="inlineStr">
        <is>
          <t>MTR-CTW-004</t>
        </is>
      </c>
      <c r="D430" s="8" t="inlineStr">
        <is>
          <t>Cooling Tower</t>
        </is>
      </c>
      <c r="E430" s="8" t="inlineStr">
        <is>
          <t>Cooling Tower Cell 2</t>
        </is>
      </c>
      <c r="F430" s="8" t="inlineStr">
        <is>
          <t>2024-03-01 08:00</t>
        </is>
      </c>
      <c r="G430" s="12" t="n">
        <v>75052.88</v>
      </c>
      <c r="H430" s="8" t="inlineStr">
        <is>
          <t>m3</t>
        </is>
      </c>
      <c r="I430" s="8" t="inlineStr">
        <is>
          <t>cumulative</t>
        </is>
      </c>
      <c r="J430" s="8" t="inlineStr">
        <is>
          <t>IJ</t>
        </is>
      </c>
      <c r="K430" s="8" t="inlineStr"/>
      <c r="L430" s="10">
        <f>IFERROR(IF(F430&lt;F429,"NEGATIVE",ROUND(F430-F429,2)),"")</f>
        <v/>
      </c>
    </row>
    <row r="431" ht="22" customHeight="1">
      <c r="B431" s="5" t="inlineStr">
        <is>
          <t>R00427</t>
        </is>
      </c>
      <c r="C431" s="5" t="inlineStr">
        <is>
          <t>MTR-CTW-004</t>
        </is>
      </c>
      <c r="D431" s="5" t="inlineStr">
        <is>
          <t>Cooling Tower</t>
        </is>
      </c>
      <c r="E431" s="5" t="inlineStr">
        <is>
          <t>Cooling Tower Cell 2</t>
        </is>
      </c>
      <c r="F431" s="5" t="inlineStr">
        <is>
          <t>2024-03-02 08:00</t>
        </is>
      </c>
      <c r="G431" s="11" t="n">
        <v>75082.67</v>
      </c>
      <c r="H431" s="5" t="inlineStr">
        <is>
          <t>m3</t>
        </is>
      </c>
      <c r="I431" s="5" t="inlineStr">
        <is>
          <t>cumulative</t>
        </is>
      </c>
      <c r="J431" s="5" t="inlineStr">
        <is>
          <t>KL</t>
        </is>
      </c>
      <c r="K431" s="5" t="inlineStr"/>
      <c r="L431" s="7">
        <f>IFERROR(IF(F431&lt;F430,"NEGATIVE",ROUND(F431-F430,2)),"")</f>
        <v/>
      </c>
    </row>
    <row r="432" ht="22" customHeight="1">
      <c r="B432" s="8" t="inlineStr">
        <is>
          <t>R00428</t>
        </is>
      </c>
      <c r="C432" s="8" t="inlineStr">
        <is>
          <t>MTR-CTW-004</t>
        </is>
      </c>
      <c r="D432" s="8" t="inlineStr">
        <is>
          <t>Cooling Tower</t>
        </is>
      </c>
      <c r="E432" s="8" t="inlineStr">
        <is>
          <t>Cooling Tower Cell 2</t>
        </is>
      </c>
      <c r="F432" s="8" t="inlineStr">
        <is>
          <t>2024-03-03 08:00</t>
        </is>
      </c>
      <c r="G432" s="12" t="n">
        <v>75105.11</v>
      </c>
      <c r="H432" s="8" t="inlineStr">
        <is>
          <t>m3</t>
        </is>
      </c>
      <c r="I432" s="8" t="inlineStr">
        <is>
          <t>cumulative</t>
        </is>
      </c>
      <c r="J432" s="8" t="inlineStr">
        <is>
          <t>EF</t>
        </is>
      </c>
      <c r="K432" s="8" t="inlineStr"/>
      <c r="L432" s="10">
        <f>IFERROR(IF(F432&lt;F431,"NEGATIVE",ROUND(F432-F431,2)),"")</f>
        <v/>
      </c>
    </row>
    <row r="433" ht="22" customHeight="1">
      <c r="B433" s="5" t="inlineStr">
        <is>
          <t>R00429</t>
        </is>
      </c>
      <c r="C433" s="5" t="inlineStr">
        <is>
          <t>MTR-CTW-004</t>
        </is>
      </c>
      <c r="D433" s="5" t="inlineStr">
        <is>
          <t>Cooling Tower</t>
        </is>
      </c>
      <c r="E433" s="5" t="inlineStr">
        <is>
          <t>Cooling Tower Cell 2</t>
        </is>
      </c>
      <c r="F433" s="5" t="inlineStr">
        <is>
          <t>2024-03-04 08:00</t>
        </is>
      </c>
      <c r="G433" s="11" t="n">
        <v>75149.25</v>
      </c>
      <c r="H433" s="5" t="inlineStr">
        <is>
          <t>m3</t>
        </is>
      </c>
      <c r="I433" s="5" t="inlineStr">
        <is>
          <t>cumulative</t>
        </is>
      </c>
      <c r="J433" s="5" t="inlineStr">
        <is>
          <t>KL</t>
        </is>
      </c>
      <c r="K433" s="5" t="inlineStr"/>
      <c r="L433" s="7">
        <f>IFERROR(IF(F433&lt;F432,"NEGATIVE",ROUND(F433-F432,2)),"")</f>
        <v/>
      </c>
    </row>
    <row r="434" ht="22" customHeight="1">
      <c r="B434" s="8" t="inlineStr">
        <is>
          <t>R00430</t>
        </is>
      </c>
      <c r="C434" s="8" t="inlineStr">
        <is>
          <t>MTR-CTW-004</t>
        </is>
      </c>
      <c r="D434" s="8" t="inlineStr">
        <is>
          <t>Cooling Tower</t>
        </is>
      </c>
      <c r="E434" s="8" t="inlineStr">
        <is>
          <t>Cooling Tower Cell 2</t>
        </is>
      </c>
      <c r="F434" s="8" t="inlineStr">
        <is>
          <t>2024-03-05 08:00</t>
        </is>
      </c>
      <c r="G434" s="12" t="n">
        <v>75185.31</v>
      </c>
      <c r="H434" s="8" t="inlineStr">
        <is>
          <t>m3</t>
        </is>
      </c>
      <c r="I434" s="8" t="inlineStr">
        <is>
          <t>cumulative</t>
        </is>
      </c>
      <c r="J434" s="8" t="inlineStr">
        <is>
          <t>GH</t>
        </is>
      </c>
      <c r="K434" s="8" t="inlineStr"/>
      <c r="L434" s="10">
        <f>IFERROR(IF(F434&lt;F433,"NEGATIVE",ROUND(F434-F433,2)),"")</f>
        <v/>
      </c>
    </row>
    <row r="435" ht="22" customHeight="1">
      <c r="B435" s="5" t="inlineStr">
        <is>
          <t>R00431</t>
        </is>
      </c>
      <c r="C435" s="5" t="inlineStr">
        <is>
          <t>MTR-CTW-004</t>
        </is>
      </c>
      <c r="D435" s="5" t="inlineStr">
        <is>
          <t>Cooling Tower</t>
        </is>
      </c>
      <c r="E435" s="5" t="inlineStr">
        <is>
          <t>Cooling Tower Cell 2</t>
        </is>
      </c>
      <c r="F435" s="5" t="inlineStr">
        <is>
          <t>2024-03-06 08:00</t>
        </is>
      </c>
      <c r="G435" s="11" t="n">
        <v>75219.42</v>
      </c>
      <c r="H435" s="5" t="inlineStr">
        <is>
          <t>m3</t>
        </is>
      </c>
      <c r="I435" s="5" t="inlineStr">
        <is>
          <t>cumulative</t>
        </is>
      </c>
      <c r="J435" s="5" t="inlineStr">
        <is>
          <t>CD</t>
        </is>
      </c>
      <c r="K435" s="5" t="inlineStr"/>
      <c r="L435" s="7">
        <f>IFERROR(IF(F435&lt;F434,"NEGATIVE",ROUND(F435-F434,2)),"")</f>
        <v/>
      </c>
    </row>
    <row r="436" ht="22" customHeight="1">
      <c r="B436" s="8" t="inlineStr">
        <is>
          <t>R00432</t>
        </is>
      </c>
      <c r="C436" s="8" t="inlineStr">
        <is>
          <t>MTR-CTW-004</t>
        </is>
      </c>
      <c r="D436" s="8" t="inlineStr">
        <is>
          <t>Cooling Tower</t>
        </is>
      </c>
      <c r="E436" s="8" t="inlineStr">
        <is>
          <t>Cooling Tower Cell 2</t>
        </is>
      </c>
      <c r="F436" s="8" t="inlineStr">
        <is>
          <t>2024-03-07 08:00</t>
        </is>
      </c>
      <c r="G436" s="12" t="n">
        <v>75264.10000000001</v>
      </c>
      <c r="H436" s="8" t="inlineStr">
        <is>
          <t>m3</t>
        </is>
      </c>
      <c r="I436" s="8" t="inlineStr">
        <is>
          <t>cumulative</t>
        </is>
      </c>
      <c r="J436" s="8" t="inlineStr">
        <is>
          <t>EF</t>
        </is>
      </c>
      <c r="K436" s="8" t="inlineStr"/>
      <c r="L436" s="10">
        <f>IFERROR(IF(F436&lt;F435,"NEGATIVE",ROUND(F436-F435,2)),"")</f>
        <v/>
      </c>
    </row>
    <row r="437" ht="22" customHeight="1">
      <c r="B437" s="5" t="inlineStr">
        <is>
          <t>R00433</t>
        </is>
      </c>
      <c r="C437" s="5" t="inlineStr">
        <is>
          <t>MTR-CTW-004</t>
        </is>
      </c>
      <c r="D437" s="5" t="inlineStr">
        <is>
          <t>Cooling Tower</t>
        </is>
      </c>
      <c r="E437" s="5" t="inlineStr">
        <is>
          <t>Cooling Tower Cell 2</t>
        </is>
      </c>
      <c r="F437" s="5" t="inlineStr">
        <is>
          <t>2024-03-08 08:00</t>
        </is>
      </c>
      <c r="G437" s="11" t="n">
        <v>75300.00999999999</v>
      </c>
      <c r="H437" s="5" t="inlineStr">
        <is>
          <t>m3</t>
        </is>
      </c>
      <c r="I437" s="5" t="inlineStr">
        <is>
          <t>cumulative</t>
        </is>
      </c>
      <c r="J437" s="5" t="inlineStr">
        <is>
          <t>IJ</t>
        </is>
      </c>
      <c r="K437" s="5" t="inlineStr"/>
      <c r="L437" s="7">
        <f>IFERROR(IF(F437&lt;F436,"NEGATIVE",ROUND(F437-F436,2)),"")</f>
        <v/>
      </c>
    </row>
    <row r="438" ht="22" customHeight="1">
      <c r="B438" s="8" t="inlineStr">
        <is>
          <t>R00434</t>
        </is>
      </c>
      <c r="C438" s="8" t="inlineStr">
        <is>
          <t>MTR-CTW-004</t>
        </is>
      </c>
      <c r="D438" s="8" t="inlineStr">
        <is>
          <t>Cooling Tower</t>
        </is>
      </c>
      <c r="E438" s="8" t="inlineStr">
        <is>
          <t>Cooling Tower Cell 2</t>
        </is>
      </c>
      <c r="F438" s="8" t="inlineStr">
        <is>
          <t>2024-03-09 08:00</t>
        </is>
      </c>
      <c r="G438" s="12" t="n">
        <v>75334.95</v>
      </c>
      <c r="H438" s="8" t="inlineStr">
        <is>
          <t>m3</t>
        </is>
      </c>
      <c r="I438" s="8" t="inlineStr">
        <is>
          <t>cumulative</t>
        </is>
      </c>
      <c r="J438" s="8" t="inlineStr">
        <is>
          <t>AB</t>
        </is>
      </c>
      <c r="K438" s="8" t="inlineStr"/>
      <c r="L438" s="10">
        <f>IFERROR(IF(F438&lt;F437,"NEGATIVE",ROUND(F438-F437,2)),"")</f>
        <v/>
      </c>
    </row>
    <row r="439" ht="22" customHeight="1">
      <c r="B439" s="5" t="inlineStr">
        <is>
          <t>R00435</t>
        </is>
      </c>
      <c r="C439" s="5" t="inlineStr">
        <is>
          <t>MTR-CTW-004</t>
        </is>
      </c>
      <c r="D439" s="5" t="inlineStr">
        <is>
          <t>Cooling Tower</t>
        </is>
      </c>
      <c r="E439" s="5" t="inlineStr">
        <is>
          <t>Cooling Tower Cell 2</t>
        </is>
      </c>
      <c r="F439" s="5" t="inlineStr">
        <is>
          <t>2024-03-10 08:00</t>
        </is>
      </c>
      <c r="G439" s="11" t="n">
        <v>75357.86</v>
      </c>
      <c r="H439" s="5" t="inlineStr">
        <is>
          <t>m3</t>
        </is>
      </c>
      <c r="I439" s="5" t="inlineStr">
        <is>
          <t>cumulative</t>
        </is>
      </c>
      <c r="J439" s="5" t="inlineStr">
        <is>
          <t>CD</t>
        </is>
      </c>
      <c r="K439" s="5" t="inlineStr"/>
      <c r="L439" s="7">
        <f>IFERROR(IF(F439&lt;F438,"NEGATIVE",ROUND(F439-F438,2)),"")</f>
        <v/>
      </c>
    </row>
    <row r="440" ht="22" customHeight="1">
      <c r="B440" s="8" t="inlineStr">
        <is>
          <t>R00436</t>
        </is>
      </c>
      <c r="C440" s="8" t="inlineStr">
        <is>
          <t>MTR-CTW-004</t>
        </is>
      </c>
      <c r="D440" s="8" t="inlineStr">
        <is>
          <t>Cooling Tower</t>
        </is>
      </c>
      <c r="E440" s="8" t="inlineStr">
        <is>
          <t>Cooling Tower Cell 2</t>
        </is>
      </c>
      <c r="F440" s="8" t="inlineStr">
        <is>
          <t>2024-03-11 08:00</t>
        </is>
      </c>
      <c r="G440" s="12" t="n">
        <v>75394.53</v>
      </c>
      <c r="H440" s="8" t="inlineStr">
        <is>
          <t>m3</t>
        </is>
      </c>
      <c r="I440" s="8" t="inlineStr">
        <is>
          <t>cumulative</t>
        </is>
      </c>
      <c r="J440" s="8" t="inlineStr">
        <is>
          <t>GH</t>
        </is>
      </c>
      <c r="K440" s="8" t="inlineStr"/>
      <c r="L440" s="10">
        <f>IFERROR(IF(F440&lt;F439,"NEGATIVE",ROUND(F440-F439,2)),"")</f>
        <v/>
      </c>
    </row>
    <row r="441" ht="22" customHeight="1">
      <c r="B441" s="5" t="inlineStr">
        <is>
          <t>R00437</t>
        </is>
      </c>
      <c r="C441" s="5" t="inlineStr">
        <is>
          <t>MTR-CTW-004</t>
        </is>
      </c>
      <c r="D441" s="5" t="inlineStr">
        <is>
          <t>Cooling Tower</t>
        </is>
      </c>
      <c r="E441" s="5" t="inlineStr">
        <is>
          <t>Cooling Tower Cell 2</t>
        </is>
      </c>
      <c r="F441" s="5" t="inlineStr">
        <is>
          <t>2024-03-12 08:00</t>
        </is>
      </c>
      <c r="G441" s="11" t="n">
        <v>75427.94</v>
      </c>
      <c r="H441" s="5" t="inlineStr">
        <is>
          <t>m3</t>
        </is>
      </c>
      <c r="I441" s="5" t="inlineStr">
        <is>
          <t>cumulative</t>
        </is>
      </c>
      <c r="J441" s="5" t="inlineStr">
        <is>
          <t>CD</t>
        </is>
      </c>
      <c r="K441" s="5" t="inlineStr"/>
      <c r="L441" s="7">
        <f>IFERROR(IF(F441&lt;F440,"NEGATIVE",ROUND(F441-F440,2)),"")</f>
        <v/>
      </c>
    </row>
    <row r="442" ht="22" customHeight="1">
      <c r="B442" s="8" t="inlineStr">
        <is>
          <t>R00438</t>
        </is>
      </c>
      <c r="C442" s="8" t="inlineStr">
        <is>
          <t>MTR-CTW-004</t>
        </is>
      </c>
      <c r="D442" s="8" t="inlineStr">
        <is>
          <t>Cooling Tower</t>
        </is>
      </c>
      <c r="E442" s="8" t="inlineStr">
        <is>
          <t>Cooling Tower Cell 2</t>
        </is>
      </c>
      <c r="F442" s="8" t="inlineStr">
        <is>
          <t>2024-03-13 08:00</t>
        </is>
      </c>
      <c r="G442" s="12" t="n">
        <v>75466.55</v>
      </c>
      <c r="H442" s="8" t="inlineStr">
        <is>
          <t>m3</t>
        </is>
      </c>
      <c r="I442" s="8" t="inlineStr">
        <is>
          <t>cumulative</t>
        </is>
      </c>
      <c r="J442" s="8" t="inlineStr">
        <is>
          <t>KL</t>
        </is>
      </c>
      <c r="K442" s="8" t="inlineStr"/>
      <c r="L442" s="10">
        <f>IFERROR(IF(F442&lt;F441,"NEGATIVE",ROUND(F442-F441,2)),"")</f>
        <v/>
      </c>
    </row>
    <row r="443" ht="22" customHeight="1">
      <c r="B443" s="5" t="inlineStr">
        <is>
          <t>R00439</t>
        </is>
      </c>
      <c r="C443" s="5" t="inlineStr">
        <is>
          <t>MTR-CTW-004</t>
        </is>
      </c>
      <c r="D443" s="5" t="inlineStr">
        <is>
          <t>Cooling Tower</t>
        </is>
      </c>
      <c r="E443" s="5" t="inlineStr">
        <is>
          <t>Cooling Tower Cell 2</t>
        </is>
      </c>
      <c r="F443" s="5" t="inlineStr">
        <is>
          <t>2024-03-14 08:00</t>
        </is>
      </c>
      <c r="G443" s="11" t="n">
        <v>75503.41</v>
      </c>
      <c r="H443" s="5" t="inlineStr">
        <is>
          <t>m3</t>
        </is>
      </c>
      <c r="I443" s="5" t="inlineStr">
        <is>
          <t>cumulative</t>
        </is>
      </c>
      <c r="J443" s="5" t="inlineStr">
        <is>
          <t>AB</t>
        </is>
      </c>
      <c r="K443" s="5" t="inlineStr"/>
      <c r="L443" s="7">
        <f>IFERROR(IF(F443&lt;F442,"NEGATIVE",ROUND(F443-F442,2)),"")</f>
        <v/>
      </c>
    </row>
    <row r="444" ht="22" customHeight="1">
      <c r="B444" s="8" t="inlineStr">
        <is>
          <t>R00440</t>
        </is>
      </c>
      <c r="C444" s="8" t="inlineStr">
        <is>
          <t>MTR-CTW-004</t>
        </is>
      </c>
      <c r="D444" s="8" t="inlineStr">
        <is>
          <t>Cooling Tower</t>
        </is>
      </c>
      <c r="E444" s="8" t="inlineStr">
        <is>
          <t>Cooling Tower Cell 2</t>
        </is>
      </c>
      <c r="F444" s="8" t="inlineStr">
        <is>
          <t>2024-03-15 08:00</t>
        </is>
      </c>
      <c r="G444" s="12" t="n">
        <v>75536.95</v>
      </c>
      <c r="H444" s="8" t="inlineStr">
        <is>
          <t>m3</t>
        </is>
      </c>
      <c r="I444" s="8" t="inlineStr">
        <is>
          <t>cumulative</t>
        </is>
      </c>
      <c r="J444" s="8" t="inlineStr">
        <is>
          <t>AB</t>
        </is>
      </c>
      <c r="K444" s="8" t="inlineStr"/>
      <c r="L444" s="10">
        <f>IFERROR(IF(F444&lt;F443,"NEGATIVE",ROUND(F444-F443,2)),"")</f>
        <v/>
      </c>
    </row>
    <row r="445" ht="22" customHeight="1">
      <c r="B445" s="5" t="inlineStr">
        <is>
          <t>R00441</t>
        </is>
      </c>
      <c r="C445" s="5" t="inlineStr">
        <is>
          <t>MTR-CTW-004</t>
        </is>
      </c>
      <c r="D445" s="5" t="inlineStr">
        <is>
          <t>Cooling Tower</t>
        </is>
      </c>
      <c r="E445" s="5" t="inlineStr">
        <is>
          <t>Cooling Tower Cell 2</t>
        </is>
      </c>
      <c r="F445" s="5" t="inlineStr">
        <is>
          <t>2024-03-16 08:00</t>
        </is>
      </c>
      <c r="G445" s="11" t="n">
        <v>75565.53</v>
      </c>
      <c r="H445" s="5" t="inlineStr">
        <is>
          <t>m3</t>
        </is>
      </c>
      <c r="I445" s="5" t="inlineStr">
        <is>
          <t>cumulative</t>
        </is>
      </c>
      <c r="J445" s="5" t="inlineStr">
        <is>
          <t>EF</t>
        </is>
      </c>
      <c r="K445" s="5" t="inlineStr"/>
      <c r="L445" s="7">
        <f>IFERROR(IF(F445&lt;F444,"NEGATIVE",ROUND(F445-F444,2)),"")</f>
        <v/>
      </c>
    </row>
    <row r="446" ht="22" customHeight="1">
      <c r="B446" s="8" t="inlineStr">
        <is>
          <t>R00442</t>
        </is>
      </c>
      <c r="C446" s="8" t="inlineStr">
        <is>
          <t>MTR-CTW-004</t>
        </is>
      </c>
      <c r="D446" s="8" t="inlineStr">
        <is>
          <t>Cooling Tower</t>
        </is>
      </c>
      <c r="E446" s="8" t="inlineStr">
        <is>
          <t>Cooling Tower Cell 2</t>
        </is>
      </c>
      <c r="F446" s="8" t="inlineStr">
        <is>
          <t>2024-03-17 08:00</t>
        </is>
      </c>
      <c r="G446" s="12" t="n">
        <v>75585.84</v>
      </c>
      <c r="H446" s="8" t="inlineStr">
        <is>
          <t>m3</t>
        </is>
      </c>
      <c r="I446" s="8" t="inlineStr">
        <is>
          <t>cumulative</t>
        </is>
      </c>
      <c r="J446" s="8" t="inlineStr">
        <is>
          <t>AB</t>
        </is>
      </c>
      <c r="K446" s="8" t="inlineStr"/>
      <c r="L446" s="10">
        <f>IFERROR(IF(F446&lt;F445,"NEGATIVE",ROUND(F446-F445,2)),"")</f>
        <v/>
      </c>
    </row>
    <row r="447" ht="22" customHeight="1">
      <c r="B447" s="5" t="inlineStr">
        <is>
          <t>R00443</t>
        </is>
      </c>
      <c r="C447" s="5" t="inlineStr">
        <is>
          <t>MTR-CTW-004</t>
        </is>
      </c>
      <c r="D447" s="5" t="inlineStr">
        <is>
          <t>Cooling Tower</t>
        </is>
      </c>
      <c r="E447" s="5" t="inlineStr">
        <is>
          <t>Cooling Tower Cell 2</t>
        </is>
      </c>
      <c r="F447" s="5" t="inlineStr">
        <is>
          <t>2024-03-18 08:00</t>
        </is>
      </c>
      <c r="G447" s="11" t="n">
        <v>75624.34</v>
      </c>
      <c r="H447" s="5" t="inlineStr">
        <is>
          <t>m3</t>
        </is>
      </c>
      <c r="I447" s="5" t="inlineStr">
        <is>
          <t>cumulative</t>
        </is>
      </c>
      <c r="J447" s="5" t="inlineStr">
        <is>
          <t>AB</t>
        </is>
      </c>
      <c r="K447" s="5" t="inlineStr"/>
      <c r="L447" s="7">
        <f>IFERROR(IF(F447&lt;F446,"NEGATIVE",ROUND(F447-F446,2)),"")</f>
        <v/>
      </c>
    </row>
    <row r="448" ht="22" customHeight="1">
      <c r="B448" s="8" t="inlineStr">
        <is>
          <t>R00444</t>
        </is>
      </c>
      <c r="C448" s="8" t="inlineStr">
        <is>
          <t>MTR-CTW-004</t>
        </is>
      </c>
      <c r="D448" s="8" t="inlineStr">
        <is>
          <t>Cooling Tower</t>
        </is>
      </c>
      <c r="E448" s="8" t="inlineStr">
        <is>
          <t>Cooling Tower Cell 2</t>
        </is>
      </c>
      <c r="F448" s="8" t="inlineStr">
        <is>
          <t>2024-03-19 08:00</t>
        </is>
      </c>
      <c r="G448" s="12" t="n">
        <v>75662.78999999999</v>
      </c>
      <c r="H448" s="8" t="inlineStr">
        <is>
          <t>m3</t>
        </is>
      </c>
      <c r="I448" s="8" t="inlineStr">
        <is>
          <t>cumulative</t>
        </is>
      </c>
      <c r="J448" s="8" t="inlineStr">
        <is>
          <t>CD</t>
        </is>
      </c>
      <c r="K448" s="8" t="inlineStr"/>
      <c r="L448" s="10">
        <f>IFERROR(IF(F448&lt;F447,"NEGATIVE",ROUND(F448-F447,2)),"")</f>
        <v/>
      </c>
    </row>
    <row r="449" ht="22" customHeight="1">
      <c r="B449" s="5" t="inlineStr">
        <is>
          <t>R00445</t>
        </is>
      </c>
      <c r="C449" s="5" t="inlineStr">
        <is>
          <t>MTR-CTW-004</t>
        </is>
      </c>
      <c r="D449" s="5" t="inlineStr">
        <is>
          <t>Cooling Tower</t>
        </is>
      </c>
      <c r="E449" s="5" t="inlineStr">
        <is>
          <t>Cooling Tower Cell 2</t>
        </is>
      </c>
      <c r="F449" s="5" t="inlineStr">
        <is>
          <t>2024-03-20 08:00</t>
        </is>
      </c>
      <c r="G449" s="11" t="n">
        <v>75699.02</v>
      </c>
      <c r="H449" s="5" t="inlineStr">
        <is>
          <t>m3</t>
        </is>
      </c>
      <c r="I449" s="5" t="inlineStr">
        <is>
          <t>cumulative</t>
        </is>
      </c>
      <c r="J449" s="5" t="inlineStr">
        <is>
          <t>AB</t>
        </is>
      </c>
      <c r="K449" s="5" t="inlineStr"/>
      <c r="L449" s="7">
        <f>IFERROR(IF(F449&lt;F448,"NEGATIVE",ROUND(F449-F448,2)),"")</f>
        <v/>
      </c>
    </row>
    <row r="450" ht="22" customHeight="1">
      <c r="B450" s="8" t="inlineStr">
        <is>
          <t>R00446</t>
        </is>
      </c>
      <c r="C450" s="8" t="inlineStr">
        <is>
          <t>MTR-CTW-004</t>
        </is>
      </c>
      <c r="D450" s="8" t="inlineStr">
        <is>
          <t>Cooling Tower</t>
        </is>
      </c>
      <c r="E450" s="8" t="inlineStr">
        <is>
          <t>Cooling Tower Cell 2</t>
        </is>
      </c>
      <c r="F450" s="8" t="inlineStr">
        <is>
          <t>2024-03-21 08:00</t>
        </is>
      </c>
      <c r="G450" s="12" t="n">
        <v>75736.02</v>
      </c>
      <c r="H450" s="8" t="inlineStr">
        <is>
          <t>m3</t>
        </is>
      </c>
      <c r="I450" s="8" t="inlineStr">
        <is>
          <t>cumulative</t>
        </is>
      </c>
      <c r="J450" s="8" t="inlineStr">
        <is>
          <t>IJ</t>
        </is>
      </c>
      <c r="K450" s="8" t="inlineStr"/>
      <c r="L450" s="10">
        <f>IFERROR(IF(F450&lt;F449,"NEGATIVE",ROUND(F450-F449,2)),"")</f>
        <v/>
      </c>
    </row>
    <row r="451" ht="22" customHeight="1">
      <c r="B451" s="5" t="inlineStr">
        <is>
          <t>R00447</t>
        </is>
      </c>
      <c r="C451" s="5" t="inlineStr">
        <is>
          <t>MTR-CTW-004</t>
        </is>
      </c>
      <c r="D451" s="5" t="inlineStr">
        <is>
          <t>Cooling Tower</t>
        </is>
      </c>
      <c r="E451" s="5" t="inlineStr">
        <is>
          <t>Cooling Tower Cell 2</t>
        </is>
      </c>
      <c r="F451" s="5" t="inlineStr">
        <is>
          <t>2024-03-22 08:00</t>
        </is>
      </c>
      <c r="G451" s="11" t="n">
        <v>75774.66</v>
      </c>
      <c r="H451" s="5" t="inlineStr">
        <is>
          <t>m3</t>
        </is>
      </c>
      <c r="I451" s="5" t="inlineStr">
        <is>
          <t>cumulative</t>
        </is>
      </c>
      <c r="J451" s="5" t="inlineStr">
        <is>
          <t>GH</t>
        </is>
      </c>
      <c r="K451" s="5" t="inlineStr"/>
      <c r="L451" s="7">
        <f>IFERROR(IF(F451&lt;F450,"NEGATIVE",ROUND(F451-F450,2)),"")</f>
        <v/>
      </c>
    </row>
    <row r="452" ht="22" customHeight="1">
      <c r="B452" s="8" t="inlineStr">
        <is>
          <t>R00448</t>
        </is>
      </c>
      <c r="C452" s="8" t="inlineStr">
        <is>
          <t>MTR-CTW-004</t>
        </is>
      </c>
      <c r="D452" s="8" t="inlineStr">
        <is>
          <t>Cooling Tower</t>
        </is>
      </c>
      <c r="E452" s="8" t="inlineStr">
        <is>
          <t>Cooling Tower Cell 2</t>
        </is>
      </c>
      <c r="F452" s="8" t="inlineStr">
        <is>
          <t>2024-03-23 08:00</t>
        </is>
      </c>
      <c r="G452" s="12" t="n">
        <v>75804.61</v>
      </c>
      <c r="H452" s="8" t="inlineStr">
        <is>
          <t>m3</t>
        </is>
      </c>
      <c r="I452" s="8" t="inlineStr">
        <is>
          <t>cumulative</t>
        </is>
      </c>
      <c r="J452" s="8" t="inlineStr">
        <is>
          <t>AB</t>
        </is>
      </c>
      <c r="K452" s="8" t="inlineStr"/>
      <c r="L452" s="10">
        <f>IFERROR(IF(F452&lt;F451,"NEGATIVE",ROUND(F452-F451,2)),"")</f>
        <v/>
      </c>
    </row>
    <row r="453" ht="22" customHeight="1">
      <c r="B453" s="5" t="inlineStr">
        <is>
          <t>R00449</t>
        </is>
      </c>
      <c r="C453" s="5" t="inlineStr">
        <is>
          <t>MTR-CTW-004</t>
        </is>
      </c>
      <c r="D453" s="5" t="inlineStr">
        <is>
          <t>Cooling Tower</t>
        </is>
      </c>
      <c r="E453" s="5" t="inlineStr">
        <is>
          <t>Cooling Tower Cell 2</t>
        </is>
      </c>
      <c r="F453" s="5" t="inlineStr">
        <is>
          <t>2024-03-24 08:00</t>
        </is>
      </c>
      <c r="G453" s="11" t="n">
        <v>75824.83</v>
      </c>
      <c r="H453" s="5" t="inlineStr">
        <is>
          <t>m3</t>
        </is>
      </c>
      <c r="I453" s="5" t="inlineStr">
        <is>
          <t>cumulative</t>
        </is>
      </c>
      <c r="J453" s="5" t="inlineStr">
        <is>
          <t>EF</t>
        </is>
      </c>
      <c r="K453" s="5" t="inlineStr"/>
      <c r="L453" s="7">
        <f>IFERROR(IF(F453&lt;F452,"NEGATIVE",ROUND(F453-F452,2)),"")</f>
        <v/>
      </c>
    </row>
    <row r="454" ht="22" customHeight="1">
      <c r="B454" s="8" t="inlineStr">
        <is>
          <t>R00450</t>
        </is>
      </c>
      <c r="C454" s="8" t="inlineStr">
        <is>
          <t>MTR-CTW-004</t>
        </is>
      </c>
      <c r="D454" s="8" t="inlineStr">
        <is>
          <t>Cooling Tower</t>
        </is>
      </c>
      <c r="E454" s="8" t="inlineStr">
        <is>
          <t>Cooling Tower Cell 2</t>
        </is>
      </c>
      <c r="F454" s="8" t="inlineStr">
        <is>
          <t>2024-03-25 08:00</t>
        </is>
      </c>
      <c r="G454" s="12" t="n">
        <v>75866.34</v>
      </c>
      <c r="H454" s="8" t="inlineStr">
        <is>
          <t>m3</t>
        </is>
      </c>
      <c r="I454" s="8" t="inlineStr">
        <is>
          <t>cumulative</t>
        </is>
      </c>
      <c r="J454" s="8" t="inlineStr">
        <is>
          <t>GH</t>
        </is>
      </c>
      <c r="K454" s="8" t="inlineStr"/>
      <c r="L454" s="10">
        <f>IFERROR(IF(F454&lt;F453,"NEGATIVE",ROUND(F454-F453,2)),"")</f>
        <v/>
      </c>
    </row>
    <row r="455" ht="22" customHeight="1">
      <c r="B455" s="5" t="inlineStr">
        <is>
          <t>R00451</t>
        </is>
      </c>
      <c r="C455" s="5" t="inlineStr">
        <is>
          <t>MTR-CTW-004</t>
        </is>
      </c>
      <c r="D455" s="5" t="inlineStr">
        <is>
          <t>Cooling Tower</t>
        </is>
      </c>
      <c r="E455" s="5" t="inlineStr">
        <is>
          <t>Cooling Tower Cell 2</t>
        </is>
      </c>
      <c r="F455" s="5" t="inlineStr">
        <is>
          <t>2024-03-26 08:00</t>
        </is>
      </c>
      <c r="G455" s="11" t="n">
        <v>75908.34</v>
      </c>
      <c r="H455" s="5" t="inlineStr">
        <is>
          <t>m3</t>
        </is>
      </c>
      <c r="I455" s="5" t="inlineStr">
        <is>
          <t>cumulative</t>
        </is>
      </c>
      <c r="J455" s="5" t="inlineStr">
        <is>
          <t>KL</t>
        </is>
      </c>
      <c r="K455" s="5" t="inlineStr"/>
      <c r="L455" s="7">
        <f>IFERROR(IF(F455&lt;F454,"NEGATIVE",ROUND(F455-F454,2)),"")</f>
        <v/>
      </c>
    </row>
    <row r="456" ht="22" customHeight="1">
      <c r="B456" s="8" t="inlineStr">
        <is>
          <t>R00452</t>
        </is>
      </c>
      <c r="C456" s="8" t="inlineStr">
        <is>
          <t>MTR-CTW-004</t>
        </is>
      </c>
      <c r="D456" s="8" t="inlineStr">
        <is>
          <t>Cooling Tower</t>
        </is>
      </c>
      <c r="E456" s="8" t="inlineStr">
        <is>
          <t>Cooling Tower Cell 2</t>
        </is>
      </c>
      <c r="F456" s="8" t="inlineStr">
        <is>
          <t>2024-03-27 08:00</t>
        </is>
      </c>
      <c r="G456" s="12" t="n">
        <v>75946.48</v>
      </c>
      <c r="H456" s="8" t="inlineStr">
        <is>
          <t>m3</t>
        </is>
      </c>
      <c r="I456" s="8" t="inlineStr">
        <is>
          <t>cumulative</t>
        </is>
      </c>
      <c r="J456" s="8" t="inlineStr">
        <is>
          <t>CD</t>
        </is>
      </c>
      <c r="K456" s="8" t="inlineStr"/>
      <c r="L456" s="10">
        <f>IFERROR(IF(F456&lt;F455,"NEGATIVE",ROUND(F456-F455,2)),"")</f>
        <v/>
      </c>
    </row>
    <row r="457" ht="22" customHeight="1">
      <c r="B457" s="5" t="inlineStr">
        <is>
          <t>R00453</t>
        </is>
      </c>
      <c r="C457" s="5" t="inlineStr">
        <is>
          <t>MTR-CTW-004</t>
        </is>
      </c>
      <c r="D457" s="5" t="inlineStr">
        <is>
          <t>Cooling Tower</t>
        </is>
      </c>
      <c r="E457" s="5" t="inlineStr">
        <is>
          <t>Cooling Tower Cell 2</t>
        </is>
      </c>
      <c r="F457" s="5" t="inlineStr">
        <is>
          <t>2024-03-28 08:00</t>
        </is>
      </c>
      <c r="G457" s="11" t="n">
        <v>75985.41</v>
      </c>
      <c r="H457" s="5" t="inlineStr">
        <is>
          <t>m3</t>
        </is>
      </c>
      <c r="I457" s="5" t="inlineStr">
        <is>
          <t>cumulative</t>
        </is>
      </c>
      <c r="J457" s="5" t="inlineStr">
        <is>
          <t>IJ</t>
        </is>
      </c>
      <c r="K457" s="5" t="inlineStr"/>
      <c r="L457" s="7">
        <f>IFERROR(IF(F457&lt;F456,"NEGATIVE",ROUND(F457-F456,2)),"")</f>
        <v/>
      </c>
    </row>
    <row r="458" ht="22" customHeight="1">
      <c r="B458" s="8" t="inlineStr">
        <is>
          <t>R00454</t>
        </is>
      </c>
      <c r="C458" s="8" t="inlineStr">
        <is>
          <t>MTR-CTW-004</t>
        </is>
      </c>
      <c r="D458" s="8" t="inlineStr">
        <is>
          <t>Cooling Tower</t>
        </is>
      </c>
      <c r="E458" s="8" t="inlineStr">
        <is>
          <t>Cooling Tower Cell 2</t>
        </is>
      </c>
      <c r="F458" s="8" t="inlineStr">
        <is>
          <t>2024-03-29 08:00</t>
        </is>
      </c>
      <c r="G458" s="12" t="n">
        <v>76024.91</v>
      </c>
      <c r="H458" s="8" t="inlineStr">
        <is>
          <t>m3</t>
        </is>
      </c>
      <c r="I458" s="8" t="inlineStr">
        <is>
          <t>cumulative</t>
        </is>
      </c>
      <c r="J458" s="8" t="inlineStr">
        <is>
          <t>AB</t>
        </is>
      </c>
      <c r="K458" s="8" t="inlineStr"/>
      <c r="L458" s="10">
        <f>IFERROR(IF(F458&lt;F457,"NEGATIVE",ROUND(F458-F457,2)),"")</f>
        <v/>
      </c>
    </row>
    <row r="459" ht="22" customHeight="1">
      <c r="B459" s="5" t="inlineStr">
        <is>
          <t>R00455</t>
        </is>
      </c>
      <c r="C459" s="5" t="inlineStr">
        <is>
          <t>MTR-CTW-004</t>
        </is>
      </c>
      <c r="D459" s="5" t="inlineStr">
        <is>
          <t>Cooling Tower</t>
        </is>
      </c>
      <c r="E459" s="5" t="inlineStr">
        <is>
          <t>Cooling Tower Cell 2</t>
        </is>
      </c>
      <c r="F459" s="5" t="inlineStr">
        <is>
          <t>2024-03-30 08:00</t>
        </is>
      </c>
      <c r="G459" s="11" t="n">
        <v>76061.17</v>
      </c>
      <c r="H459" s="5" t="inlineStr">
        <is>
          <t>m3</t>
        </is>
      </c>
      <c r="I459" s="5" t="inlineStr">
        <is>
          <t>cumulative</t>
        </is>
      </c>
      <c r="J459" s="5" t="inlineStr">
        <is>
          <t>GH</t>
        </is>
      </c>
      <c r="K459" s="5" t="inlineStr"/>
      <c r="L459" s="7">
        <f>IFERROR(IF(F459&lt;F458,"NEGATIVE",ROUND(F459-F458,2)),"")</f>
        <v/>
      </c>
    </row>
    <row r="460" ht="22" customHeight="1">
      <c r="B460" s="8" t="inlineStr">
        <is>
          <t>R00456</t>
        </is>
      </c>
      <c r="C460" s="8" t="inlineStr">
        <is>
          <t>MTR-CTW-004</t>
        </is>
      </c>
      <c r="D460" s="8" t="inlineStr">
        <is>
          <t>Cooling Tower</t>
        </is>
      </c>
      <c r="E460" s="8" t="inlineStr">
        <is>
          <t>Cooling Tower Cell 2</t>
        </is>
      </c>
      <c r="F460" s="8" t="inlineStr">
        <is>
          <t>2024-03-31 08:00</t>
        </is>
      </c>
      <c r="G460" s="12" t="n">
        <v>76081.98</v>
      </c>
      <c r="H460" s="8" t="inlineStr">
        <is>
          <t>m3</t>
        </is>
      </c>
      <c r="I460" s="8" t="inlineStr">
        <is>
          <t>cumulative</t>
        </is>
      </c>
      <c r="J460" s="8" t="inlineStr">
        <is>
          <t>KL</t>
        </is>
      </c>
      <c r="K460" s="8" t="inlineStr"/>
      <c r="L460" s="10">
        <f>IFERROR(IF(F460&lt;F459,"NEGATIVE",ROUND(F460-F459,2)),"")</f>
        <v/>
      </c>
    </row>
    <row r="461" ht="22" customHeight="1">
      <c r="B461" s="5" t="inlineStr">
        <is>
          <t>R00457</t>
        </is>
      </c>
      <c r="C461" s="5" t="inlineStr">
        <is>
          <t>MTR-CTW-004</t>
        </is>
      </c>
      <c r="D461" s="5" t="inlineStr">
        <is>
          <t>Cooling Tower</t>
        </is>
      </c>
      <c r="E461" s="5" t="inlineStr">
        <is>
          <t>Cooling Tower Cell 2</t>
        </is>
      </c>
      <c r="F461" s="5" t="inlineStr">
        <is>
          <t>2024-04-01 08:00</t>
        </is>
      </c>
      <c r="G461" s="11" t="n">
        <v>76118.66</v>
      </c>
      <c r="H461" s="5" t="inlineStr">
        <is>
          <t>m3</t>
        </is>
      </c>
      <c r="I461" s="5" t="inlineStr">
        <is>
          <t>cumulative</t>
        </is>
      </c>
      <c r="J461" s="5" t="inlineStr">
        <is>
          <t>CD</t>
        </is>
      </c>
      <c r="K461" s="5" t="inlineStr"/>
      <c r="L461" s="7">
        <f>IFERROR(IF(F461&lt;F460,"NEGATIVE",ROUND(F461-F460,2)),"")</f>
        <v/>
      </c>
    </row>
    <row r="462" ht="22" customHeight="1">
      <c r="B462" s="8" t="inlineStr">
        <is>
          <t>R00458</t>
        </is>
      </c>
      <c r="C462" s="8" t="inlineStr">
        <is>
          <t>MTR-CTW-004</t>
        </is>
      </c>
      <c r="D462" s="8" t="inlineStr">
        <is>
          <t>Cooling Tower</t>
        </is>
      </c>
      <c r="E462" s="8" t="inlineStr">
        <is>
          <t>Cooling Tower Cell 2</t>
        </is>
      </c>
      <c r="F462" s="8" t="inlineStr">
        <is>
          <t>2024-04-02 08:00</t>
        </is>
      </c>
      <c r="G462" s="12" t="n">
        <v>76162.19</v>
      </c>
      <c r="H462" s="8" t="inlineStr">
        <is>
          <t>m3</t>
        </is>
      </c>
      <c r="I462" s="8" t="inlineStr">
        <is>
          <t>cumulative</t>
        </is>
      </c>
      <c r="J462" s="8" t="inlineStr">
        <is>
          <t>AB</t>
        </is>
      </c>
      <c r="K462" s="8" t="inlineStr"/>
      <c r="L462" s="10">
        <f>IFERROR(IF(F462&lt;F461,"NEGATIVE",ROUND(F462-F461,2)),"")</f>
        <v/>
      </c>
    </row>
    <row r="463" ht="22" customHeight="1">
      <c r="B463" s="5" t="inlineStr">
        <is>
          <t>R00459</t>
        </is>
      </c>
      <c r="C463" s="5" t="inlineStr">
        <is>
          <t>MTR-CTW-004</t>
        </is>
      </c>
      <c r="D463" s="5" t="inlineStr">
        <is>
          <t>Cooling Tower</t>
        </is>
      </c>
      <c r="E463" s="5" t="inlineStr">
        <is>
          <t>Cooling Tower Cell 2</t>
        </is>
      </c>
      <c r="F463" s="5" t="inlineStr">
        <is>
          <t>2024-04-03 08:00</t>
        </is>
      </c>
      <c r="G463" s="11" t="n">
        <v>76202.62</v>
      </c>
      <c r="H463" s="5" t="inlineStr">
        <is>
          <t>m3</t>
        </is>
      </c>
      <c r="I463" s="5" t="inlineStr">
        <is>
          <t>cumulative</t>
        </is>
      </c>
      <c r="J463" s="5" t="inlineStr">
        <is>
          <t>EF</t>
        </is>
      </c>
      <c r="K463" s="5" t="inlineStr"/>
      <c r="L463" s="7">
        <f>IFERROR(IF(F463&lt;F462,"NEGATIVE",ROUND(F463-F462,2)),"")</f>
        <v/>
      </c>
    </row>
    <row r="464" ht="22" customHeight="1">
      <c r="B464" s="8" t="inlineStr">
        <is>
          <t>R00460</t>
        </is>
      </c>
      <c r="C464" s="8" t="inlineStr">
        <is>
          <t>MTR-CTW-004</t>
        </is>
      </c>
      <c r="D464" s="8" t="inlineStr">
        <is>
          <t>Cooling Tower</t>
        </is>
      </c>
      <c r="E464" s="8" t="inlineStr">
        <is>
          <t>Cooling Tower Cell 2</t>
        </is>
      </c>
      <c r="F464" s="8" t="inlineStr">
        <is>
          <t>2024-04-04 08:00</t>
        </is>
      </c>
      <c r="G464" s="12" t="n">
        <v>76248.24000000001</v>
      </c>
      <c r="H464" s="8" t="inlineStr">
        <is>
          <t>m3</t>
        </is>
      </c>
      <c r="I464" s="8" t="inlineStr">
        <is>
          <t>cumulative</t>
        </is>
      </c>
      <c r="J464" s="8" t="inlineStr">
        <is>
          <t>CD</t>
        </is>
      </c>
      <c r="K464" s="8" t="inlineStr"/>
      <c r="L464" s="10">
        <f>IFERROR(IF(F464&lt;F463,"NEGATIVE",ROUND(F464-F463,2)),"")</f>
        <v/>
      </c>
    </row>
    <row r="465" ht="22" customHeight="1">
      <c r="B465" s="5" t="inlineStr">
        <is>
          <t>R00461</t>
        </is>
      </c>
      <c r="C465" s="5" t="inlineStr">
        <is>
          <t>MTR-CTW-004</t>
        </is>
      </c>
      <c r="D465" s="5" t="inlineStr">
        <is>
          <t>Cooling Tower</t>
        </is>
      </c>
      <c r="E465" s="5" t="inlineStr">
        <is>
          <t>Cooling Tower Cell 2</t>
        </is>
      </c>
      <c r="F465" s="5" t="inlineStr">
        <is>
          <t>2024-04-05 08:00</t>
        </is>
      </c>
      <c r="G465" s="11" t="n">
        <v>76282.46000000001</v>
      </c>
      <c r="H465" s="5" t="inlineStr">
        <is>
          <t>m3</t>
        </is>
      </c>
      <c r="I465" s="5" t="inlineStr">
        <is>
          <t>cumulative</t>
        </is>
      </c>
      <c r="J465" s="5" t="inlineStr">
        <is>
          <t>IJ</t>
        </is>
      </c>
      <c r="K465" s="5" t="inlineStr"/>
      <c r="L465" s="7">
        <f>IFERROR(IF(F465&lt;F464,"NEGATIVE",ROUND(F465-F464,2)),"")</f>
        <v/>
      </c>
    </row>
    <row r="466" ht="22" customHeight="1">
      <c r="B466" s="8" t="inlineStr">
        <is>
          <t>R00462</t>
        </is>
      </c>
      <c r="C466" s="8" t="inlineStr">
        <is>
          <t>MTR-CTW-004</t>
        </is>
      </c>
      <c r="D466" s="8" t="inlineStr">
        <is>
          <t>Cooling Tower</t>
        </is>
      </c>
      <c r="E466" s="8" t="inlineStr">
        <is>
          <t>Cooling Tower Cell 2</t>
        </is>
      </c>
      <c r="F466" s="8" t="inlineStr">
        <is>
          <t>2024-04-06 08:00</t>
        </is>
      </c>
      <c r="G466" s="12" t="n">
        <v>76314.61</v>
      </c>
      <c r="H466" s="8" t="inlineStr">
        <is>
          <t>m3</t>
        </is>
      </c>
      <c r="I466" s="8" t="inlineStr">
        <is>
          <t>cumulative</t>
        </is>
      </c>
      <c r="J466" s="8" t="inlineStr">
        <is>
          <t>IJ</t>
        </is>
      </c>
      <c r="K466" s="8" t="inlineStr"/>
      <c r="L466" s="10">
        <f>IFERROR(IF(F466&lt;F465,"NEGATIVE",ROUND(F466-F465,2)),"")</f>
        <v/>
      </c>
    </row>
    <row r="467" ht="22" customHeight="1">
      <c r="B467" s="5" t="inlineStr">
        <is>
          <t>R00463</t>
        </is>
      </c>
      <c r="C467" s="5" t="inlineStr">
        <is>
          <t>MTR-CTW-004</t>
        </is>
      </c>
      <c r="D467" s="5" t="inlineStr">
        <is>
          <t>Cooling Tower</t>
        </is>
      </c>
      <c r="E467" s="5" t="inlineStr">
        <is>
          <t>Cooling Tower Cell 2</t>
        </is>
      </c>
      <c r="F467" s="5" t="inlineStr">
        <is>
          <t>2024-04-07 08:00</t>
        </is>
      </c>
      <c r="G467" s="11" t="n">
        <v>76336.53</v>
      </c>
      <c r="H467" s="5" t="inlineStr">
        <is>
          <t>m3</t>
        </is>
      </c>
      <c r="I467" s="5" t="inlineStr">
        <is>
          <t>cumulative</t>
        </is>
      </c>
      <c r="J467" s="5" t="inlineStr">
        <is>
          <t>AB</t>
        </is>
      </c>
      <c r="K467" s="5" t="inlineStr"/>
      <c r="L467" s="7">
        <f>IFERROR(IF(F467&lt;F466,"NEGATIVE",ROUND(F467-F466,2)),"")</f>
        <v/>
      </c>
    </row>
    <row r="468" ht="22" customHeight="1">
      <c r="B468" s="8" t="inlineStr">
        <is>
          <t>R00464</t>
        </is>
      </c>
      <c r="C468" s="8" t="inlineStr">
        <is>
          <t>MTR-CTW-004</t>
        </is>
      </c>
      <c r="D468" s="8" t="inlineStr">
        <is>
          <t>Cooling Tower</t>
        </is>
      </c>
      <c r="E468" s="8" t="inlineStr">
        <is>
          <t>Cooling Tower Cell 2</t>
        </is>
      </c>
      <c r="F468" s="8" t="inlineStr">
        <is>
          <t>2024-04-08 08:00</t>
        </is>
      </c>
      <c r="G468" s="12" t="n">
        <v>76378.64</v>
      </c>
      <c r="H468" s="8" t="inlineStr">
        <is>
          <t>m3</t>
        </is>
      </c>
      <c r="I468" s="8" t="inlineStr">
        <is>
          <t>cumulative</t>
        </is>
      </c>
      <c r="J468" s="8" t="inlineStr">
        <is>
          <t>KL</t>
        </is>
      </c>
      <c r="K468" s="8" t="inlineStr"/>
      <c r="L468" s="10">
        <f>IFERROR(IF(F468&lt;F467,"NEGATIVE",ROUND(F468-F467,2)),"")</f>
        <v/>
      </c>
    </row>
    <row r="469" ht="22" customHeight="1">
      <c r="B469" s="5" t="inlineStr">
        <is>
          <t>R00465</t>
        </is>
      </c>
      <c r="C469" s="5" t="inlineStr">
        <is>
          <t>MTR-CTW-004</t>
        </is>
      </c>
      <c r="D469" s="5" t="inlineStr">
        <is>
          <t>Cooling Tower</t>
        </is>
      </c>
      <c r="E469" s="5" t="inlineStr">
        <is>
          <t>Cooling Tower Cell 2</t>
        </is>
      </c>
      <c r="F469" s="5" t="inlineStr">
        <is>
          <t>2024-04-09 08:00</t>
        </is>
      </c>
      <c r="G469" s="11" t="n">
        <v>76413.08</v>
      </c>
      <c r="H469" s="5" t="inlineStr">
        <is>
          <t>m3</t>
        </is>
      </c>
      <c r="I469" s="5" t="inlineStr">
        <is>
          <t>cumulative</t>
        </is>
      </c>
      <c r="J469" s="5" t="inlineStr">
        <is>
          <t>EF</t>
        </is>
      </c>
      <c r="K469" s="5" t="inlineStr"/>
      <c r="L469" s="7">
        <f>IFERROR(IF(F469&lt;F468,"NEGATIVE",ROUND(F469-F468,2)),"")</f>
        <v/>
      </c>
    </row>
    <row r="470" ht="22" customHeight="1">
      <c r="B470" s="8" t="inlineStr">
        <is>
          <t>R00466</t>
        </is>
      </c>
      <c r="C470" s="8" t="inlineStr">
        <is>
          <t>MTR-CTW-004</t>
        </is>
      </c>
      <c r="D470" s="8" t="inlineStr">
        <is>
          <t>Cooling Tower</t>
        </is>
      </c>
      <c r="E470" s="8" t="inlineStr">
        <is>
          <t>Cooling Tower Cell 2</t>
        </is>
      </c>
      <c r="F470" s="8" t="inlineStr">
        <is>
          <t>2024-04-10 08:00</t>
        </is>
      </c>
      <c r="G470" s="12" t="n">
        <v>76450.44</v>
      </c>
      <c r="H470" s="8" t="inlineStr">
        <is>
          <t>m3</t>
        </is>
      </c>
      <c r="I470" s="8" t="inlineStr">
        <is>
          <t>cumulative</t>
        </is>
      </c>
      <c r="J470" s="8" t="inlineStr">
        <is>
          <t>AB</t>
        </is>
      </c>
      <c r="K470" s="8" t="inlineStr"/>
      <c r="L470" s="10">
        <f>IFERROR(IF(F470&lt;F469,"NEGATIVE",ROUND(F470-F469,2)),"")</f>
        <v/>
      </c>
    </row>
    <row r="471" ht="22" customHeight="1">
      <c r="B471" s="5" t="inlineStr">
        <is>
          <t>R00467</t>
        </is>
      </c>
      <c r="C471" s="5" t="inlineStr">
        <is>
          <t>MTR-CTW-004</t>
        </is>
      </c>
      <c r="D471" s="5" t="inlineStr">
        <is>
          <t>Cooling Tower</t>
        </is>
      </c>
      <c r="E471" s="5" t="inlineStr">
        <is>
          <t>Cooling Tower Cell 2</t>
        </is>
      </c>
      <c r="F471" s="5" t="inlineStr">
        <is>
          <t>2024-04-11 08:00</t>
        </is>
      </c>
      <c r="G471" s="11" t="n">
        <v>76496.37</v>
      </c>
      <c r="H471" s="5" t="inlineStr">
        <is>
          <t>m3</t>
        </is>
      </c>
      <c r="I471" s="5" t="inlineStr">
        <is>
          <t>cumulative</t>
        </is>
      </c>
      <c r="J471" s="5" t="inlineStr">
        <is>
          <t>IJ</t>
        </is>
      </c>
      <c r="K471" s="5" t="inlineStr"/>
      <c r="L471" s="7">
        <f>IFERROR(IF(F471&lt;F470,"NEGATIVE",ROUND(F471-F470,2)),"")</f>
        <v/>
      </c>
    </row>
    <row r="472" ht="22" customHeight="1">
      <c r="B472" s="8" t="inlineStr">
        <is>
          <t>R00468</t>
        </is>
      </c>
      <c r="C472" s="8" t="inlineStr">
        <is>
          <t>MTR-CTW-004</t>
        </is>
      </c>
      <c r="D472" s="8" t="inlineStr">
        <is>
          <t>Cooling Tower</t>
        </is>
      </c>
      <c r="E472" s="8" t="inlineStr">
        <is>
          <t>Cooling Tower Cell 2</t>
        </is>
      </c>
      <c r="F472" s="8" t="inlineStr">
        <is>
          <t>2024-04-12 08:00</t>
        </is>
      </c>
      <c r="G472" s="12" t="n">
        <v>76530.45</v>
      </c>
      <c r="H472" s="8" t="inlineStr">
        <is>
          <t>m3</t>
        </is>
      </c>
      <c r="I472" s="8" t="inlineStr">
        <is>
          <t>cumulative</t>
        </is>
      </c>
      <c r="J472" s="8" t="inlineStr">
        <is>
          <t>CD</t>
        </is>
      </c>
      <c r="K472" s="8" t="inlineStr"/>
      <c r="L472" s="10">
        <f>IFERROR(IF(F472&lt;F471,"NEGATIVE",ROUND(F472-F471,2)),"")</f>
        <v/>
      </c>
    </row>
    <row r="473" ht="22" customHeight="1">
      <c r="B473" s="5" t="inlineStr">
        <is>
          <t>R00469</t>
        </is>
      </c>
      <c r="C473" s="5" t="inlineStr">
        <is>
          <t>MTR-CTW-004</t>
        </is>
      </c>
      <c r="D473" s="5" t="inlineStr">
        <is>
          <t>Cooling Tower</t>
        </is>
      </c>
      <c r="E473" s="5" t="inlineStr">
        <is>
          <t>Cooling Tower Cell 2</t>
        </is>
      </c>
      <c r="F473" s="5" t="inlineStr">
        <is>
          <t>2024-04-13 08:00</t>
        </is>
      </c>
      <c r="G473" s="11" t="n">
        <v>76563.74000000001</v>
      </c>
      <c r="H473" s="5" t="inlineStr">
        <is>
          <t>m3</t>
        </is>
      </c>
      <c r="I473" s="5" t="inlineStr">
        <is>
          <t>cumulative</t>
        </is>
      </c>
      <c r="J473" s="5" t="inlineStr">
        <is>
          <t>AB</t>
        </is>
      </c>
      <c r="K473" s="5" t="inlineStr"/>
      <c r="L473" s="7">
        <f>IFERROR(IF(F473&lt;F472,"NEGATIVE",ROUND(F473-F472,2)),"")</f>
        <v/>
      </c>
    </row>
    <row r="474" ht="22" customHeight="1">
      <c r="B474" s="8" t="inlineStr">
        <is>
          <t>R00470</t>
        </is>
      </c>
      <c r="C474" s="8" t="inlineStr">
        <is>
          <t>MTR-CTW-004</t>
        </is>
      </c>
      <c r="D474" s="8" t="inlineStr">
        <is>
          <t>Cooling Tower</t>
        </is>
      </c>
      <c r="E474" s="8" t="inlineStr">
        <is>
          <t>Cooling Tower Cell 2</t>
        </is>
      </c>
      <c r="F474" s="8" t="inlineStr">
        <is>
          <t>2024-04-14 08:00</t>
        </is>
      </c>
      <c r="G474" s="12" t="n">
        <v>76585.31</v>
      </c>
      <c r="H474" s="8" t="inlineStr">
        <is>
          <t>m3</t>
        </is>
      </c>
      <c r="I474" s="8" t="inlineStr">
        <is>
          <t>cumulative</t>
        </is>
      </c>
      <c r="J474" s="8" t="inlineStr">
        <is>
          <t>GH</t>
        </is>
      </c>
      <c r="K474" s="8" t="inlineStr"/>
      <c r="L474" s="10">
        <f>IFERROR(IF(F474&lt;F473,"NEGATIVE",ROUND(F474-F473,2)),"")</f>
        <v/>
      </c>
    </row>
    <row r="475" ht="22" customHeight="1">
      <c r="B475" s="5" t="inlineStr">
        <is>
          <t>R00471</t>
        </is>
      </c>
      <c r="C475" s="5" t="inlineStr">
        <is>
          <t>MTR-CTW-004</t>
        </is>
      </c>
      <c r="D475" s="5" t="inlineStr">
        <is>
          <t>Cooling Tower</t>
        </is>
      </c>
      <c r="E475" s="5" t="inlineStr">
        <is>
          <t>Cooling Tower Cell 2</t>
        </is>
      </c>
      <c r="F475" s="5" t="inlineStr">
        <is>
          <t>2024-04-15 08:00</t>
        </is>
      </c>
      <c r="G475" s="11" t="n">
        <v>76629.53999999999</v>
      </c>
      <c r="H475" s="5" t="inlineStr">
        <is>
          <t>m3</t>
        </is>
      </c>
      <c r="I475" s="5" t="inlineStr">
        <is>
          <t>cumulative</t>
        </is>
      </c>
      <c r="J475" s="5" t="inlineStr">
        <is>
          <t>GH</t>
        </is>
      </c>
      <c r="K475" s="5" t="inlineStr"/>
      <c r="L475" s="7">
        <f>IFERROR(IF(F475&lt;F474,"NEGATIVE",ROUND(F475-F474,2)),"")</f>
        <v/>
      </c>
    </row>
    <row r="476" ht="22" customHeight="1">
      <c r="B476" s="8" t="inlineStr">
        <is>
          <t>R00472</t>
        </is>
      </c>
      <c r="C476" s="8" t="inlineStr">
        <is>
          <t>MTR-CTW-004</t>
        </is>
      </c>
      <c r="D476" s="8" t="inlineStr">
        <is>
          <t>Cooling Tower</t>
        </is>
      </c>
      <c r="E476" s="8" t="inlineStr">
        <is>
          <t>Cooling Tower Cell 2</t>
        </is>
      </c>
      <c r="F476" s="8" t="inlineStr">
        <is>
          <t>2024-04-16 08:00</t>
        </is>
      </c>
      <c r="G476" s="12" t="n">
        <v>76671.09</v>
      </c>
      <c r="H476" s="8" t="inlineStr">
        <is>
          <t>m3</t>
        </is>
      </c>
      <c r="I476" s="8" t="inlineStr">
        <is>
          <t>cumulative</t>
        </is>
      </c>
      <c r="J476" s="8" t="inlineStr">
        <is>
          <t>IJ</t>
        </is>
      </c>
      <c r="K476" s="8" t="inlineStr"/>
      <c r="L476" s="10">
        <f>IFERROR(IF(F476&lt;F475,"NEGATIVE",ROUND(F476-F475,2)),"")</f>
        <v/>
      </c>
    </row>
    <row r="477" ht="22" customHeight="1">
      <c r="B477" s="5" t="inlineStr">
        <is>
          <t>R00473</t>
        </is>
      </c>
      <c r="C477" s="5" t="inlineStr">
        <is>
          <t>MTR-CTW-004</t>
        </is>
      </c>
      <c r="D477" s="5" t="inlineStr">
        <is>
          <t>Cooling Tower</t>
        </is>
      </c>
      <c r="E477" s="5" t="inlineStr">
        <is>
          <t>Cooling Tower Cell 2</t>
        </is>
      </c>
      <c r="F477" s="5" t="inlineStr">
        <is>
          <t>2024-04-17 08:00</t>
        </is>
      </c>
      <c r="G477" s="11" t="n">
        <v>76706.50999999999</v>
      </c>
      <c r="H477" s="5" t="inlineStr">
        <is>
          <t>m3</t>
        </is>
      </c>
      <c r="I477" s="5" t="inlineStr">
        <is>
          <t>cumulative</t>
        </is>
      </c>
      <c r="J477" s="5" t="inlineStr">
        <is>
          <t>KL</t>
        </is>
      </c>
      <c r="K477" s="5" t="inlineStr"/>
      <c r="L477" s="7">
        <f>IFERROR(IF(F477&lt;F476,"NEGATIVE",ROUND(F477-F476,2)),"")</f>
        <v/>
      </c>
    </row>
    <row r="478" ht="22" customHeight="1">
      <c r="B478" s="8" t="inlineStr">
        <is>
          <t>R00474</t>
        </is>
      </c>
      <c r="C478" s="8" t="inlineStr">
        <is>
          <t>MTR-CTW-004</t>
        </is>
      </c>
      <c r="D478" s="8" t="inlineStr">
        <is>
          <t>Cooling Tower</t>
        </is>
      </c>
      <c r="E478" s="8" t="inlineStr">
        <is>
          <t>Cooling Tower Cell 2</t>
        </is>
      </c>
      <c r="F478" s="8" t="inlineStr">
        <is>
          <t>2024-04-18 08:00</t>
        </is>
      </c>
      <c r="G478" s="12" t="n">
        <v>76741.7</v>
      </c>
      <c r="H478" s="8" t="inlineStr">
        <is>
          <t>m3</t>
        </is>
      </c>
      <c r="I478" s="8" t="inlineStr">
        <is>
          <t>cumulative</t>
        </is>
      </c>
      <c r="J478" s="8" t="inlineStr">
        <is>
          <t>GH</t>
        </is>
      </c>
      <c r="K478" s="8" t="inlineStr"/>
      <c r="L478" s="10">
        <f>IFERROR(IF(F478&lt;F477,"NEGATIVE",ROUND(F478-F477,2)),"")</f>
        <v/>
      </c>
    </row>
    <row r="479" ht="22" customHeight="1">
      <c r="B479" s="5" t="inlineStr">
        <is>
          <t>R00475</t>
        </is>
      </c>
      <c r="C479" s="5" t="inlineStr">
        <is>
          <t>MTR-CTW-004</t>
        </is>
      </c>
      <c r="D479" s="5" t="inlineStr">
        <is>
          <t>Cooling Tower</t>
        </is>
      </c>
      <c r="E479" s="5" t="inlineStr">
        <is>
          <t>Cooling Tower Cell 2</t>
        </is>
      </c>
      <c r="F479" s="5" t="inlineStr">
        <is>
          <t>2024-04-19 08:00</t>
        </is>
      </c>
      <c r="G479" s="11" t="n">
        <v>76784.7</v>
      </c>
      <c r="H479" s="5" t="inlineStr">
        <is>
          <t>m3</t>
        </is>
      </c>
      <c r="I479" s="5" t="inlineStr">
        <is>
          <t>cumulative</t>
        </is>
      </c>
      <c r="J479" s="5" t="inlineStr">
        <is>
          <t>EF</t>
        </is>
      </c>
      <c r="K479" s="5" t="inlineStr"/>
      <c r="L479" s="7">
        <f>IFERROR(IF(F479&lt;F478,"NEGATIVE",ROUND(F479-F478,2)),"")</f>
        <v/>
      </c>
    </row>
    <row r="480" ht="22" customHeight="1">
      <c r="B480" s="8" t="inlineStr">
        <is>
          <t>R00476</t>
        </is>
      </c>
      <c r="C480" s="8" t="inlineStr">
        <is>
          <t>MTR-CTW-004</t>
        </is>
      </c>
      <c r="D480" s="8" t="inlineStr">
        <is>
          <t>Cooling Tower</t>
        </is>
      </c>
      <c r="E480" s="8" t="inlineStr">
        <is>
          <t>Cooling Tower Cell 2</t>
        </is>
      </c>
      <c r="F480" s="8" t="inlineStr">
        <is>
          <t>2024-04-20 08:00</t>
        </is>
      </c>
      <c r="G480" s="12" t="n">
        <v>76820.71000000001</v>
      </c>
      <c r="H480" s="8" t="inlineStr">
        <is>
          <t>m3</t>
        </is>
      </c>
      <c r="I480" s="8" t="inlineStr">
        <is>
          <t>cumulative</t>
        </is>
      </c>
      <c r="J480" s="8" t="inlineStr">
        <is>
          <t>KL</t>
        </is>
      </c>
      <c r="K480" s="8" t="inlineStr"/>
      <c r="L480" s="10">
        <f>IFERROR(IF(F480&lt;F479,"NEGATIVE",ROUND(F480-F479,2)),"")</f>
        <v/>
      </c>
    </row>
    <row r="481" ht="22" customHeight="1">
      <c r="B481" s="5" t="inlineStr">
        <is>
          <t>R00477</t>
        </is>
      </c>
      <c r="C481" s="5" t="inlineStr">
        <is>
          <t>MTR-CTW-004</t>
        </is>
      </c>
      <c r="D481" s="5" t="inlineStr">
        <is>
          <t>Cooling Tower</t>
        </is>
      </c>
      <c r="E481" s="5" t="inlineStr">
        <is>
          <t>Cooling Tower Cell 2</t>
        </is>
      </c>
      <c r="F481" s="5" t="inlineStr">
        <is>
          <t>2024-04-21 08:00</t>
        </is>
      </c>
      <c r="G481" s="11" t="n">
        <v>76840.75</v>
      </c>
      <c r="H481" s="5" t="inlineStr">
        <is>
          <t>m3</t>
        </is>
      </c>
      <c r="I481" s="5" t="inlineStr">
        <is>
          <t>cumulative</t>
        </is>
      </c>
      <c r="J481" s="5" t="inlineStr">
        <is>
          <t>IJ</t>
        </is>
      </c>
      <c r="K481" s="5" t="inlineStr"/>
      <c r="L481" s="7">
        <f>IFERROR(IF(F481&lt;F480,"NEGATIVE",ROUND(F481-F480,2)),"")</f>
        <v/>
      </c>
    </row>
    <row r="482" ht="22" customHeight="1">
      <c r="B482" s="8" t="inlineStr">
        <is>
          <t>R00478</t>
        </is>
      </c>
      <c r="C482" s="8" t="inlineStr">
        <is>
          <t>MTR-CTW-004</t>
        </is>
      </c>
      <c r="D482" s="8" t="inlineStr">
        <is>
          <t>Cooling Tower</t>
        </is>
      </c>
      <c r="E482" s="8" t="inlineStr">
        <is>
          <t>Cooling Tower Cell 2</t>
        </is>
      </c>
      <c r="F482" s="8" t="inlineStr">
        <is>
          <t>2024-04-22 08:00</t>
        </is>
      </c>
      <c r="G482" s="12" t="n">
        <v>76885.96000000001</v>
      </c>
      <c r="H482" s="8" t="inlineStr">
        <is>
          <t>m3</t>
        </is>
      </c>
      <c r="I482" s="8" t="inlineStr">
        <is>
          <t>cumulative</t>
        </is>
      </c>
      <c r="J482" s="8" t="inlineStr">
        <is>
          <t>KL</t>
        </is>
      </c>
      <c r="K482" s="8" t="inlineStr"/>
      <c r="L482" s="10">
        <f>IFERROR(IF(F482&lt;F481,"NEGATIVE",ROUND(F482-F481,2)),"")</f>
        <v/>
      </c>
    </row>
    <row r="483" ht="22" customHeight="1">
      <c r="B483" s="5" t="inlineStr">
        <is>
          <t>R00479</t>
        </is>
      </c>
      <c r="C483" s="5" t="inlineStr">
        <is>
          <t>MTR-CTW-004</t>
        </is>
      </c>
      <c r="D483" s="5" t="inlineStr">
        <is>
          <t>Cooling Tower</t>
        </is>
      </c>
      <c r="E483" s="5" t="inlineStr">
        <is>
          <t>Cooling Tower Cell 2</t>
        </is>
      </c>
      <c r="F483" s="5" t="inlineStr">
        <is>
          <t>2024-04-23 08:00</t>
        </is>
      </c>
      <c r="G483" s="11" t="n">
        <v>76920.85000000001</v>
      </c>
      <c r="H483" s="5" t="inlineStr">
        <is>
          <t>m3</t>
        </is>
      </c>
      <c r="I483" s="5" t="inlineStr">
        <is>
          <t>cumulative</t>
        </is>
      </c>
      <c r="J483" s="5" t="inlineStr">
        <is>
          <t>KL</t>
        </is>
      </c>
      <c r="K483" s="5" t="inlineStr"/>
      <c r="L483" s="7">
        <f>IFERROR(IF(F483&lt;F482,"NEGATIVE",ROUND(F483-F482,2)),"")</f>
        <v/>
      </c>
    </row>
    <row r="484" ht="22" customHeight="1">
      <c r="B484" s="8" t="inlineStr">
        <is>
          <t>R00480</t>
        </is>
      </c>
      <c r="C484" s="8" t="inlineStr">
        <is>
          <t>MTR-CTW-004</t>
        </is>
      </c>
      <c r="D484" s="8" t="inlineStr">
        <is>
          <t>Cooling Tower</t>
        </is>
      </c>
      <c r="E484" s="8" t="inlineStr">
        <is>
          <t>Cooling Tower Cell 2</t>
        </is>
      </c>
      <c r="F484" s="8" t="inlineStr">
        <is>
          <t>2024-04-24 08:00</t>
        </is>
      </c>
      <c r="G484" s="12" t="n">
        <v>76958.8</v>
      </c>
      <c r="H484" s="8" t="inlineStr">
        <is>
          <t>m3</t>
        </is>
      </c>
      <c r="I484" s="8" t="inlineStr">
        <is>
          <t>cumulative</t>
        </is>
      </c>
      <c r="J484" s="8" t="inlineStr">
        <is>
          <t>IJ</t>
        </is>
      </c>
      <c r="K484" s="8" t="inlineStr"/>
      <c r="L484" s="10">
        <f>IFERROR(IF(F484&lt;F483,"NEGATIVE",ROUND(F484-F483,2)),"")</f>
        <v/>
      </c>
    </row>
    <row r="485" ht="22" customHeight="1">
      <c r="B485" s="5" t="inlineStr">
        <is>
          <t>R00481</t>
        </is>
      </c>
      <c r="C485" s="5" t="inlineStr">
        <is>
          <t>MTR-CTW-004</t>
        </is>
      </c>
      <c r="D485" s="5" t="inlineStr">
        <is>
          <t>Cooling Tower</t>
        </is>
      </c>
      <c r="E485" s="5" t="inlineStr">
        <is>
          <t>Cooling Tower Cell 2</t>
        </is>
      </c>
      <c r="F485" s="5" t="inlineStr">
        <is>
          <t>2024-04-25 08:00</t>
        </is>
      </c>
      <c r="G485" s="11" t="n">
        <v>76998.16</v>
      </c>
      <c r="H485" s="5" t="inlineStr">
        <is>
          <t>m3</t>
        </is>
      </c>
      <c r="I485" s="5" t="inlineStr">
        <is>
          <t>cumulative</t>
        </is>
      </c>
      <c r="J485" s="5" t="inlineStr">
        <is>
          <t>EF</t>
        </is>
      </c>
      <c r="K485" s="5" t="inlineStr"/>
      <c r="L485" s="7">
        <f>IFERROR(IF(F485&lt;F484,"NEGATIVE",ROUND(F485-F484,2)),"")</f>
        <v/>
      </c>
    </row>
    <row r="486" ht="22" customHeight="1">
      <c r="B486" s="8" t="inlineStr">
        <is>
          <t>R00482</t>
        </is>
      </c>
      <c r="C486" s="8" t="inlineStr">
        <is>
          <t>MTR-CTW-004</t>
        </is>
      </c>
      <c r="D486" s="8" t="inlineStr">
        <is>
          <t>Cooling Tower</t>
        </is>
      </c>
      <c r="E486" s="8" t="inlineStr">
        <is>
          <t>Cooling Tower Cell 2</t>
        </is>
      </c>
      <c r="F486" s="8" t="inlineStr">
        <is>
          <t>2024-04-26 08:00</t>
        </is>
      </c>
      <c r="G486" s="12" t="n">
        <v>77032.75</v>
      </c>
      <c r="H486" s="8" t="inlineStr">
        <is>
          <t>m3</t>
        </is>
      </c>
      <c r="I486" s="8" t="inlineStr">
        <is>
          <t>cumulative</t>
        </is>
      </c>
      <c r="J486" s="8" t="inlineStr">
        <is>
          <t>GH</t>
        </is>
      </c>
      <c r="K486" s="8" t="inlineStr"/>
      <c r="L486" s="10">
        <f>IFERROR(IF(F486&lt;F485,"NEGATIVE",ROUND(F486-F485,2)),"")</f>
        <v/>
      </c>
    </row>
    <row r="487" ht="22" customHeight="1">
      <c r="B487" s="5" t="inlineStr">
        <is>
          <t>R00483</t>
        </is>
      </c>
      <c r="C487" s="5" t="inlineStr">
        <is>
          <t>MTR-CTW-004</t>
        </is>
      </c>
      <c r="D487" s="5" t="inlineStr">
        <is>
          <t>Cooling Tower</t>
        </is>
      </c>
      <c r="E487" s="5" t="inlineStr">
        <is>
          <t>Cooling Tower Cell 2</t>
        </is>
      </c>
      <c r="F487" s="5" t="inlineStr">
        <is>
          <t>2024-04-27 08:00</t>
        </is>
      </c>
      <c r="G487" s="11" t="n">
        <v>77065.14999999999</v>
      </c>
      <c r="H487" s="5" t="inlineStr">
        <is>
          <t>m3</t>
        </is>
      </c>
      <c r="I487" s="5" t="inlineStr">
        <is>
          <t>cumulative</t>
        </is>
      </c>
      <c r="J487" s="5" t="inlineStr">
        <is>
          <t>GH</t>
        </is>
      </c>
      <c r="K487" s="5" t="inlineStr"/>
      <c r="L487" s="7">
        <f>IFERROR(IF(F487&lt;F486,"NEGATIVE",ROUND(F487-F486,2)),"")</f>
        <v/>
      </c>
    </row>
    <row r="488" ht="22" customHeight="1">
      <c r="B488" s="8" t="inlineStr">
        <is>
          <t>R00484</t>
        </is>
      </c>
      <c r="C488" s="8" t="inlineStr">
        <is>
          <t>MTR-CTW-004</t>
        </is>
      </c>
      <c r="D488" s="8" t="inlineStr">
        <is>
          <t>Cooling Tower</t>
        </is>
      </c>
      <c r="E488" s="8" t="inlineStr">
        <is>
          <t>Cooling Tower Cell 2</t>
        </is>
      </c>
      <c r="F488" s="8" t="inlineStr">
        <is>
          <t>2024-04-28 08:00</t>
        </is>
      </c>
      <c r="G488" s="12" t="n">
        <v>77083.25</v>
      </c>
      <c r="H488" s="8" t="inlineStr">
        <is>
          <t>m3</t>
        </is>
      </c>
      <c r="I488" s="8" t="inlineStr">
        <is>
          <t>cumulative</t>
        </is>
      </c>
      <c r="J488" s="8" t="inlineStr">
        <is>
          <t>AB</t>
        </is>
      </c>
      <c r="K488" s="8" t="inlineStr"/>
      <c r="L488" s="10">
        <f>IFERROR(IF(F488&lt;F487,"NEGATIVE",ROUND(F488-F487,2)),"")</f>
        <v/>
      </c>
    </row>
    <row r="489" ht="22" customHeight="1">
      <c r="B489" s="5" t="inlineStr">
        <is>
          <t>R00485</t>
        </is>
      </c>
      <c r="C489" s="5" t="inlineStr">
        <is>
          <t>MTR-CTW-004</t>
        </is>
      </c>
      <c r="D489" s="5" t="inlineStr">
        <is>
          <t>Cooling Tower</t>
        </is>
      </c>
      <c r="E489" s="5" t="inlineStr">
        <is>
          <t>Cooling Tower Cell 2</t>
        </is>
      </c>
      <c r="F489" s="5" t="inlineStr">
        <is>
          <t>2024-04-29 08:00</t>
        </is>
      </c>
      <c r="G489" s="11" t="n">
        <v>77117.55</v>
      </c>
      <c r="H489" s="5" t="inlineStr">
        <is>
          <t>m3</t>
        </is>
      </c>
      <c r="I489" s="5" t="inlineStr">
        <is>
          <t>cumulative</t>
        </is>
      </c>
      <c r="J489" s="5" t="inlineStr">
        <is>
          <t>EF</t>
        </is>
      </c>
      <c r="K489" s="5" t="inlineStr"/>
      <c r="L489" s="7">
        <f>IFERROR(IF(F489&lt;F488,"NEGATIVE",ROUND(F489-F488,2)),"")</f>
        <v/>
      </c>
    </row>
    <row r="490" ht="22" customHeight="1">
      <c r="B490" s="8" t="inlineStr">
        <is>
          <t>R00486</t>
        </is>
      </c>
      <c r="C490" s="8" t="inlineStr">
        <is>
          <t>MTR-CTW-004</t>
        </is>
      </c>
      <c r="D490" s="8" t="inlineStr">
        <is>
          <t>Cooling Tower</t>
        </is>
      </c>
      <c r="E490" s="8" t="inlineStr">
        <is>
          <t>Cooling Tower Cell 2</t>
        </is>
      </c>
      <c r="F490" s="8" t="inlineStr">
        <is>
          <t>2024-04-30 08:00</t>
        </is>
      </c>
      <c r="G490" s="12" t="n">
        <v>77156.41</v>
      </c>
      <c r="H490" s="8" t="inlineStr">
        <is>
          <t>m3</t>
        </is>
      </c>
      <c r="I490" s="8" t="inlineStr">
        <is>
          <t>cumulative</t>
        </is>
      </c>
      <c r="J490" s="8" t="inlineStr">
        <is>
          <t>AB</t>
        </is>
      </c>
      <c r="K490" s="8" t="inlineStr"/>
      <c r="L490" s="10">
        <f>IFERROR(IF(F490&lt;F489,"NEGATIVE",ROUND(F490-F489,2)),"")</f>
        <v/>
      </c>
    </row>
    <row r="491" ht="22" customHeight="1">
      <c r="B491" s="5" t="inlineStr">
        <is>
          <t>R00487</t>
        </is>
      </c>
      <c r="C491" s="5" t="inlineStr">
        <is>
          <t>MTR-CTW-004</t>
        </is>
      </c>
      <c r="D491" s="5" t="inlineStr">
        <is>
          <t>Cooling Tower</t>
        </is>
      </c>
      <c r="E491" s="5" t="inlineStr">
        <is>
          <t>Cooling Tower Cell 2</t>
        </is>
      </c>
      <c r="F491" s="5" t="inlineStr">
        <is>
          <t>2024-05-01 08:00</t>
        </is>
      </c>
      <c r="G491" s="11" t="n">
        <v>77193.78999999999</v>
      </c>
      <c r="H491" s="5" t="inlineStr">
        <is>
          <t>m3</t>
        </is>
      </c>
      <c r="I491" s="5" t="inlineStr">
        <is>
          <t>cumulative</t>
        </is>
      </c>
      <c r="J491" s="5" t="inlineStr">
        <is>
          <t>EF</t>
        </is>
      </c>
      <c r="K491" s="5" t="inlineStr"/>
      <c r="L491" s="7">
        <f>IFERROR(IF(F491&lt;F490,"NEGATIVE",ROUND(F491-F490,2)),"")</f>
        <v/>
      </c>
    </row>
    <row r="492" ht="22" customHeight="1">
      <c r="B492" s="8" t="inlineStr">
        <is>
          <t>R00488</t>
        </is>
      </c>
      <c r="C492" s="8" t="inlineStr">
        <is>
          <t>MTR-CTW-004</t>
        </is>
      </c>
      <c r="D492" s="8" t="inlineStr">
        <is>
          <t>Cooling Tower</t>
        </is>
      </c>
      <c r="E492" s="8" t="inlineStr">
        <is>
          <t>Cooling Tower Cell 2</t>
        </is>
      </c>
      <c r="F492" s="8" t="inlineStr">
        <is>
          <t>2024-05-02 08:00</t>
        </is>
      </c>
      <c r="G492" s="12" t="n">
        <v>77229.71000000001</v>
      </c>
      <c r="H492" s="8" t="inlineStr">
        <is>
          <t>m3</t>
        </is>
      </c>
      <c r="I492" s="8" t="inlineStr">
        <is>
          <t>cumulative</t>
        </is>
      </c>
      <c r="J492" s="8" t="inlineStr">
        <is>
          <t>KL</t>
        </is>
      </c>
      <c r="K492" s="8" t="inlineStr"/>
      <c r="L492" s="10">
        <f>IFERROR(IF(F492&lt;F491,"NEGATIVE",ROUND(F492-F491,2)),"")</f>
        <v/>
      </c>
    </row>
    <row r="493" ht="22" customHeight="1">
      <c r="B493" s="5" t="inlineStr">
        <is>
          <t>R00489</t>
        </is>
      </c>
      <c r="C493" s="5" t="inlineStr">
        <is>
          <t>MTR-CTW-004</t>
        </is>
      </c>
      <c r="D493" s="5" t="inlineStr">
        <is>
          <t>Cooling Tower</t>
        </is>
      </c>
      <c r="E493" s="5" t="inlineStr">
        <is>
          <t>Cooling Tower Cell 2</t>
        </is>
      </c>
      <c r="F493" s="5" t="inlineStr">
        <is>
          <t>2024-05-03 08:00</t>
        </is>
      </c>
      <c r="G493" s="11" t="n">
        <v>77268.60000000001</v>
      </c>
      <c r="H493" s="5" t="inlineStr">
        <is>
          <t>m3</t>
        </is>
      </c>
      <c r="I493" s="5" t="inlineStr">
        <is>
          <t>cumulative</t>
        </is>
      </c>
      <c r="J493" s="5" t="inlineStr">
        <is>
          <t>GH</t>
        </is>
      </c>
      <c r="K493" s="5" t="inlineStr"/>
      <c r="L493" s="7">
        <f>IFERROR(IF(F493&lt;F492,"NEGATIVE",ROUND(F493-F492,2)),"")</f>
        <v/>
      </c>
    </row>
    <row r="494" ht="22" customHeight="1">
      <c r="B494" s="8" t="inlineStr">
        <is>
          <t>R00490</t>
        </is>
      </c>
      <c r="C494" s="8" t="inlineStr">
        <is>
          <t>MTR-CTW-004</t>
        </is>
      </c>
      <c r="D494" s="8" t="inlineStr">
        <is>
          <t>Cooling Tower</t>
        </is>
      </c>
      <c r="E494" s="8" t="inlineStr">
        <is>
          <t>Cooling Tower Cell 2</t>
        </is>
      </c>
      <c r="F494" s="8" t="inlineStr">
        <is>
          <t>2024-05-04 08:00</t>
        </is>
      </c>
      <c r="G494" s="12" t="n">
        <v>77297.49000000001</v>
      </c>
      <c r="H494" s="8" t="inlineStr">
        <is>
          <t>m3</t>
        </is>
      </c>
      <c r="I494" s="8" t="inlineStr">
        <is>
          <t>cumulative</t>
        </is>
      </c>
      <c r="J494" s="8" t="inlineStr">
        <is>
          <t>EF</t>
        </is>
      </c>
      <c r="K494" s="8" t="inlineStr"/>
      <c r="L494" s="10">
        <f>IFERROR(IF(F494&lt;F493,"NEGATIVE",ROUND(F494-F493,2)),"")</f>
        <v/>
      </c>
    </row>
    <row r="495" ht="22" customHeight="1">
      <c r="B495" s="5" t="inlineStr">
        <is>
          <t>R00491</t>
        </is>
      </c>
      <c r="C495" s="5" t="inlineStr">
        <is>
          <t>MTR-CTW-004</t>
        </is>
      </c>
      <c r="D495" s="5" t="inlineStr">
        <is>
          <t>Cooling Tower</t>
        </is>
      </c>
      <c r="E495" s="5" t="inlineStr">
        <is>
          <t>Cooling Tower Cell 2</t>
        </is>
      </c>
      <c r="F495" s="5" t="inlineStr">
        <is>
          <t>2024-05-05 08:00</t>
        </is>
      </c>
      <c r="G495" s="11" t="n">
        <v>77321.7</v>
      </c>
      <c r="H495" s="5" t="inlineStr">
        <is>
          <t>m3</t>
        </is>
      </c>
      <c r="I495" s="5" t="inlineStr">
        <is>
          <t>cumulative</t>
        </is>
      </c>
      <c r="J495" s="5" t="inlineStr">
        <is>
          <t>IJ</t>
        </is>
      </c>
      <c r="K495" s="5" t="inlineStr"/>
      <c r="L495" s="7">
        <f>IFERROR(IF(F495&lt;F494,"NEGATIVE",ROUND(F495-F494,2)),"")</f>
        <v/>
      </c>
    </row>
    <row r="496" ht="22" customHeight="1">
      <c r="B496" s="8" t="inlineStr">
        <is>
          <t>R00492</t>
        </is>
      </c>
      <c r="C496" s="8" t="inlineStr">
        <is>
          <t>MTR-CTW-004</t>
        </is>
      </c>
      <c r="D496" s="8" t="inlineStr">
        <is>
          <t>Cooling Tower</t>
        </is>
      </c>
      <c r="E496" s="8" t="inlineStr">
        <is>
          <t>Cooling Tower Cell 2</t>
        </is>
      </c>
      <c r="F496" s="8" t="inlineStr">
        <is>
          <t>2024-05-06 08:00</t>
        </is>
      </c>
      <c r="G496" s="12" t="n">
        <v>77362.92</v>
      </c>
      <c r="H496" s="8" t="inlineStr">
        <is>
          <t>m3</t>
        </is>
      </c>
      <c r="I496" s="8" t="inlineStr">
        <is>
          <t>cumulative</t>
        </is>
      </c>
      <c r="J496" s="8" t="inlineStr">
        <is>
          <t>CD</t>
        </is>
      </c>
      <c r="K496" s="8" t="inlineStr"/>
      <c r="L496" s="10">
        <f>IFERROR(IF(F496&lt;F495,"NEGATIVE",ROUND(F496-F495,2)),"")</f>
        <v/>
      </c>
    </row>
    <row r="497" ht="22" customHeight="1">
      <c r="B497" s="5" t="inlineStr">
        <is>
          <t>R00493</t>
        </is>
      </c>
      <c r="C497" s="5" t="inlineStr">
        <is>
          <t>MTR-CTW-004</t>
        </is>
      </c>
      <c r="D497" s="5" t="inlineStr">
        <is>
          <t>Cooling Tower</t>
        </is>
      </c>
      <c r="E497" s="5" t="inlineStr">
        <is>
          <t>Cooling Tower Cell 2</t>
        </is>
      </c>
      <c r="F497" s="5" t="inlineStr">
        <is>
          <t>2024-05-07 08:00</t>
        </is>
      </c>
      <c r="G497" s="11" t="n">
        <v>77402.95</v>
      </c>
      <c r="H497" s="5" t="inlineStr">
        <is>
          <t>m3</t>
        </is>
      </c>
      <c r="I497" s="5" t="inlineStr">
        <is>
          <t>cumulative</t>
        </is>
      </c>
      <c r="J497" s="5" t="inlineStr">
        <is>
          <t>EF</t>
        </is>
      </c>
      <c r="K497" s="5" t="inlineStr"/>
      <c r="L497" s="7">
        <f>IFERROR(IF(F497&lt;F496,"NEGATIVE",ROUND(F497-F496,2)),"")</f>
        <v/>
      </c>
    </row>
    <row r="498" ht="22" customHeight="1">
      <c r="B498" s="8" t="inlineStr">
        <is>
          <t>R00494</t>
        </is>
      </c>
      <c r="C498" s="8" t="inlineStr">
        <is>
          <t>MTR-CTW-004</t>
        </is>
      </c>
      <c r="D498" s="8" t="inlineStr">
        <is>
          <t>Cooling Tower</t>
        </is>
      </c>
      <c r="E498" s="8" t="inlineStr">
        <is>
          <t>Cooling Tower Cell 2</t>
        </is>
      </c>
      <c r="F498" s="8" t="inlineStr">
        <is>
          <t>2024-05-08 08:00</t>
        </is>
      </c>
      <c r="G498" s="12" t="n">
        <v>77446.87</v>
      </c>
      <c r="H498" s="8" t="inlineStr">
        <is>
          <t>m3</t>
        </is>
      </c>
      <c r="I498" s="8" t="inlineStr">
        <is>
          <t>cumulative</t>
        </is>
      </c>
      <c r="J498" s="8" t="inlineStr">
        <is>
          <t>KL</t>
        </is>
      </c>
      <c r="K498" s="8" t="inlineStr"/>
      <c r="L498" s="10">
        <f>IFERROR(IF(F498&lt;F497,"NEGATIVE",ROUND(F498-F497,2)),"")</f>
        <v/>
      </c>
    </row>
    <row r="499" ht="22" customHeight="1">
      <c r="B499" s="5" t="inlineStr">
        <is>
          <t>R00495</t>
        </is>
      </c>
      <c r="C499" s="5" t="inlineStr">
        <is>
          <t>MTR-CTW-004</t>
        </is>
      </c>
      <c r="D499" s="5" t="inlineStr">
        <is>
          <t>Cooling Tower</t>
        </is>
      </c>
      <c r="E499" s="5" t="inlineStr">
        <is>
          <t>Cooling Tower Cell 2</t>
        </is>
      </c>
      <c r="F499" s="5" t="inlineStr">
        <is>
          <t>2024-05-09 08:00</t>
        </is>
      </c>
      <c r="G499" s="11" t="n">
        <v>77490.48</v>
      </c>
      <c r="H499" s="5" t="inlineStr">
        <is>
          <t>m3</t>
        </is>
      </c>
      <c r="I499" s="5" t="inlineStr">
        <is>
          <t>cumulative</t>
        </is>
      </c>
      <c r="J499" s="5" t="inlineStr">
        <is>
          <t>GH</t>
        </is>
      </c>
      <c r="K499" s="5" t="inlineStr"/>
      <c r="L499" s="7">
        <f>IFERROR(IF(F499&lt;F498,"NEGATIVE",ROUND(F499-F498,2)),"")</f>
        <v/>
      </c>
    </row>
    <row r="500" ht="22" customHeight="1">
      <c r="B500" s="8" t="inlineStr">
        <is>
          <t>R00496</t>
        </is>
      </c>
      <c r="C500" s="8" t="inlineStr">
        <is>
          <t>MTR-CTW-004</t>
        </is>
      </c>
      <c r="D500" s="8" t="inlineStr">
        <is>
          <t>Cooling Tower</t>
        </is>
      </c>
      <c r="E500" s="8" t="inlineStr">
        <is>
          <t>Cooling Tower Cell 2</t>
        </is>
      </c>
      <c r="F500" s="8" t="inlineStr">
        <is>
          <t>2024-05-10 08:00</t>
        </is>
      </c>
      <c r="G500" s="12" t="n">
        <v>77537.78</v>
      </c>
      <c r="H500" s="8" t="inlineStr">
        <is>
          <t>m3</t>
        </is>
      </c>
      <c r="I500" s="8" t="inlineStr">
        <is>
          <t>cumulative</t>
        </is>
      </c>
      <c r="J500" s="8" t="inlineStr">
        <is>
          <t>IJ</t>
        </is>
      </c>
      <c r="K500" s="8" t="inlineStr"/>
      <c r="L500" s="10">
        <f>IFERROR(IF(F500&lt;F499,"NEGATIVE",ROUND(F500-F499,2)),"")</f>
        <v/>
      </c>
    </row>
    <row r="501" ht="22" customHeight="1">
      <c r="B501" s="5" t="inlineStr">
        <is>
          <t>R00497</t>
        </is>
      </c>
      <c r="C501" s="5" t="inlineStr">
        <is>
          <t>MTR-CTW-004</t>
        </is>
      </c>
      <c r="D501" s="5" t="inlineStr">
        <is>
          <t>Cooling Tower</t>
        </is>
      </c>
      <c r="E501" s="5" t="inlineStr">
        <is>
          <t>Cooling Tower Cell 2</t>
        </is>
      </c>
      <c r="F501" s="5" t="inlineStr">
        <is>
          <t>2024-05-11 08:00</t>
        </is>
      </c>
      <c r="G501" s="11" t="n">
        <v>77568.02</v>
      </c>
      <c r="H501" s="5" t="inlineStr">
        <is>
          <t>m3</t>
        </is>
      </c>
      <c r="I501" s="5" t="inlineStr">
        <is>
          <t>cumulative</t>
        </is>
      </c>
      <c r="J501" s="5" t="inlineStr">
        <is>
          <t>CD</t>
        </is>
      </c>
      <c r="K501" s="5" t="inlineStr"/>
      <c r="L501" s="7">
        <f>IFERROR(IF(F501&lt;F500,"NEGATIVE",ROUND(F501-F500,2)),"")</f>
        <v/>
      </c>
    </row>
    <row r="502" ht="22" customHeight="1">
      <c r="B502" s="8" t="inlineStr">
        <is>
          <t>R00498</t>
        </is>
      </c>
      <c r="C502" s="8" t="inlineStr">
        <is>
          <t>MTR-CTW-004</t>
        </is>
      </c>
      <c r="D502" s="8" t="inlineStr">
        <is>
          <t>Cooling Tower</t>
        </is>
      </c>
      <c r="E502" s="8" t="inlineStr">
        <is>
          <t>Cooling Tower Cell 2</t>
        </is>
      </c>
      <c r="F502" s="8" t="inlineStr">
        <is>
          <t>2024-05-12 08:00</t>
        </is>
      </c>
      <c r="G502" s="12" t="n">
        <v>77592.00999999999</v>
      </c>
      <c r="H502" s="8" t="inlineStr">
        <is>
          <t>m3</t>
        </is>
      </c>
      <c r="I502" s="8" t="inlineStr">
        <is>
          <t>cumulative</t>
        </is>
      </c>
      <c r="J502" s="8" t="inlineStr">
        <is>
          <t>IJ</t>
        </is>
      </c>
      <c r="K502" s="8" t="inlineStr"/>
      <c r="L502" s="10">
        <f>IFERROR(IF(F502&lt;F501,"NEGATIVE",ROUND(F502-F501,2)),"")</f>
        <v/>
      </c>
    </row>
    <row r="503" ht="22" customHeight="1">
      <c r="B503" s="5" t="inlineStr">
        <is>
          <t>R00499</t>
        </is>
      </c>
      <c r="C503" s="5" t="inlineStr">
        <is>
          <t>MTR-CTW-004</t>
        </is>
      </c>
      <c r="D503" s="5" t="inlineStr">
        <is>
          <t>Cooling Tower</t>
        </is>
      </c>
      <c r="E503" s="5" t="inlineStr">
        <is>
          <t>Cooling Tower Cell 2</t>
        </is>
      </c>
      <c r="F503" s="5" t="inlineStr">
        <is>
          <t>2024-05-13 08:00</t>
        </is>
      </c>
      <c r="G503" s="11" t="n">
        <v>77632.07000000001</v>
      </c>
      <c r="H503" s="5" t="inlineStr">
        <is>
          <t>m3</t>
        </is>
      </c>
      <c r="I503" s="5" t="inlineStr">
        <is>
          <t>cumulative</t>
        </is>
      </c>
      <c r="J503" s="5" t="inlineStr">
        <is>
          <t>KL</t>
        </is>
      </c>
      <c r="K503" s="5" t="inlineStr"/>
      <c r="L503" s="7">
        <f>IFERROR(IF(F503&lt;F502,"NEGATIVE",ROUND(F503-F502,2)),"")</f>
        <v/>
      </c>
    </row>
    <row r="504" ht="22" customHeight="1">
      <c r="B504" s="8" t="inlineStr">
        <is>
          <t>R00500</t>
        </is>
      </c>
      <c r="C504" s="8" t="inlineStr">
        <is>
          <t>MTR-CTW-004</t>
        </is>
      </c>
      <c r="D504" s="8" t="inlineStr">
        <is>
          <t>Cooling Tower</t>
        </is>
      </c>
      <c r="E504" s="8" t="inlineStr">
        <is>
          <t>Cooling Tower Cell 2</t>
        </is>
      </c>
      <c r="F504" s="8" t="inlineStr">
        <is>
          <t>2024-05-14 08:00</t>
        </is>
      </c>
      <c r="G504" s="12" t="n">
        <v>77678.22</v>
      </c>
      <c r="H504" s="8" t="inlineStr">
        <is>
          <t>m3</t>
        </is>
      </c>
      <c r="I504" s="8" t="inlineStr">
        <is>
          <t>cumulative</t>
        </is>
      </c>
      <c r="J504" s="8" t="inlineStr">
        <is>
          <t>CD</t>
        </is>
      </c>
      <c r="K504" s="8" t="inlineStr"/>
      <c r="L504" s="10">
        <f>IFERROR(IF(F504&lt;F503,"NEGATIVE",ROUND(F504-F503,2)),"")</f>
        <v/>
      </c>
    </row>
    <row r="505" ht="22" customHeight="1">
      <c r="B505" s="5" t="inlineStr">
        <is>
          <t>R00501</t>
        </is>
      </c>
      <c r="C505" s="5" t="inlineStr">
        <is>
          <t>MTR-CTW-004</t>
        </is>
      </c>
      <c r="D505" s="5" t="inlineStr">
        <is>
          <t>Cooling Tower</t>
        </is>
      </c>
      <c r="E505" s="5" t="inlineStr">
        <is>
          <t>Cooling Tower Cell 2</t>
        </is>
      </c>
      <c r="F505" s="5" t="inlineStr">
        <is>
          <t>2024-05-15 08:00</t>
        </is>
      </c>
      <c r="G505" s="11" t="n">
        <v>77723.10000000001</v>
      </c>
      <c r="H505" s="5" t="inlineStr">
        <is>
          <t>m3</t>
        </is>
      </c>
      <c r="I505" s="5" t="inlineStr">
        <is>
          <t>cumulative</t>
        </is>
      </c>
      <c r="J505" s="5" t="inlineStr">
        <is>
          <t>CD</t>
        </is>
      </c>
      <c r="K505" s="5" t="inlineStr"/>
      <c r="L505" s="7">
        <f>IFERROR(IF(F505&lt;F504,"NEGATIVE",ROUND(F505-F504,2)),"")</f>
        <v/>
      </c>
    </row>
    <row r="506" ht="22" customHeight="1">
      <c r="B506" s="8" t="inlineStr">
        <is>
          <t>R00502</t>
        </is>
      </c>
      <c r="C506" s="8" t="inlineStr">
        <is>
          <t>MTR-CTW-004</t>
        </is>
      </c>
      <c r="D506" s="8" t="inlineStr">
        <is>
          <t>Cooling Tower</t>
        </is>
      </c>
      <c r="E506" s="8" t="inlineStr">
        <is>
          <t>Cooling Tower Cell 2</t>
        </is>
      </c>
      <c r="F506" s="8" t="inlineStr">
        <is>
          <t>2024-05-16 08:00</t>
        </is>
      </c>
      <c r="G506" s="12" t="n">
        <v>77759.12</v>
      </c>
      <c r="H506" s="8" t="inlineStr">
        <is>
          <t>m3</t>
        </is>
      </c>
      <c r="I506" s="8" t="inlineStr">
        <is>
          <t>cumulative</t>
        </is>
      </c>
      <c r="J506" s="8" t="inlineStr">
        <is>
          <t>CD</t>
        </is>
      </c>
      <c r="K506" s="8" t="inlineStr"/>
      <c r="L506" s="10">
        <f>IFERROR(IF(F506&lt;F505,"NEGATIVE",ROUND(F506-F505,2)),"")</f>
        <v/>
      </c>
    </row>
    <row r="507" ht="22" customHeight="1">
      <c r="B507" s="5" t="inlineStr">
        <is>
          <t>R00503</t>
        </is>
      </c>
      <c r="C507" s="5" t="inlineStr">
        <is>
          <t>MTR-CTW-004</t>
        </is>
      </c>
      <c r="D507" s="5" t="inlineStr">
        <is>
          <t>Cooling Tower</t>
        </is>
      </c>
      <c r="E507" s="5" t="inlineStr">
        <is>
          <t>Cooling Tower Cell 2</t>
        </is>
      </c>
      <c r="F507" s="5" t="inlineStr">
        <is>
          <t>2024-05-17 08:00</t>
        </is>
      </c>
      <c r="G507" s="11" t="n">
        <v>77794.75999999999</v>
      </c>
      <c r="H507" s="5" t="inlineStr">
        <is>
          <t>m3</t>
        </is>
      </c>
      <c r="I507" s="5" t="inlineStr">
        <is>
          <t>cumulative</t>
        </is>
      </c>
      <c r="J507" s="5" t="inlineStr">
        <is>
          <t>IJ</t>
        </is>
      </c>
      <c r="K507" s="5" t="inlineStr"/>
      <c r="L507" s="7">
        <f>IFERROR(IF(F507&lt;F506,"NEGATIVE",ROUND(F507-F506,2)),"")</f>
        <v/>
      </c>
    </row>
    <row r="508" ht="22" customHeight="1">
      <c r="B508" s="8" t="inlineStr">
        <is>
          <t>R00504</t>
        </is>
      </c>
      <c r="C508" s="8" t="inlineStr">
        <is>
          <t>MTR-CTW-004</t>
        </is>
      </c>
      <c r="D508" s="8" t="inlineStr">
        <is>
          <t>Cooling Tower</t>
        </is>
      </c>
      <c r="E508" s="8" t="inlineStr">
        <is>
          <t>Cooling Tower Cell 2</t>
        </is>
      </c>
      <c r="F508" s="8" t="inlineStr">
        <is>
          <t>2024-05-18 08:00</t>
        </is>
      </c>
      <c r="G508" s="12" t="n">
        <v>77824.46000000001</v>
      </c>
      <c r="H508" s="8" t="inlineStr">
        <is>
          <t>m3</t>
        </is>
      </c>
      <c r="I508" s="8" t="inlineStr">
        <is>
          <t>cumulative</t>
        </is>
      </c>
      <c r="J508" s="8" t="inlineStr">
        <is>
          <t>EF</t>
        </is>
      </c>
      <c r="K508" s="8" t="inlineStr"/>
      <c r="L508" s="10">
        <f>IFERROR(IF(F508&lt;F507,"NEGATIVE",ROUND(F508-F507,2)),"")</f>
        <v/>
      </c>
    </row>
    <row r="509" ht="22" customHeight="1">
      <c r="B509" s="5" t="inlineStr">
        <is>
          <t>R00505</t>
        </is>
      </c>
      <c r="C509" s="5" t="inlineStr">
        <is>
          <t>MTR-CTW-004</t>
        </is>
      </c>
      <c r="D509" s="5" t="inlineStr">
        <is>
          <t>Cooling Tower</t>
        </is>
      </c>
      <c r="E509" s="5" t="inlineStr">
        <is>
          <t>Cooling Tower Cell 2</t>
        </is>
      </c>
      <c r="F509" s="5" t="inlineStr">
        <is>
          <t>2024-05-19 08:00</t>
        </is>
      </c>
      <c r="G509" s="11" t="n">
        <v>77844.44</v>
      </c>
      <c r="H509" s="5" t="inlineStr">
        <is>
          <t>m3</t>
        </is>
      </c>
      <c r="I509" s="5" t="inlineStr">
        <is>
          <t>cumulative</t>
        </is>
      </c>
      <c r="J509" s="5" t="inlineStr">
        <is>
          <t>CD</t>
        </is>
      </c>
      <c r="K509" s="5" t="inlineStr"/>
      <c r="L509" s="7">
        <f>IFERROR(IF(F509&lt;F508,"NEGATIVE",ROUND(F509-F508,2)),"")</f>
        <v/>
      </c>
    </row>
    <row r="510" ht="22" customHeight="1">
      <c r="B510" s="8" t="inlineStr">
        <is>
          <t>R00506</t>
        </is>
      </c>
      <c r="C510" s="8" t="inlineStr">
        <is>
          <t>MTR-CTW-004</t>
        </is>
      </c>
      <c r="D510" s="8" t="inlineStr">
        <is>
          <t>Cooling Tower</t>
        </is>
      </c>
      <c r="E510" s="8" t="inlineStr">
        <is>
          <t>Cooling Tower Cell 2</t>
        </is>
      </c>
      <c r="F510" s="8" t="inlineStr">
        <is>
          <t>2024-05-20 08:00</t>
        </is>
      </c>
      <c r="G510" s="12" t="n">
        <v>77887.32000000001</v>
      </c>
      <c r="H510" s="8" t="inlineStr">
        <is>
          <t>m3</t>
        </is>
      </c>
      <c r="I510" s="8" t="inlineStr">
        <is>
          <t>cumulative</t>
        </is>
      </c>
      <c r="J510" s="8" t="inlineStr">
        <is>
          <t>IJ</t>
        </is>
      </c>
      <c r="K510" s="8" t="inlineStr"/>
      <c r="L510" s="10">
        <f>IFERROR(IF(F510&lt;F509,"NEGATIVE",ROUND(F510-F509,2)),"")</f>
        <v/>
      </c>
    </row>
    <row r="511" ht="22" customHeight="1">
      <c r="B511" s="5" t="inlineStr">
        <is>
          <t>R00507</t>
        </is>
      </c>
      <c r="C511" s="5" t="inlineStr">
        <is>
          <t>MTR-CTW-004</t>
        </is>
      </c>
      <c r="D511" s="5" t="inlineStr">
        <is>
          <t>Cooling Tower</t>
        </is>
      </c>
      <c r="E511" s="5" t="inlineStr">
        <is>
          <t>Cooling Tower Cell 2</t>
        </is>
      </c>
      <c r="F511" s="5" t="inlineStr">
        <is>
          <t>2024-05-21 08:00</t>
        </is>
      </c>
      <c r="G511" s="11" t="n">
        <v>77925.89999999999</v>
      </c>
      <c r="H511" s="5" t="inlineStr">
        <is>
          <t>m3</t>
        </is>
      </c>
      <c r="I511" s="5" t="inlineStr">
        <is>
          <t>cumulative</t>
        </is>
      </c>
      <c r="J511" s="5" t="inlineStr">
        <is>
          <t>AB</t>
        </is>
      </c>
      <c r="K511" s="5" t="inlineStr"/>
      <c r="L511" s="7">
        <f>IFERROR(IF(F511&lt;F510,"NEGATIVE",ROUND(F511-F510,2)),"")</f>
        <v/>
      </c>
    </row>
    <row r="512" ht="22" customHeight="1">
      <c r="B512" s="8" t="inlineStr">
        <is>
          <t>R00508</t>
        </is>
      </c>
      <c r="C512" s="8" t="inlineStr">
        <is>
          <t>MTR-CTW-004</t>
        </is>
      </c>
      <c r="D512" s="8" t="inlineStr">
        <is>
          <t>Cooling Tower</t>
        </is>
      </c>
      <c r="E512" s="8" t="inlineStr">
        <is>
          <t>Cooling Tower Cell 2</t>
        </is>
      </c>
      <c r="F512" s="8" t="inlineStr">
        <is>
          <t>2024-05-22 08:00</t>
        </is>
      </c>
      <c r="G512" s="12" t="n">
        <v>77967.60000000001</v>
      </c>
      <c r="H512" s="8" t="inlineStr">
        <is>
          <t>m3</t>
        </is>
      </c>
      <c r="I512" s="8" t="inlineStr">
        <is>
          <t>cumulative</t>
        </is>
      </c>
      <c r="J512" s="8" t="inlineStr">
        <is>
          <t>IJ</t>
        </is>
      </c>
      <c r="K512" s="8" t="inlineStr"/>
      <c r="L512" s="10">
        <f>IFERROR(IF(F512&lt;F511,"NEGATIVE",ROUND(F512-F511,2)),"")</f>
        <v/>
      </c>
    </row>
    <row r="513" ht="22" customHeight="1">
      <c r="B513" s="5" t="inlineStr">
        <is>
          <t>R00509</t>
        </is>
      </c>
      <c r="C513" s="5" t="inlineStr">
        <is>
          <t>MTR-CTW-004</t>
        </is>
      </c>
      <c r="D513" s="5" t="inlineStr">
        <is>
          <t>Cooling Tower</t>
        </is>
      </c>
      <c r="E513" s="5" t="inlineStr">
        <is>
          <t>Cooling Tower Cell 2</t>
        </is>
      </c>
      <c r="F513" s="5" t="inlineStr">
        <is>
          <t>2024-05-23 08:00</t>
        </is>
      </c>
      <c r="G513" s="11" t="n">
        <v>78006.84</v>
      </c>
      <c r="H513" s="5" t="inlineStr">
        <is>
          <t>m3</t>
        </is>
      </c>
      <c r="I513" s="5" t="inlineStr">
        <is>
          <t>cumulative</t>
        </is>
      </c>
      <c r="J513" s="5" t="inlineStr">
        <is>
          <t>KL</t>
        </is>
      </c>
      <c r="K513" s="5" t="inlineStr"/>
      <c r="L513" s="7">
        <f>IFERROR(IF(F513&lt;F512,"NEGATIVE",ROUND(F513-F512,2)),"")</f>
        <v/>
      </c>
    </row>
    <row r="514" ht="22" customHeight="1">
      <c r="B514" s="8" t="inlineStr">
        <is>
          <t>R00510</t>
        </is>
      </c>
      <c r="C514" s="8" t="inlineStr">
        <is>
          <t>MTR-CTW-004</t>
        </is>
      </c>
      <c r="D514" s="8" t="inlineStr">
        <is>
          <t>Cooling Tower</t>
        </is>
      </c>
      <c r="E514" s="8" t="inlineStr">
        <is>
          <t>Cooling Tower Cell 2</t>
        </is>
      </c>
      <c r="F514" s="8" t="inlineStr">
        <is>
          <t>2024-05-24 08:00</t>
        </is>
      </c>
      <c r="G514" s="12" t="n">
        <v>78043.99000000001</v>
      </c>
      <c r="H514" s="8" t="inlineStr">
        <is>
          <t>m3</t>
        </is>
      </c>
      <c r="I514" s="8" t="inlineStr">
        <is>
          <t>cumulative</t>
        </is>
      </c>
      <c r="J514" s="8" t="inlineStr">
        <is>
          <t>KL</t>
        </is>
      </c>
      <c r="K514" s="8" t="inlineStr"/>
      <c r="L514" s="10">
        <f>IFERROR(IF(F514&lt;F513,"NEGATIVE",ROUND(F514-F513,2)),"")</f>
        <v/>
      </c>
    </row>
    <row r="515" ht="22" customHeight="1">
      <c r="B515" s="5" t="inlineStr">
        <is>
          <t>R00511</t>
        </is>
      </c>
      <c r="C515" s="5" t="inlineStr">
        <is>
          <t>MTR-CTW-004</t>
        </is>
      </c>
      <c r="D515" s="5" t="inlineStr">
        <is>
          <t>Cooling Tower</t>
        </is>
      </c>
      <c r="E515" s="5" t="inlineStr">
        <is>
          <t>Cooling Tower Cell 2</t>
        </is>
      </c>
      <c r="F515" s="5" t="inlineStr">
        <is>
          <t>2024-05-25 08:00</t>
        </is>
      </c>
      <c r="G515" s="11" t="n">
        <v>78072.75</v>
      </c>
      <c r="H515" s="5" t="inlineStr">
        <is>
          <t>m3</t>
        </is>
      </c>
      <c r="I515" s="5" t="inlineStr">
        <is>
          <t>cumulative</t>
        </is>
      </c>
      <c r="J515" s="5" t="inlineStr">
        <is>
          <t>CD</t>
        </is>
      </c>
      <c r="K515" s="5" t="inlineStr"/>
      <c r="L515" s="7">
        <f>IFERROR(IF(F515&lt;F514,"NEGATIVE",ROUND(F515-F514,2)),"")</f>
        <v/>
      </c>
    </row>
    <row r="516" ht="22" customHeight="1">
      <c r="B516" s="8" t="inlineStr">
        <is>
          <t>R00512</t>
        </is>
      </c>
      <c r="C516" s="8" t="inlineStr">
        <is>
          <t>MTR-CTW-004</t>
        </is>
      </c>
      <c r="D516" s="8" t="inlineStr">
        <is>
          <t>Cooling Tower</t>
        </is>
      </c>
      <c r="E516" s="8" t="inlineStr">
        <is>
          <t>Cooling Tower Cell 2</t>
        </is>
      </c>
      <c r="F516" s="8" t="inlineStr">
        <is>
          <t>2024-05-26 08:00</t>
        </is>
      </c>
      <c r="G516" s="12" t="n">
        <v>78092.92999999999</v>
      </c>
      <c r="H516" s="8" t="inlineStr">
        <is>
          <t>m3</t>
        </is>
      </c>
      <c r="I516" s="8" t="inlineStr">
        <is>
          <t>cumulative</t>
        </is>
      </c>
      <c r="J516" s="8" t="inlineStr">
        <is>
          <t>AB</t>
        </is>
      </c>
      <c r="K516" s="8" t="inlineStr"/>
      <c r="L516" s="10">
        <f>IFERROR(IF(F516&lt;F515,"NEGATIVE",ROUND(F516-F515,2)),"")</f>
        <v/>
      </c>
    </row>
    <row r="517" ht="22" customHeight="1">
      <c r="B517" s="5" t="inlineStr">
        <is>
          <t>R00513</t>
        </is>
      </c>
      <c r="C517" s="5" t="inlineStr">
        <is>
          <t>MTR-CTW-004</t>
        </is>
      </c>
      <c r="D517" s="5" t="inlineStr">
        <is>
          <t>Cooling Tower</t>
        </is>
      </c>
      <c r="E517" s="5" t="inlineStr">
        <is>
          <t>Cooling Tower Cell 2</t>
        </is>
      </c>
      <c r="F517" s="5" t="inlineStr">
        <is>
          <t>2024-05-27 08:00</t>
        </is>
      </c>
      <c r="G517" s="11" t="n">
        <v>78134.03999999999</v>
      </c>
      <c r="H517" s="5" t="inlineStr">
        <is>
          <t>m3</t>
        </is>
      </c>
      <c r="I517" s="5" t="inlineStr">
        <is>
          <t>cumulative</t>
        </is>
      </c>
      <c r="J517" s="5" t="inlineStr">
        <is>
          <t>GH</t>
        </is>
      </c>
      <c r="K517" s="5" t="inlineStr"/>
      <c r="L517" s="7">
        <f>IFERROR(IF(F517&lt;F516,"NEGATIVE",ROUND(F517-F516,2)),"")</f>
        <v/>
      </c>
    </row>
    <row r="518" ht="22" customHeight="1">
      <c r="B518" s="8" t="inlineStr">
        <is>
          <t>R00514</t>
        </is>
      </c>
      <c r="C518" s="8" t="inlineStr">
        <is>
          <t>MTR-CTW-004</t>
        </is>
      </c>
      <c r="D518" s="8" t="inlineStr">
        <is>
          <t>Cooling Tower</t>
        </is>
      </c>
      <c r="E518" s="8" t="inlineStr">
        <is>
          <t>Cooling Tower Cell 2</t>
        </is>
      </c>
      <c r="F518" s="8" t="inlineStr">
        <is>
          <t>2024-05-28 08:00</t>
        </is>
      </c>
      <c r="G518" s="12" t="n">
        <v>78170.28999999999</v>
      </c>
      <c r="H518" s="8" t="inlineStr">
        <is>
          <t>m3</t>
        </is>
      </c>
      <c r="I518" s="8" t="inlineStr">
        <is>
          <t>cumulative</t>
        </is>
      </c>
      <c r="J518" s="8" t="inlineStr">
        <is>
          <t>EF</t>
        </is>
      </c>
      <c r="K518" s="8" t="inlineStr"/>
      <c r="L518" s="10">
        <f>IFERROR(IF(F518&lt;F517,"NEGATIVE",ROUND(F518-F517,2)),"")</f>
        <v/>
      </c>
    </row>
    <row r="519" ht="22" customHeight="1">
      <c r="B519" s="5" t="inlineStr">
        <is>
          <t>R00515</t>
        </is>
      </c>
      <c r="C519" s="5" t="inlineStr">
        <is>
          <t>MTR-CTW-004</t>
        </is>
      </c>
      <c r="D519" s="5" t="inlineStr">
        <is>
          <t>Cooling Tower</t>
        </is>
      </c>
      <c r="E519" s="5" t="inlineStr">
        <is>
          <t>Cooling Tower Cell 2</t>
        </is>
      </c>
      <c r="F519" s="5" t="inlineStr">
        <is>
          <t>2024-05-29 08:00</t>
        </is>
      </c>
      <c r="G519" s="11" t="n">
        <v>78212.87</v>
      </c>
      <c r="H519" s="5" t="inlineStr">
        <is>
          <t>m3</t>
        </is>
      </c>
      <c r="I519" s="5" t="inlineStr">
        <is>
          <t>cumulative</t>
        </is>
      </c>
      <c r="J519" s="5" t="inlineStr">
        <is>
          <t>GH</t>
        </is>
      </c>
      <c r="K519" s="5" t="inlineStr"/>
      <c r="L519" s="7">
        <f>IFERROR(IF(F519&lt;F518,"NEGATIVE",ROUND(F519-F518,2)),"")</f>
        <v/>
      </c>
    </row>
    <row r="520" ht="22" customHeight="1">
      <c r="B520" s="8" t="inlineStr">
        <is>
          <t>R00516</t>
        </is>
      </c>
      <c r="C520" s="8" t="inlineStr">
        <is>
          <t>MTR-CTW-004</t>
        </is>
      </c>
      <c r="D520" s="8" t="inlineStr">
        <is>
          <t>Cooling Tower</t>
        </is>
      </c>
      <c r="E520" s="8" t="inlineStr">
        <is>
          <t>Cooling Tower Cell 2</t>
        </is>
      </c>
      <c r="F520" s="8" t="inlineStr">
        <is>
          <t>2024-05-30 08:00</t>
        </is>
      </c>
      <c r="G520" s="12" t="n">
        <v>78249.62</v>
      </c>
      <c r="H520" s="8" t="inlineStr">
        <is>
          <t>m3</t>
        </is>
      </c>
      <c r="I520" s="8" t="inlineStr">
        <is>
          <t>cumulative</t>
        </is>
      </c>
      <c r="J520" s="8" t="inlineStr">
        <is>
          <t>IJ</t>
        </is>
      </c>
      <c r="K520" s="8" t="inlineStr"/>
      <c r="L520" s="10">
        <f>IFERROR(IF(F520&lt;F519,"NEGATIVE",ROUND(F520-F519,2)),"")</f>
        <v/>
      </c>
    </row>
    <row r="521" ht="22" customHeight="1">
      <c r="B521" s="5" t="inlineStr">
        <is>
          <t>R00517</t>
        </is>
      </c>
      <c r="C521" s="5" t="inlineStr">
        <is>
          <t>MTR-CTW-004</t>
        </is>
      </c>
      <c r="D521" s="5" t="inlineStr">
        <is>
          <t>Cooling Tower</t>
        </is>
      </c>
      <c r="E521" s="5" t="inlineStr">
        <is>
          <t>Cooling Tower Cell 2</t>
        </is>
      </c>
      <c r="F521" s="5" t="inlineStr">
        <is>
          <t>2024-05-31 08:00</t>
        </is>
      </c>
      <c r="G521" s="11" t="n">
        <v>78292.08</v>
      </c>
      <c r="H521" s="5" t="inlineStr">
        <is>
          <t>m3</t>
        </is>
      </c>
      <c r="I521" s="5" t="inlineStr">
        <is>
          <t>cumulative</t>
        </is>
      </c>
      <c r="J521" s="5" t="inlineStr">
        <is>
          <t>KL</t>
        </is>
      </c>
      <c r="K521" s="5" t="inlineStr"/>
      <c r="L521" s="7">
        <f>IFERROR(IF(F521&lt;F520,"NEGATIVE",ROUND(F521-F520,2)),"")</f>
        <v/>
      </c>
    </row>
    <row r="522" ht="22" customHeight="1">
      <c r="B522" s="8" t="inlineStr">
        <is>
          <t>R00518</t>
        </is>
      </c>
      <c r="C522" s="8" t="inlineStr">
        <is>
          <t>MTR-CTW-004</t>
        </is>
      </c>
      <c r="D522" s="8" t="inlineStr">
        <is>
          <t>Cooling Tower</t>
        </is>
      </c>
      <c r="E522" s="8" t="inlineStr">
        <is>
          <t>Cooling Tower Cell 2</t>
        </is>
      </c>
      <c r="F522" s="8" t="inlineStr">
        <is>
          <t>2024-06-01 08:00</t>
        </is>
      </c>
      <c r="G522" s="12" t="n">
        <v>78331.02</v>
      </c>
      <c r="H522" s="8" t="inlineStr">
        <is>
          <t>m3</t>
        </is>
      </c>
      <c r="I522" s="8" t="inlineStr">
        <is>
          <t>cumulative</t>
        </is>
      </c>
      <c r="J522" s="8" t="inlineStr">
        <is>
          <t>AB</t>
        </is>
      </c>
      <c r="K522" s="8" t="inlineStr"/>
      <c r="L522" s="10">
        <f>IFERROR(IF(F522&lt;F521,"NEGATIVE",ROUND(F522-F521,2)),"")</f>
        <v/>
      </c>
    </row>
    <row r="523" ht="22" customHeight="1">
      <c r="B523" s="5" t="inlineStr">
        <is>
          <t>R00519</t>
        </is>
      </c>
      <c r="C523" s="5" t="inlineStr">
        <is>
          <t>MTR-CTW-004</t>
        </is>
      </c>
      <c r="D523" s="5" t="inlineStr">
        <is>
          <t>Cooling Tower</t>
        </is>
      </c>
      <c r="E523" s="5" t="inlineStr">
        <is>
          <t>Cooling Tower Cell 2</t>
        </is>
      </c>
      <c r="F523" s="5" t="inlineStr">
        <is>
          <t>2024-06-02 08:00</t>
        </is>
      </c>
      <c r="G523" s="11" t="n">
        <v>78354.45</v>
      </c>
      <c r="H523" s="5" t="inlineStr">
        <is>
          <t>m3</t>
        </is>
      </c>
      <c r="I523" s="5" t="inlineStr">
        <is>
          <t>cumulative</t>
        </is>
      </c>
      <c r="J523" s="5" t="inlineStr">
        <is>
          <t>GH</t>
        </is>
      </c>
      <c r="K523" s="5" t="inlineStr"/>
      <c r="L523" s="7">
        <f>IFERROR(IF(F523&lt;F522,"NEGATIVE",ROUND(F523-F522,2)),"")</f>
        <v/>
      </c>
    </row>
    <row r="524" ht="22" customHeight="1">
      <c r="B524" s="8" t="inlineStr">
        <is>
          <t>R00520</t>
        </is>
      </c>
      <c r="C524" s="8" t="inlineStr">
        <is>
          <t>MTR-CTW-004</t>
        </is>
      </c>
      <c r="D524" s="8" t="inlineStr">
        <is>
          <t>Cooling Tower</t>
        </is>
      </c>
      <c r="E524" s="8" t="inlineStr">
        <is>
          <t>Cooling Tower Cell 2</t>
        </is>
      </c>
      <c r="F524" s="8" t="inlineStr">
        <is>
          <t>2024-06-03 08:00</t>
        </is>
      </c>
      <c r="G524" s="12" t="n">
        <v>78398.84</v>
      </c>
      <c r="H524" s="8" t="inlineStr">
        <is>
          <t>m3</t>
        </is>
      </c>
      <c r="I524" s="8" t="inlineStr">
        <is>
          <t>cumulative</t>
        </is>
      </c>
      <c r="J524" s="8" t="inlineStr">
        <is>
          <t>KL</t>
        </is>
      </c>
      <c r="K524" s="8" t="inlineStr"/>
      <c r="L524" s="10">
        <f>IFERROR(IF(F524&lt;F523,"NEGATIVE",ROUND(F524-F523,2)),"")</f>
        <v/>
      </c>
    </row>
    <row r="525" ht="22" customHeight="1">
      <c r="B525" s="5" t="inlineStr">
        <is>
          <t>R00521</t>
        </is>
      </c>
      <c r="C525" s="5" t="inlineStr">
        <is>
          <t>MTR-CTW-004</t>
        </is>
      </c>
      <c r="D525" s="5" t="inlineStr">
        <is>
          <t>Cooling Tower</t>
        </is>
      </c>
      <c r="E525" s="5" t="inlineStr">
        <is>
          <t>Cooling Tower Cell 2</t>
        </is>
      </c>
      <c r="F525" s="5" t="inlineStr">
        <is>
          <t>2024-06-04 08:00</t>
        </is>
      </c>
      <c r="G525" s="11" t="n">
        <v>78441.21000000001</v>
      </c>
      <c r="H525" s="5" t="inlineStr">
        <is>
          <t>m3</t>
        </is>
      </c>
      <c r="I525" s="5" t="inlineStr">
        <is>
          <t>cumulative</t>
        </is>
      </c>
      <c r="J525" s="5" t="inlineStr">
        <is>
          <t>AB</t>
        </is>
      </c>
      <c r="K525" s="5" t="inlineStr"/>
      <c r="L525" s="7">
        <f>IFERROR(IF(F525&lt;F524,"NEGATIVE",ROUND(F525-F524,2)),"")</f>
        <v/>
      </c>
    </row>
    <row r="526" ht="22" customHeight="1">
      <c r="B526" s="8" t="inlineStr">
        <is>
          <t>R00522</t>
        </is>
      </c>
      <c r="C526" s="8" t="inlineStr">
        <is>
          <t>MTR-CTW-004</t>
        </is>
      </c>
      <c r="D526" s="8" t="inlineStr">
        <is>
          <t>Cooling Tower</t>
        </is>
      </c>
      <c r="E526" s="8" t="inlineStr">
        <is>
          <t>Cooling Tower Cell 2</t>
        </is>
      </c>
      <c r="F526" s="8" t="inlineStr">
        <is>
          <t>2024-06-05 08:00</t>
        </is>
      </c>
      <c r="G526" s="12" t="n">
        <v>78478.78</v>
      </c>
      <c r="H526" s="8" t="inlineStr">
        <is>
          <t>m3</t>
        </is>
      </c>
      <c r="I526" s="8" t="inlineStr">
        <is>
          <t>cumulative</t>
        </is>
      </c>
      <c r="J526" s="8" t="inlineStr">
        <is>
          <t>AB</t>
        </is>
      </c>
      <c r="K526" s="8" t="inlineStr"/>
      <c r="L526" s="10">
        <f>IFERROR(IF(F526&lt;F525,"NEGATIVE",ROUND(F526-F525,2)),"")</f>
        <v/>
      </c>
    </row>
    <row r="527" ht="22" customHeight="1">
      <c r="B527" s="5" t="inlineStr">
        <is>
          <t>R00523</t>
        </is>
      </c>
      <c r="C527" s="5" t="inlineStr">
        <is>
          <t>MTR-CTW-004</t>
        </is>
      </c>
      <c r="D527" s="5" t="inlineStr">
        <is>
          <t>Cooling Tower</t>
        </is>
      </c>
      <c r="E527" s="5" t="inlineStr">
        <is>
          <t>Cooling Tower Cell 2</t>
        </is>
      </c>
      <c r="F527" s="5" t="inlineStr">
        <is>
          <t>2024-06-06 08:00</t>
        </is>
      </c>
      <c r="G527" s="11" t="n">
        <v>78522.85000000001</v>
      </c>
      <c r="H527" s="5" t="inlineStr">
        <is>
          <t>m3</t>
        </is>
      </c>
      <c r="I527" s="5" t="inlineStr">
        <is>
          <t>cumulative</t>
        </is>
      </c>
      <c r="J527" s="5" t="inlineStr">
        <is>
          <t>GH</t>
        </is>
      </c>
      <c r="K527" s="5" t="inlineStr"/>
      <c r="L527" s="7">
        <f>IFERROR(IF(F527&lt;F526,"NEGATIVE",ROUND(F527-F526,2)),"")</f>
        <v/>
      </c>
    </row>
    <row r="528" ht="22" customHeight="1">
      <c r="B528" s="8" t="inlineStr">
        <is>
          <t>R00524</t>
        </is>
      </c>
      <c r="C528" s="8" t="inlineStr">
        <is>
          <t>MTR-CTW-004</t>
        </is>
      </c>
      <c r="D528" s="8" t="inlineStr">
        <is>
          <t>Cooling Tower</t>
        </is>
      </c>
      <c r="E528" s="8" t="inlineStr">
        <is>
          <t>Cooling Tower Cell 2</t>
        </is>
      </c>
      <c r="F528" s="8" t="inlineStr">
        <is>
          <t>2024-06-07 08:00</t>
        </is>
      </c>
      <c r="G528" s="12" t="n">
        <v>78569.31</v>
      </c>
      <c r="H528" s="8" t="inlineStr">
        <is>
          <t>m3</t>
        </is>
      </c>
      <c r="I528" s="8" t="inlineStr">
        <is>
          <t>cumulative</t>
        </is>
      </c>
      <c r="J528" s="8" t="inlineStr">
        <is>
          <t>IJ</t>
        </is>
      </c>
      <c r="K528" s="8" t="inlineStr"/>
      <c r="L528" s="10">
        <f>IFERROR(IF(F528&lt;F527,"NEGATIVE",ROUND(F528-F527,2)),"")</f>
        <v/>
      </c>
    </row>
    <row r="529" ht="22" customHeight="1">
      <c r="B529" s="5" t="inlineStr">
        <is>
          <t>R00525</t>
        </is>
      </c>
      <c r="C529" s="5" t="inlineStr">
        <is>
          <t>MTR-CTW-004</t>
        </is>
      </c>
      <c r="D529" s="5" t="inlineStr">
        <is>
          <t>Cooling Tower</t>
        </is>
      </c>
      <c r="E529" s="5" t="inlineStr">
        <is>
          <t>Cooling Tower Cell 2</t>
        </is>
      </c>
      <c r="F529" s="5" t="inlineStr">
        <is>
          <t>2024-06-08 08:00</t>
        </is>
      </c>
      <c r="G529" s="11" t="n">
        <v>78608.21000000001</v>
      </c>
      <c r="H529" s="5" t="inlineStr">
        <is>
          <t>m3</t>
        </is>
      </c>
      <c r="I529" s="5" t="inlineStr">
        <is>
          <t>cumulative</t>
        </is>
      </c>
      <c r="J529" s="5" t="inlineStr">
        <is>
          <t>EF</t>
        </is>
      </c>
      <c r="K529" s="5" t="inlineStr"/>
      <c r="L529" s="7">
        <f>IFERROR(IF(F529&lt;F528,"NEGATIVE",ROUND(F529-F528,2)),"")</f>
        <v/>
      </c>
    </row>
    <row r="530" ht="22" customHeight="1">
      <c r="B530" s="8" t="inlineStr">
        <is>
          <t>R00526</t>
        </is>
      </c>
      <c r="C530" s="8" t="inlineStr">
        <is>
          <t>MTR-CTW-004</t>
        </is>
      </c>
      <c r="D530" s="8" t="inlineStr">
        <is>
          <t>Cooling Tower</t>
        </is>
      </c>
      <c r="E530" s="8" t="inlineStr">
        <is>
          <t>Cooling Tower Cell 2</t>
        </is>
      </c>
      <c r="F530" s="8" t="inlineStr">
        <is>
          <t>2024-06-09 08:00</t>
        </is>
      </c>
      <c r="G530" s="12" t="n">
        <v>78631.17</v>
      </c>
      <c r="H530" s="8" t="inlineStr">
        <is>
          <t>m3</t>
        </is>
      </c>
      <c r="I530" s="8" t="inlineStr">
        <is>
          <t>cumulative</t>
        </is>
      </c>
      <c r="J530" s="8" t="inlineStr">
        <is>
          <t>IJ</t>
        </is>
      </c>
      <c r="K530" s="8" t="inlineStr"/>
      <c r="L530" s="10">
        <f>IFERROR(IF(F530&lt;F529,"NEGATIVE",ROUND(F530-F529,2)),"")</f>
        <v/>
      </c>
    </row>
    <row r="531" ht="22" customHeight="1">
      <c r="B531" s="5" t="inlineStr">
        <is>
          <t>R00527</t>
        </is>
      </c>
      <c r="C531" s="5" t="inlineStr">
        <is>
          <t>MTR-CTW-004</t>
        </is>
      </c>
      <c r="D531" s="5" t="inlineStr">
        <is>
          <t>Cooling Tower</t>
        </is>
      </c>
      <c r="E531" s="5" t="inlineStr">
        <is>
          <t>Cooling Tower Cell 2</t>
        </is>
      </c>
      <c r="F531" s="5" t="inlineStr">
        <is>
          <t>2024-06-10 08:00</t>
        </is>
      </c>
      <c r="G531" s="11" t="n">
        <v>78672.37</v>
      </c>
      <c r="H531" s="5" t="inlineStr">
        <is>
          <t>m3</t>
        </is>
      </c>
      <c r="I531" s="5" t="inlineStr">
        <is>
          <t>cumulative</t>
        </is>
      </c>
      <c r="J531" s="5" t="inlineStr">
        <is>
          <t>KL</t>
        </is>
      </c>
      <c r="K531" s="5" t="inlineStr"/>
      <c r="L531" s="7">
        <f>IFERROR(IF(F531&lt;F530,"NEGATIVE",ROUND(F531-F530,2)),"")</f>
        <v/>
      </c>
    </row>
    <row r="532" ht="22" customHeight="1">
      <c r="B532" s="8" t="inlineStr">
        <is>
          <t>R00528</t>
        </is>
      </c>
      <c r="C532" s="8" t="inlineStr">
        <is>
          <t>MTR-CTW-004</t>
        </is>
      </c>
      <c r="D532" s="8" t="inlineStr">
        <is>
          <t>Cooling Tower</t>
        </is>
      </c>
      <c r="E532" s="8" t="inlineStr">
        <is>
          <t>Cooling Tower Cell 2</t>
        </is>
      </c>
      <c r="F532" s="8" t="inlineStr">
        <is>
          <t>2024-06-11 08:00</t>
        </is>
      </c>
      <c r="G532" s="12" t="n">
        <v>78709.22</v>
      </c>
      <c r="H532" s="8" t="inlineStr">
        <is>
          <t>m3</t>
        </is>
      </c>
      <c r="I532" s="8" t="inlineStr">
        <is>
          <t>cumulative</t>
        </is>
      </c>
      <c r="J532" s="8" t="inlineStr">
        <is>
          <t>AB</t>
        </is>
      </c>
      <c r="K532" s="8" t="inlineStr"/>
      <c r="L532" s="10">
        <f>IFERROR(IF(F532&lt;F531,"NEGATIVE",ROUND(F532-F531,2)),"")</f>
        <v/>
      </c>
    </row>
    <row r="533" ht="22" customHeight="1">
      <c r="B533" s="5" t="inlineStr">
        <is>
          <t>R00529</t>
        </is>
      </c>
      <c r="C533" s="5" t="inlineStr">
        <is>
          <t>MTR-CTW-004</t>
        </is>
      </c>
      <c r="D533" s="5" t="inlineStr">
        <is>
          <t>Cooling Tower</t>
        </is>
      </c>
      <c r="E533" s="5" t="inlineStr">
        <is>
          <t>Cooling Tower Cell 2</t>
        </is>
      </c>
      <c r="F533" s="5" t="inlineStr">
        <is>
          <t>2024-06-12 08:00</t>
        </is>
      </c>
      <c r="G533" s="11" t="n">
        <v>78757.50999999999</v>
      </c>
      <c r="H533" s="5" t="inlineStr">
        <is>
          <t>m3</t>
        </is>
      </c>
      <c r="I533" s="5" t="inlineStr">
        <is>
          <t>cumulative</t>
        </is>
      </c>
      <c r="J533" s="5" t="inlineStr">
        <is>
          <t>CD</t>
        </is>
      </c>
      <c r="K533" s="5" t="inlineStr"/>
      <c r="L533" s="7">
        <f>IFERROR(IF(F533&lt;F532,"NEGATIVE",ROUND(F533-F532,2)),"")</f>
        <v/>
      </c>
    </row>
    <row r="534" ht="22" customHeight="1">
      <c r="B534" s="8" t="inlineStr">
        <is>
          <t>R00530</t>
        </is>
      </c>
      <c r="C534" s="8" t="inlineStr">
        <is>
          <t>MTR-CTW-004</t>
        </is>
      </c>
      <c r="D534" s="8" t="inlineStr">
        <is>
          <t>Cooling Tower</t>
        </is>
      </c>
      <c r="E534" s="8" t="inlineStr">
        <is>
          <t>Cooling Tower Cell 2</t>
        </is>
      </c>
      <c r="F534" s="8" t="inlineStr">
        <is>
          <t>2024-06-13 08:00</t>
        </is>
      </c>
      <c r="G534" s="12" t="n">
        <v>78797.11</v>
      </c>
      <c r="H534" s="8" t="inlineStr">
        <is>
          <t>m3</t>
        </is>
      </c>
      <c r="I534" s="8" t="inlineStr">
        <is>
          <t>cumulative</t>
        </is>
      </c>
      <c r="J534" s="8" t="inlineStr">
        <is>
          <t>GH</t>
        </is>
      </c>
      <c r="K534" s="8" t="inlineStr"/>
      <c r="L534" s="10">
        <f>IFERROR(IF(F534&lt;F533,"NEGATIVE",ROUND(F534-F533,2)),"")</f>
        <v/>
      </c>
    </row>
    <row r="535" ht="22" customHeight="1">
      <c r="B535" s="5" t="inlineStr">
        <is>
          <t>R00531</t>
        </is>
      </c>
      <c r="C535" s="5" t="inlineStr">
        <is>
          <t>MTR-CTW-004</t>
        </is>
      </c>
      <c r="D535" s="5" t="inlineStr">
        <is>
          <t>Cooling Tower</t>
        </is>
      </c>
      <c r="E535" s="5" t="inlineStr">
        <is>
          <t>Cooling Tower Cell 2</t>
        </is>
      </c>
      <c r="F535" s="5" t="inlineStr">
        <is>
          <t>2024-06-14 08:00</t>
        </is>
      </c>
      <c r="G535" s="11" t="n">
        <v>78845.66</v>
      </c>
      <c r="H535" s="5" t="inlineStr">
        <is>
          <t>m3</t>
        </is>
      </c>
      <c r="I535" s="5" t="inlineStr">
        <is>
          <t>cumulative</t>
        </is>
      </c>
      <c r="J535" s="5" t="inlineStr">
        <is>
          <t>GH</t>
        </is>
      </c>
      <c r="K535" s="5" t="inlineStr"/>
      <c r="L535" s="7">
        <f>IFERROR(IF(F535&lt;F534,"NEGATIVE",ROUND(F535-F534,2)),"")</f>
        <v/>
      </c>
    </row>
    <row r="536" ht="22" customHeight="1">
      <c r="B536" s="8" t="inlineStr">
        <is>
          <t>R00532</t>
        </is>
      </c>
      <c r="C536" s="8" t="inlineStr">
        <is>
          <t>MTR-CTW-004</t>
        </is>
      </c>
      <c r="D536" s="8" t="inlineStr">
        <is>
          <t>Cooling Tower</t>
        </is>
      </c>
      <c r="E536" s="8" t="inlineStr">
        <is>
          <t>Cooling Tower Cell 2</t>
        </is>
      </c>
      <c r="F536" s="8" t="inlineStr">
        <is>
          <t>2024-06-15 08:00</t>
        </is>
      </c>
      <c r="G536" s="12" t="n">
        <v>78875.24000000001</v>
      </c>
      <c r="H536" s="8" t="inlineStr">
        <is>
          <t>m3</t>
        </is>
      </c>
      <c r="I536" s="8" t="inlineStr">
        <is>
          <t>cumulative</t>
        </is>
      </c>
      <c r="J536" s="8" t="inlineStr">
        <is>
          <t>EF</t>
        </is>
      </c>
      <c r="K536" s="8" t="inlineStr"/>
      <c r="L536" s="10">
        <f>IFERROR(IF(F536&lt;F535,"NEGATIVE",ROUND(F536-F535,2)),"")</f>
        <v/>
      </c>
    </row>
    <row r="537" ht="22" customHeight="1">
      <c r="B537" s="5" t="inlineStr">
        <is>
          <t>R00533</t>
        </is>
      </c>
      <c r="C537" s="5" t="inlineStr">
        <is>
          <t>MTR-CTW-004</t>
        </is>
      </c>
      <c r="D537" s="5" t="inlineStr">
        <is>
          <t>Cooling Tower</t>
        </is>
      </c>
      <c r="E537" s="5" t="inlineStr">
        <is>
          <t>Cooling Tower Cell 2</t>
        </is>
      </c>
      <c r="F537" s="5" t="inlineStr">
        <is>
          <t>2024-06-16 08:00</t>
        </is>
      </c>
      <c r="G537" s="11" t="n">
        <v>78896.49000000001</v>
      </c>
      <c r="H537" s="5" t="inlineStr">
        <is>
          <t>m3</t>
        </is>
      </c>
      <c r="I537" s="5" t="inlineStr">
        <is>
          <t>cumulative</t>
        </is>
      </c>
      <c r="J537" s="5" t="inlineStr">
        <is>
          <t>GH</t>
        </is>
      </c>
      <c r="K537" s="5" t="inlineStr"/>
      <c r="L537" s="7">
        <f>IFERROR(IF(F537&lt;F536,"NEGATIVE",ROUND(F537-F536,2)),"")</f>
        <v/>
      </c>
    </row>
    <row r="538" ht="22" customHeight="1">
      <c r="B538" s="8" t="inlineStr">
        <is>
          <t>R00534</t>
        </is>
      </c>
      <c r="C538" s="8" t="inlineStr">
        <is>
          <t>MTR-CTW-004</t>
        </is>
      </c>
      <c r="D538" s="8" t="inlineStr">
        <is>
          <t>Cooling Tower</t>
        </is>
      </c>
      <c r="E538" s="8" t="inlineStr">
        <is>
          <t>Cooling Tower Cell 2</t>
        </is>
      </c>
      <c r="F538" s="8" t="inlineStr">
        <is>
          <t>2024-06-17 08:00</t>
        </is>
      </c>
      <c r="G538" s="12" t="n">
        <v>78941.03999999999</v>
      </c>
      <c r="H538" s="8" t="inlineStr">
        <is>
          <t>m3</t>
        </is>
      </c>
      <c r="I538" s="8" t="inlineStr">
        <is>
          <t>cumulative</t>
        </is>
      </c>
      <c r="J538" s="8" t="inlineStr">
        <is>
          <t>AB</t>
        </is>
      </c>
      <c r="K538" s="8" t="inlineStr"/>
      <c r="L538" s="10">
        <f>IFERROR(IF(F538&lt;F537,"NEGATIVE",ROUND(F538-F537,2)),"")</f>
        <v/>
      </c>
    </row>
    <row r="539" ht="22" customHeight="1">
      <c r="B539" s="5" t="inlineStr">
        <is>
          <t>R00535</t>
        </is>
      </c>
      <c r="C539" s="5" t="inlineStr">
        <is>
          <t>MTR-CTW-004</t>
        </is>
      </c>
      <c r="D539" s="5" t="inlineStr">
        <is>
          <t>Cooling Tower</t>
        </is>
      </c>
      <c r="E539" s="5" t="inlineStr">
        <is>
          <t>Cooling Tower Cell 2</t>
        </is>
      </c>
      <c r="F539" s="5" t="inlineStr">
        <is>
          <t>2024-06-18 08:00</t>
        </is>
      </c>
      <c r="G539" s="11" t="n">
        <v>78983.3</v>
      </c>
      <c r="H539" s="5" t="inlineStr">
        <is>
          <t>m3</t>
        </is>
      </c>
      <c r="I539" s="5" t="inlineStr">
        <is>
          <t>cumulative</t>
        </is>
      </c>
      <c r="J539" s="5" t="inlineStr">
        <is>
          <t>AB</t>
        </is>
      </c>
      <c r="K539" s="5" t="inlineStr"/>
      <c r="L539" s="7">
        <f>IFERROR(IF(F539&lt;F538,"NEGATIVE",ROUND(F539-F538,2)),"")</f>
        <v/>
      </c>
    </row>
    <row r="540" ht="22" customHeight="1">
      <c r="B540" s="8" t="inlineStr">
        <is>
          <t>R00536</t>
        </is>
      </c>
      <c r="C540" s="8" t="inlineStr">
        <is>
          <t>MTR-CTW-004</t>
        </is>
      </c>
      <c r="D540" s="8" t="inlineStr">
        <is>
          <t>Cooling Tower</t>
        </is>
      </c>
      <c r="E540" s="8" t="inlineStr">
        <is>
          <t>Cooling Tower Cell 2</t>
        </is>
      </c>
      <c r="F540" s="8" t="inlineStr">
        <is>
          <t>2024-06-19 08:00</t>
        </is>
      </c>
      <c r="G540" s="12" t="n">
        <v>79023.25999999999</v>
      </c>
      <c r="H540" s="8" t="inlineStr">
        <is>
          <t>m3</t>
        </is>
      </c>
      <c r="I540" s="8" t="inlineStr">
        <is>
          <t>cumulative</t>
        </is>
      </c>
      <c r="J540" s="8" t="inlineStr">
        <is>
          <t>GH</t>
        </is>
      </c>
      <c r="K540" s="8" t="inlineStr"/>
      <c r="L540" s="10">
        <f>IFERROR(IF(F540&lt;F539,"NEGATIVE",ROUND(F540-F539,2)),"")</f>
        <v/>
      </c>
    </row>
    <row r="541" ht="22" customHeight="1">
      <c r="B541" s="5" t="inlineStr">
        <is>
          <t>R00537</t>
        </is>
      </c>
      <c r="C541" s="5" t="inlineStr">
        <is>
          <t>MTR-CTW-004</t>
        </is>
      </c>
      <c r="D541" s="5" t="inlineStr">
        <is>
          <t>Cooling Tower</t>
        </is>
      </c>
      <c r="E541" s="5" t="inlineStr">
        <is>
          <t>Cooling Tower Cell 2</t>
        </is>
      </c>
      <c r="F541" s="5" t="inlineStr">
        <is>
          <t>2024-06-20 08:00</t>
        </is>
      </c>
      <c r="G541" s="11" t="n">
        <v>79069.53</v>
      </c>
      <c r="H541" s="5" t="inlineStr">
        <is>
          <t>m3</t>
        </is>
      </c>
      <c r="I541" s="5" t="inlineStr">
        <is>
          <t>cumulative</t>
        </is>
      </c>
      <c r="J541" s="5" t="inlineStr">
        <is>
          <t>EF</t>
        </is>
      </c>
      <c r="K541" s="5" t="inlineStr"/>
      <c r="L541" s="7">
        <f>IFERROR(IF(F541&lt;F540,"NEGATIVE",ROUND(F541-F540,2)),"")</f>
        <v/>
      </c>
    </row>
    <row r="542" ht="22" customHeight="1">
      <c r="B542" s="8" t="inlineStr">
        <is>
          <t>R00538</t>
        </is>
      </c>
      <c r="C542" s="8" t="inlineStr">
        <is>
          <t>MTR-CTW-004</t>
        </is>
      </c>
      <c r="D542" s="8" t="inlineStr">
        <is>
          <t>Cooling Tower</t>
        </is>
      </c>
      <c r="E542" s="8" t="inlineStr">
        <is>
          <t>Cooling Tower Cell 2</t>
        </is>
      </c>
      <c r="F542" s="8" t="inlineStr">
        <is>
          <t>2024-06-21 08:00</t>
        </is>
      </c>
      <c r="G542" s="12" t="n">
        <v>79108.82000000001</v>
      </c>
      <c r="H542" s="8" t="inlineStr">
        <is>
          <t>m3</t>
        </is>
      </c>
      <c r="I542" s="8" t="inlineStr">
        <is>
          <t>cumulative</t>
        </is>
      </c>
      <c r="J542" s="8" t="inlineStr">
        <is>
          <t>KL</t>
        </is>
      </c>
      <c r="K542" s="8" t="inlineStr"/>
      <c r="L542" s="10">
        <f>IFERROR(IF(F542&lt;F541,"NEGATIVE",ROUND(F542-F541,2)),"")</f>
        <v/>
      </c>
    </row>
    <row r="543" ht="22" customHeight="1">
      <c r="B543" s="5" t="inlineStr">
        <is>
          <t>R00539</t>
        </is>
      </c>
      <c r="C543" s="5" t="inlineStr">
        <is>
          <t>MTR-CTW-004</t>
        </is>
      </c>
      <c r="D543" s="5" t="inlineStr">
        <is>
          <t>Cooling Tower</t>
        </is>
      </c>
      <c r="E543" s="5" t="inlineStr">
        <is>
          <t>Cooling Tower Cell 2</t>
        </is>
      </c>
      <c r="F543" s="5" t="inlineStr">
        <is>
          <t>2024-06-22 08:00</t>
        </is>
      </c>
      <c r="G543" s="11" t="n">
        <v>79139.42</v>
      </c>
      <c r="H543" s="5" t="inlineStr">
        <is>
          <t>m3</t>
        </is>
      </c>
      <c r="I543" s="5" t="inlineStr">
        <is>
          <t>cumulative</t>
        </is>
      </c>
      <c r="J543" s="5" t="inlineStr">
        <is>
          <t>KL</t>
        </is>
      </c>
      <c r="K543" s="5" t="inlineStr"/>
      <c r="L543" s="7">
        <f>IFERROR(IF(F543&lt;F542,"NEGATIVE",ROUND(F543-F542,2)),"")</f>
        <v/>
      </c>
    </row>
    <row r="544" ht="22" customHeight="1">
      <c r="B544" s="8" t="inlineStr">
        <is>
          <t>R00540</t>
        </is>
      </c>
      <c r="C544" s="8" t="inlineStr">
        <is>
          <t>MTR-CTW-004</t>
        </is>
      </c>
      <c r="D544" s="8" t="inlineStr">
        <is>
          <t>Cooling Tower</t>
        </is>
      </c>
      <c r="E544" s="8" t="inlineStr">
        <is>
          <t>Cooling Tower Cell 2</t>
        </is>
      </c>
      <c r="F544" s="8" t="inlineStr">
        <is>
          <t>2024-06-23 08:00</t>
        </is>
      </c>
      <c r="G544" s="12" t="n">
        <v>79160.96000000001</v>
      </c>
      <c r="H544" s="8" t="inlineStr">
        <is>
          <t>m3</t>
        </is>
      </c>
      <c r="I544" s="8" t="inlineStr">
        <is>
          <t>cumulative</t>
        </is>
      </c>
      <c r="J544" s="8" t="inlineStr">
        <is>
          <t>IJ</t>
        </is>
      </c>
      <c r="K544" s="8" t="inlineStr"/>
      <c r="L544" s="10">
        <f>IFERROR(IF(F544&lt;F543,"NEGATIVE",ROUND(F544-F543,2)),"")</f>
        <v/>
      </c>
    </row>
    <row r="545" ht="22" customHeight="1">
      <c r="B545" s="5" t="inlineStr">
        <is>
          <t>R00541</t>
        </is>
      </c>
      <c r="C545" s="5" t="inlineStr">
        <is>
          <t>MTR-CTW-004</t>
        </is>
      </c>
      <c r="D545" s="5" t="inlineStr">
        <is>
          <t>Cooling Tower</t>
        </is>
      </c>
      <c r="E545" s="5" t="inlineStr">
        <is>
          <t>Cooling Tower Cell 2</t>
        </is>
      </c>
      <c r="F545" s="5" t="inlineStr">
        <is>
          <t>2024-06-24 08:00</t>
        </is>
      </c>
      <c r="G545" s="11" t="n">
        <v>79200.86</v>
      </c>
      <c r="H545" s="5" t="inlineStr">
        <is>
          <t>m3</t>
        </is>
      </c>
      <c r="I545" s="5" t="inlineStr">
        <is>
          <t>cumulative</t>
        </is>
      </c>
      <c r="J545" s="5" t="inlineStr">
        <is>
          <t>CD</t>
        </is>
      </c>
      <c r="K545" s="5" t="inlineStr"/>
      <c r="L545" s="7">
        <f>IFERROR(IF(F545&lt;F544,"NEGATIVE",ROUND(F545-F544,2)),"")</f>
        <v/>
      </c>
    </row>
    <row r="546" ht="22" customHeight="1">
      <c r="B546" s="8" t="inlineStr">
        <is>
          <t>R00542</t>
        </is>
      </c>
      <c r="C546" s="8" t="inlineStr">
        <is>
          <t>MTR-CTW-004</t>
        </is>
      </c>
      <c r="D546" s="8" t="inlineStr">
        <is>
          <t>Cooling Tower</t>
        </is>
      </c>
      <c r="E546" s="8" t="inlineStr">
        <is>
          <t>Cooling Tower Cell 2</t>
        </is>
      </c>
      <c r="F546" s="8" t="inlineStr">
        <is>
          <t>2024-06-25 08:00</t>
        </is>
      </c>
      <c r="G546" s="12" t="n">
        <v>79239.22</v>
      </c>
      <c r="H546" s="8" t="inlineStr">
        <is>
          <t>m3</t>
        </is>
      </c>
      <c r="I546" s="8" t="inlineStr">
        <is>
          <t>cumulative</t>
        </is>
      </c>
      <c r="J546" s="8" t="inlineStr">
        <is>
          <t>CD</t>
        </is>
      </c>
      <c r="K546" s="8" t="inlineStr"/>
      <c r="L546" s="10">
        <f>IFERROR(IF(F546&lt;F545,"NEGATIVE",ROUND(F546-F545,2)),"")</f>
        <v/>
      </c>
    </row>
    <row r="547" ht="22" customHeight="1">
      <c r="B547" s="5" t="inlineStr">
        <is>
          <t>R00543</t>
        </is>
      </c>
      <c r="C547" s="5" t="inlineStr">
        <is>
          <t>MTR-CTW-004</t>
        </is>
      </c>
      <c r="D547" s="5" t="inlineStr">
        <is>
          <t>Cooling Tower</t>
        </is>
      </c>
      <c r="E547" s="5" t="inlineStr">
        <is>
          <t>Cooling Tower Cell 2</t>
        </is>
      </c>
      <c r="F547" s="5" t="inlineStr">
        <is>
          <t>2024-06-26 08:00</t>
        </is>
      </c>
      <c r="G547" s="11" t="n">
        <v>79279.57000000001</v>
      </c>
      <c r="H547" s="5" t="inlineStr">
        <is>
          <t>m3</t>
        </is>
      </c>
      <c r="I547" s="5" t="inlineStr">
        <is>
          <t>cumulative</t>
        </is>
      </c>
      <c r="J547" s="5" t="inlineStr">
        <is>
          <t>KL</t>
        </is>
      </c>
      <c r="K547" s="5" t="inlineStr"/>
      <c r="L547" s="7">
        <f>IFERROR(IF(F547&lt;F546,"NEGATIVE",ROUND(F547-F546,2)),"")</f>
        <v/>
      </c>
    </row>
    <row r="548" ht="22" customHeight="1">
      <c r="B548" s="8" t="inlineStr">
        <is>
          <t>R00544</t>
        </is>
      </c>
      <c r="C548" s="8" t="inlineStr">
        <is>
          <t>MTR-CTW-004</t>
        </is>
      </c>
      <c r="D548" s="8" t="inlineStr">
        <is>
          <t>Cooling Tower</t>
        </is>
      </c>
      <c r="E548" s="8" t="inlineStr">
        <is>
          <t>Cooling Tower Cell 2</t>
        </is>
      </c>
      <c r="F548" s="8" t="inlineStr">
        <is>
          <t>2024-06-27 08:00</t>
        </is>
      </c>
      <c r="G548" s="12" t="n">
        <v>79327.61</v>
      </c>
      <c r="H548" s="8" t="inlineStr">
        <is>
          <t>m3</t>
        </is>
      </c>
      <c r="I548" s="8" t="inlineStr">
        <is>
          <t>cumulative</t>
        </is>
      </c>
      <c r="J548" s="8" t="inlineStr">
        <is>
          <t>AB</t>
        </is>
      </c>
      <c r="K548" s="8" t="inlineStr"/>
      <c r="L548" s="10">
        <f>IFERROR(IF(F548&lt;F547,"NEGATIVE",ROUND(F548-F547,2)),"")</f>
        <v/>
      </c>
    </row>
    <row r="549" ht="22" customHeight="1">
      <c r="B549" s="5" t="inlineStr">
        <is>
          <t>R00545</t>
        </is>
      </c>
      <c r="C549" s="5" t="inlineStr">
        <is>
          <t>MTR-CTW-004</t>
        </is>
      </c>
      <c r="D549" s="5" t="inlineStr">
        <is>
          <t>Cooling Tower</t>
        </is>
      </c>
      <c r="E549" s="5" t="inlineStr">
        <is>
          <t>Cooling Tower Cell 2</t>
        </is>
      </c>
      <c r="F549" s="5" t="inlineStr">
        <is>
          <t>2024-06-28 08:00</t>
        </is>
      </c>
      <c r="G549" s="11" t="n">
        <v>79366.98</v>
      </c>
      <c r="H549" s="5" t="inlineStr">
        <is>
          <t>m3</t>
        </is>
      </c>
      <c r="I549" s="5" t="inlineStr">
        <is>
          <t>cumulative</t>
        </is>
      </c>
      <c r="J549" s="5" t="inlineStr">
        <is>
          <t>AB</t>
        </is>
      </c>
      <c r="K549" s="5" t="inlineStr"/>
      <c r="L549" s="7">
        <f>IFERROR(IF(F549&lt;F548,"NEGATIVE",ROUND(F549-F548,2)),"")</f>
        <v/>
      </c>
    </row>
    <row r="550" ht="22" customHeight="1">
      <c r="B550" s="8" t="inlineStr">
        <is>
          <t>R00546</t>
        </is>
      </c>
      <c r="C550" s="8" t="inlineStr">
        <is>
          <t>MTR-CTW-004</t>
        </is>
      </c>
      <c r="D550" s="8" t="inlineStr">
        <is>
          <t>Cooling Tower</t>
        </is>
      </c>
      <c r="E550" s="8" t="inlineStr">
        <is>
          <t>Cooling Tower Cell 2</t>
        </is>
      </c>
      <c r="F550" s="8" t="inlineStr">
        <is>
          <t>2024-06-29 08:00</t>
        </is>
      </c>
      <c r="G550" s="12" t="n">
        <v>79399.45</v>
      </c>
      <c r="H550" s="8" t="inlineStr">
        <is>
          <t>m3</t>
        </is>
      </c>
      <c r="I550" s="8" t="inlineStr">
        <is>
          <t>cumulative</t>
        </is>
      </c>
      <c r="J550" s="8" t="inlineStr">
        <is>
          <t>GH</t>
        </is>
      </c>
      <c r="K550" s="8" t="inlineStr"/>
      <c r="L550" s="10">
        <f>IFERROR(IF(F550&lt;F549,"NEGATIVE",ROUND(F550-F549,2)),"")</f>
        <v/>
      </c>
    </row>
    <row r="551" ht="22" customHeight="1">
      <c r="B551" s="5" t="inlineStr">
        <is>
          <t>R00547</t>
        </is>
      </c>
      <c r="C551" s="5" t="inlineStr">
        <is>
          <t>MTR-CTW-004</t>
        </is>
      </c>
      <c r="D551" s="5" t="inlineStr">
        <is>
          <t>Cooling Tower</t>
        </is>
      </c>
      <c r="E551" s="5" t="inlineStr">
        <is>
          <t>Cooling Tower Cell 2</t>
        </is>
      </c>
      <c r="F551" s="5" t="inlineStr">
        <is>
          <t>2024-06-30 08:00</t>
        </is>
      </c>
      <c r="G551" s="11" t="n">
        <v>79423.28999999999</v>
      </c>
      <c r="H551" s="5" t="inlineStr">
        <is>
          <t>m3</t>
        </is>
      </c>
      <c r="I551" s="5" t="inlineStr">
        <is>
          <t>cumulative</t>
        </is>
      </c>
      <c r="J551" s="5" t="inlineStr">
        <is>
          <t>EF</t>
        </is>
      </c>
      <c r="K551" s="5" t="inlineStr"/>
      <c r="L551" s="7">
        <f>IFERROR(IF(F551&lt;F550,"NEGATIVE",ROUND(F551-F550,2)),"")</f>
        <v/>
      </c>
    </row>
    <row r="552" ht="22" customHeight="1">
      <c r="B552" s="8" t="inlineStr">
        <is>
          <t>R00548</t>
        </is>
      </c>
      <c r="C552" s="8" t="inlineStr">
        <is>
          <t>MTR-CTW-004</t>
        </is>
      </c>
      <c r="D552" s="8" t="inlineStr">
        <is>
          <t>Cooling Tower</t>
        </is>
      </c>
      <c r="E552" s="8" t="inlineStr">
        <is>
          <t>Cooling Tower Cell 2</t>
        </is>
      </c>
      <c r="F552" s="8" t="inlineStr">
        <is>
          <t>2024-07-01 08:00</t>
        </is>
      </c>
      <c r="G552" s="12" t="n">
        <v>79472.03</v>
      </c>
      <c r="H552" s="8" t="inlineStr">
        <is>
          <t>m3</t>
        </is>
      </c>
      <c r="I552" s="8" t="inlineStr">
        <is>
          <t>cumulative</t>
        </is>
      </c>
      <c r="J552" s="8" t="inlineStr">
        <is>
          <t>CD</t>
        </is>
      </c>
      <c r="K552" s="8" t="inlineStr"/>
      <c r="L552" s="10">
        <f>IFERROR(IF(F552&lt;F551,"NEGATIVE",ROUND(F552-F551,2)),"")</f>
        <v/>
      </c>
    </row>
    <row r="553" ht="22" customHeight="1">
      <c r="B553" s="5" t="inlineStr">
        <is>
          <t>R00549</t>
        </is>
      </c>
      <c r="C553" s="5" t="inlineStr">
        <is>
          <t>MTR-CTW-004</t>
        </is>
      </c>
      <c r="D553" s="5" t="inlineStr">
        <is>
          <t>Cooling Tower</t>
        </is>
      </c>
      <c r="E553" s="5" t="inlineStr">
        <is>
          <t>Cooling Tower Cell 2</t>
        </is>
      </c>
      <c r="F553" s="5" t="inlineStr">
        <is>
          <t>2024-07-02 08:00</t>
        </is>
      </c>
      <c r="G553" s="11" t="n">
        <v>79520.3</v>
      </c>
      <c r="H553" s="5" t="inlineStr">
        <is>
          <t>m3</t>
        </is>
      </c>
      <c r="I553" s="5" t="inlineStr">
        <is>
          <t>cumulative</t>
        </is>
      </c>
      <c r="J553" s="5" t="inlineStr">
        <is>
          <t>AB</t>
        </is>
      </c>
      <c r="K553" s="5" t="inlineStr"/>
      <c r="L553" s="7">
        <f>IFERROR(IF(F553&lt;F552,"NEGATIVE",ROUND(F553-F552,2)),"")</f>
        <v/>
      </c>
    </row>
    <row r="554" ht="22" customHeight="1">
      <c r="B554" s="8" t="inlineStr">
        <is>
          <t>R00550</t>
        </is>
      </c>
      <c r="C554" s="8" t="inlineStr">
        <is>
          <t>MTR-CTW-004</t>
        </is>
      </c>
      <c r="D554" s="8" t="inlineStr">
        <is>
          <t>Cooling Tower</t>
        </is>
      </c>
      <c r="E554" s="8" t="inlineStr">
        <is>
          <t>Cooling Tower Cell 2</t>
        </is>
      </c>
      <c r="F554" s="8" t="inlineStr">
        <is>
          <t>2024-07-03 08:00</t>
        </is>
      </c>
      <c r="G554" s="12" t="n">
        <v>79568.23</v>
      </c>
      <c r="H554" s="8" t="inlineStr">
        <is>
          <t>m3</t>
        </is>
      </c>
      <c r="I554" s="8" t="inlineStr">
        <is>
          <t>cumulative</t>
        </is>
      </c>
      <c r="J554" s="8" t="inlineStr">
        <is>
          <t>GH</t>
        </is>
      </c>
      <c r="K554" s="8" t="inlineStr"/>
      <c r="L554" s="10">
        <f>IFERROR(IF(F554&lt;F553,"NEGATIVE",ROUND(F554-F553,2)),"")</f>
        <v/>
      </c>
    </row>
    <row r="555" ht="22" customHeight="1">
      <c r="B555" s="5" t="inlineStr">
        <is>
          <t>R00551</t>
        </is>
      </c>
      <c r="C555" s="5" t="inlineStr">
        <is>
          <t>MTR-CTW-004</t>
        </is>
      </c>
      <c r="D555" s="5" t="inlineStr">
        <is>
          <t>Cooling Tower</t>
        </is>
      </c>
      <c r="E555" s="5" t="inlineStr">
        <is>
          <t>Cooling Tower Cell 2</t>
        </is>
      </c>
      <c r="F555" s="5" t="inlineStr">
        <is>
          <t>2024-07-04 08:00</t>
        </is>
      </c>
      <c r="G555" s="11" t="n">
        <v>79612.48</v>
      </c>
      <c r="H555" s="5" t="inlineStr">
        <is>
          <t>m3</t>
        </is>
      </c>
      <c r="I555" s="5" t="inlineStr">
        <is>
          <t>cumulative</t>
        </is>
      </c>
      <c r="J555" s="5" t="inlineStr">
        <is>
          <t>CD</t>
        </is>
      </c>
      <c r="K555" s="5" t="inlineStr"/>
      <c r="L555" s="7">
        <f>IFERROR(IF(F555&lt;F554,"NEGATIVE",ROUND(F555-F554,2)),"")</f>
        <v/>
      </c>
    </row>
    <row r="556" ht="22" customHeight="1">
      <c r="B556" s="8" t="inlineStr">
        <is>
          <t>R00552</t>
        </is>
      </c>
      <c r="C556" s="8" t="inlineStr">
        <is>
          <t>MTR-CTW-004</t>
        </is>
      </c>
      <c r="D556" s="8" t="inlineStr">
        <is>
          <t>Cooling Tower</t>
        </is>
      </c>
      <c r="E556" s="8" t="inlineStr">
        <is>
          <t>Cooling Tower Cell 2</t>
        </is>
      </c>
      <c r="F556" s="8" t="inlineStr">
        <is>
          <t>2024-07-05 08:00</t>
        </is>
      </c>
      <c r="G556" s="12" t="n">
        <v>79655.55</v>
      </c>
      <c r="H556" s="8" t="inlineStr">
        <is>
          <t>m3</t>
        </is>
      </c>
      <c r="I556" s="8" t="inlineStr">
        <is>
          <t>cumulative</t>
        </is>
      </c>
      <c r="J556" s="8" t="inlineStr">
        <is>
          <t>CD</t>
        </is>
      </c>
      <c r="K556" s="8" t="inlineStr"/>
      <c r="L556" s="10">
        <f>IFERROR(IF(F556&lt;F555,"NEGATIVE",ROUND(F556-F555,2)),"")</f>
        <v/>
      </c>
    </row>
    <row r="557" ht="22" customHeight="1">
      <c r="B557" s="5" t="inlineStr">
        <is>
          <t>R00553</t>
        </is>
      </c>
      <c r="C557" s="5" t="inlineStr">
        <is>
          <t>MTR-CTW-004</t>
        </is>
      </c>
      <c r="D557" s="5" t="inlineStr">
        <is>
          <t>Cooling Tower</t>
        </is>
      </c>
      <c r="E557" s="5" t="inlineStr">
        <is>
          <t>Cooling Tower Cell 2</t>
        </is>
      </c>
      <c r="F557" s="5" t="inlineStr">
        <is>
          <t>2024-07-06 08:00</t>
        </is>
      </c>
      <c r="G557" s="11" t="n">
        <v>79689.17999999999</v>
      </c>
      <c r="H557" s="5" t="inlineStr">
        <is>
          <t>m3</t>
        </is>
      </c>
      <c r="I557" s="5" t="inlineStr">
        <is>
          <t>cumulative</t>
        </is>
      </c>
      <c r="J557" s="5" t="inlineStr">
        <is>
          <t>CD</t>
        </is>
      </c>
      <c r="K557" s="5" t="inlineStr"/>
      <c r="L557" s="7">
        <f>IFERROR(IF(F557&lt;F556,"NEGATIVE",ROUND(F557-F556,2)),"")</f>
        <v/>
      </c>
    </row>
    <row r="558" ht="22" customHeight="1">
      <c r="B558" s="8" t="inlineStr">
        <is>
          <t>R00554</t>
        </is>
      </c>
      <c r="C558" s="8" t="inlineStr">
        <is>
          <t>MTR-CTW-004</t>
        </is>
      </c>
      <c r="D558" s="8" t="inlineStr">
        <is>
          <t>Cooling Tower</t>
        </is>
      </c>
      <c r="E558" s="8" t="inlineStr">
        <is>
          <t>Cooling Tower Cell 2</t>
        </is>
      </c>
      <c r="F558" s="8" t="inlineStr">
        <is>
          <t>2024-07-07 08:00</t>
        </is>
      </c>
      <c r="G558" s="12" t="n">
        <v>79709.28999999999</v>
      </c>
      <c r="H558" s="8" t="inlineStr">
        <is>
          <t>m3</t>
        </is>
      </c>
      <c r="I558" s="8" t="inlineStr">
        <is>
          <t>cumulative</t>
        </is>
      </c>
      <c r="J558" s="8" t="inlineStr">
        <is>
          <t>EF</t>
        </is>
      </c>
      <c r="K558" s="8" t="inlineStr"/>
      <c r="L558" s="10">
        <f>IFERROR(IF(F558&lt;F557,"NEGATIVE",ROUND(F558-F557,2)),"")</f>
        <v/>
      </c>
    </row>
    <row r="559" ht="22" customHeight="1">
      <c r="B559" s="5" t="inlineStr">
        <is>
          <t>R00555</t>
        </is>
      </c>
      <c r="C559" s="5" t="inlineStr">
        <is>
          <t>MTR-CTW-004</t>
        </is>
      </c>
      <c r="D559" s="5" t="inlineStr">
        <is>
          <t>Cooling Tower</t>
        </is>
      </c>
      <c r="E559" s="5" t="inlineStr">
        <is>
          <t>Cooling Tower Cell 2</t>
        </is>
      </c>
      <c r="F559" s="5" t="inlineStr">
        <is>
          <t>2024-07-08 08:00</t>
        </is>
      </c>
      <c r="G559" s="11" t="n">
        <v>79753.3</v>
      </c>
      <c r="H559" s="5" t="inlineStr">
        <is>
          <t>m3</t>
        </is>
      </c>
      <c r="I559" s="5" t="inlineStr">
        <is>
          <t>cumulative</t>
        </is>
      </c>
      <c r="J559" s="5" t="inlineStr">
        <is>
          <t>GH</t>
        </is>
      </c>
      <c r="K559" s="5" t="inlineStr"/>
      <c r="L559" s="7">
        <f>IFERROR(IF(F559&lt;F558,"NEGATIVE",ROUND(F559-F558,2)),"")</f>
        <v/>
      </c>
    </row>
    <row r="560" ht="22" customHeight="1">
      <c r="B560" s="8" t="inlineStr">
        <is>
          <t>R00556</t>
        </is>
      </c>
      <c r="C560" s="8" t="inlineStr">
        <is>
          <t>MTR-CTW-004</t>
        </is>
      </c>
      <c r="D560" s="8" t="inlineStr">
        <is>
          <t>Cooling Tower</t>
        </is>
      </c>
      <c r="E560" s="8" t="inlineStr">
        <is>
          <t>Cooling Tower Cell 2</t>
        </is>
      </c>
      <c r="F560" s="8" t="inlineStr">
        <is>
          <t>2024-07-09 08:00</t>
        </is>
      </c>
      <c r="G560" s="12" t="n">
        <v>79799.32000000001</v>
      </c>
      <c r="H560" s="8" t="inlineStr">
        <is>
          <t>m3</t>
        </is>
      </c>
      <c r="I560" s="8" t="inlineStr">
        <is>
          <t>cumulative</t>
        </is>
      </c>
      <c r="J560" s="8" t="inlineStr">
        <is>
          <t>AB</t>
        </is>
      </c>
      <c r="K560" s="8" t="inlineStr"/>
      <c r="L560" s="10">
        <f>IFERROR(IF(F560&lt;F559,"NEGATIVE",ROUND(F560-F559,2)),"")</f>
        <v/>
      </c>
    </row>
    <row r="561" ht="22" customHeight="1">
      <c r="B561" s="5" t="inlineStr">
        <is>
          <t>R00557</t>
        </is>
      </c>
      <c r="C561" s="5" t="inlineStr">
        <is>
          <t>MTR-CTW-004</t>
        </is>
      </c>
      <c r="D561" s="5" t="inlineStr">
        <is>
          <t>Cooling Tower</t>
        </is>
      </c>
      <c r="E561" s="5" t="inlineStr">
        <is>
          <t>Cooling Tower Cell 2</t>
        </is>
      </c>
      <c r="F561" s="5" t="inlineStr">
        <is>
          <t>2024-07-10 08:00</t>
        </is>
      </c>
      <c r="G561" s="11" t="n">
        <v>79841.92999999999</v>
      </c>
      <c r="H561" s="5" t="inlineStr">
        <is>
          <t>m3</t>
        </is>
      </c>
      <c r="I561" s="5" t="inlineStr">
        <is>
          <t>cumulative</t>
        </is>
      </c>
      <c r="J561" s="5" t="inlineStr">
        <is>
          <t>KL</t>
        </is>
      </c>
      <c r="K561" s="5" t="inlineStr"/>
      <c r="L561" s="7">
        <f>IFERROR(IF(F561&lt;F560,"NEGATIVE",ROUND(F561-F560,2)),"")</f>
        <v/>
      </c>
    </row>
    <row r="562" ht="22" customHeight="1">
      <c r="B562" s="8" t="inlineStr">
        <is>
          <t>R00558</t>
        </is>
      </c>
      <c r="C562" s="8" t="inlineStr">
        <is>
          <t>MTR-CTW-004</t>
        </is>
      </c>
      <c r="D562" s="8" t="inlineStr">
        <is>
          <t>Cooling Tower</t>
        </is>
      </c>
      <c r="E562" s="8" t="inlineStr">
        <is>
          <t>Cooling Tower Cell 2</t>
        </is>
      </c>
      <c r="F562" s="8" t="inlineStr">
        <is>
          <t>2024-07-11 08:00</t>
        </is>
      </c>
      <c r="G562" s="12" t="n">
        <v>79879.53999999999</v>
      </c>
      <c r="H562" s="8" t="inlineStr">
        <is>
          <t>m3</t>
        </is>
      </c>
      <c r="I562" s="8" t="inlineStr">
        <is>
          <t>cumulative</t>
        </is>
      </c>
      <c r="J562" s="8" t="inlineStr">
        <is>
          <t>GH</t>
        </is>
      </c>
      <c r="K562" s="8" t="inlineStr"/>
      <c r="L562" s="10">
        <f>IFERROR(IF(F562&lt;F561,"NEGATIVE",ROUND(F562-F561,2)),"")</f>
        <v/>
      </c>
    </row>
    <row r="563" ht="22" customHeight="1">
      <c r="B563" s="5" t="inlineStr">
        <is>
          <t>R00559</t>
        </is>
      </c>
      <c r="C563" s="5" t="inlineStr">
        <is>
          <t>MTR-CTW-004</t>
        </is>
      </c>
      <c r="D563" s="5" t="inlineStr">
        <is>
          <t>Cooling Tower</t>
        </is>
      </c>
      <c r="E563" s="5" t="inlineStr">
        <is>
          <t>Cooling Tower Cell 2</t>
        </is>
      </c>
      <c r="F563" s="5" t="inlineStr">
        <is>
          <t>2024-07-12 08:00</t>
        </is>
      </c>
      <c r="G563" s="11" t="n">
        <v>79920.88</v>
      </c>
      <c r="H563" s="5" t="inlineStr">
        <is>
          <t>m3</t>
        </is>
      </c>
      <c r="I563" s="5" t="inlineStr">
        <is>
          <t>cumulative</t>
        </is>
      </c>
      <c r="J563" s="5" t="inlineStr">
        <is>
          <t>AB</t>
        </is>
      </c>
      <c r="K563" s="5" t="inlineStr"/>
      <c r="L563" s="7">
        <f>IFERROR(IF(F563&lt;F562,"NEGATIVE",ROUND(F563-F562,2)),"")</f>
        <v/>
      </c>
    </row>
    <row r="564" ht="22" customHeight="1">
      <c r="B564" s="8" t="inlineStr">
        <is>
          <t>R00560</t>
        </is>
      </c>
      <c r="C564" s="8" t="inlineStr">
        <is>
          <t>MTR-CTW-004</t>
        </is>
      </c>
      <c r="D564" s="8" t="inlineStr">
        <is>
          <t>Cooling Tower</t>
        </is>
      </c>
      <c r="E564" s="8" t="inlineStr">
        <is>
          <t>Cooling Tower Cell 2</t>
        </is>
      </c>
      <c r="F564" s="8" t="inlineStr">
        <is>
          <t>2024-07-13 08:00</t>
        </is>
      </c>
      <c r="G564" s="12" t="n">
        <v>79958.78</v>
      </c>
      <c r="H564" s="8" t="inlineStr">
        <is>
          <t>m3</t>
        </is>
      </c>
      <c r="I564" s="8" t="inlineStr">
        <is>
          <t>cumulative</t>
        </is>
      </c>
      <c r="J564" s="8" t="inlineStr">
        <is>
          <t>KL</t>
        </is>
      </c>
      <c r="K564" s="8" t="inlineStr"/>
      <c r="L564" s="10">
        <f>IFERROR(IF(F564&lt;F563,"NEGATIVE",ROUND(F564-F563,2)),"")</f>
        <v/>
      </c>
    </row>
    <row r="565" ht="22" customHeight="1">
      <c r="B565" s="5" t="inlineStr">
        <is>
          <t>R00561</t>
        </is>
      </c>
      <c r="C565" s="5" t="inlineStr">
        <is>
          <t>MTR-CTW-004</t>
        </is>
      </c>
      <c r="D565" s="5" t="inlineStr">
        <is>
          <t>Cooling Tower</t>
        </is>
      </c>
      <c r="E565" s="5" t="inlineStr">
        <is>
          <t>Cooling Tower Cell 2</t>
        </is>
      </c>
      <c r="F565" s="5" t="inlineStr">
        <is>
          <t>2024-07-14 08:00</t>
        </is>
      </c>
      <c r="G565" s="11" t="n">
        <v>79978.99000000001</v>
      </c>
      <c r="H565" s="5" t="inlineStr">
        <is>
          <t>m3</t>
        </is>
      </c>
      <c r="I565" s="5" t="inlineStr">
        <is>
          <t>cumulative</t>
        </is>
      </c>
      <c r="J565" s="5" t="inlineStr">
        <is>
          <t>EF</t>
        </is>
      </c>
      <c r="K565" s="5" t="inlineStr"/>
      <c r="L565" s="7">
        <f>IFERROR(IF(F565&lt;F564,"NEGATIVE",ROUND(F565-F564,2)),"")</f>
        <v/>
      </c>
    </row>
    <row r="566" ht="22" customHeight="1">
      <c r="B566" s="8" t="inlineStr">
        <is>
          <t>R00562</t>
        </is>
      </c>
      <c r="C566" s="8" t="inlineStr">
        <is>
          <t>MTR-CTW-004</t>
        </is>
      </c>
      <c r="D566" s="8" t="inlineStr">
        <is>
          <t>Cooling Tower</t>
        </is>
      </c>
      <c r="E566" s="8" t="inlineStr">
        <is>
          <t>Cooling Tower Cell 2</t>
        </is>
      </c>
      <c r="F566" s="8" t="inlineStr">
        <is>
          <t>2024-07-15 08:00</t>
        </is>
      </c>
      <c r="G566" s="12" t="n">
        <v>80024.61</v>
      </c>
      <c r="H566" s="8" t="inlineStr">
        <is>
          <t>m3</t>
        </is>
      </c>
      <c r="I566" s="8" t="inlineStr">
        <is>
          <t>cumulative</t>
        </is>
      </c>
      <c r="J566" s="8" t="inlineStr">
        <is>
          <t>IJ</t>
        </is>
      </c>
      <c r="K566" s="8" t="inlineStr"/>
      <c r="L566" s="10">
        <f>IFERROR(IF(F566&lt;F565,"NEGATIVE",ROUND(F566-F565,2)),"")</f>
        <v/>
      </c>
    </row>
    <row r="567" ht="22" customHeight="1">
      <c r="B567" s="5" t="inlineStr">
        <is>
          <t>R00563</t>
        </is>
      </c>
      <c r="C567" s="5" t="inlineStr">
        <is>
          <t>MTR-CTW-004</t>
        </is>
      </c>
      <c r="D567" s="5" t="inlineStr">
        <is>
          <t>Cooling Tower</t>
        </is>
      </c>
      <c r="E567" s="5" t="inlineStr">
        <is>
          <t>Cooling Tower Cell 2</t>
        </is>
      </c>
      <c r="F567" s="5" t="inlineStr">
        <is>
          <t>2024-07-16 08:00</t>
        </is>
      </c>
      <c r="G567" s="11" t="n">
        <v>80072</v>
      </c>
      <c r="H567" s="5" t="inlineStr">
        <is>
          <t>m3</t>
        </is>
      </c>
      <c r="I567" s="5" t="inlineStr">
        <is>
          <t>cumulative</t>
        </is>
      </c>
      <c r="J567" s="5" t="inlineStr">
        <is>
          <t>GH</t>
        </is>
      </c>
      <c r="K567" s="5" t="inlineStr"/>
      <c r="L567" s="7">
        <f>IFERROR(IF(F567&lt;F566,"NEGATIVE",ROUND(F567-F566,2)),"")</f>
        <v/>
      </c>
    </row>
    <row r="568" ht="22" customHeight="1">
      <c r="B568" s="8" t="inlineStr">
        <is>
          <t>R00564</t>
        </is>
      </c>
      <c r="C568" s="8" t="inlineStr">
        <is>
          <t>MTR-CTW-004</t>
        </is>
      </c>
      <c r="D568" s="8" t="inlineStr">
        <is>
          <t>Cooling Tower</t>
        </is>
      </c>
      <c r="E568" s="8" t="inlineStr">
        <is>
          <t>Cooling Tower Cell 2</t>
        </is>
      </c>
      <c r="F568" s="8" t="inlineStr">
        <is>
          <t>2024-07-17 08:00</t>
        </is>
      </c>
      <c r="G568" s="12" t="n">
        <v>80112.03999999999</v>
      </c>
      <c r="H568" s="8" t="inlineStr">
        <is>
          <t>m3</t>
        </is>
      </c>
      <c r="I568" s="8" t="inlineStr">
        <is>
          <t>cumulative</t>
        </is>
      </c>
      <c r="J568" s="8" t="inlineStr">
        <is>
          <t>AB</t>
        </is>
      </c>
      <c r="K568" s="8" t="inlineStr"/>
      <c r="L568" s="10">
        <f>IFERROR(IF(F568&lt;F567,"NEGATIVE",ROUND(F568-F567,2)),"")</f>
        <v/>
      </c>
    </row>
    <row r="569" ht="22" customHeight="1">
      <c r="B569" s="5" t="inlineStr">
        <is>
          <t>R00565</t>
        </is>
      </c>
      <c r="C569" s="5" t="inlineStr">
        <is>
          <t>MTR-CTW-004</t>
        </is>
      </c>
      <c r="D569" s="5" t="inlineStr">
        <is>
          <t>Cooling Tower</t>
        </is>
      </c>
      <c r="E569" s="5" t="inlineStr">
        <is>
          <t>Cooling Tower Cell 2</t>
        </is>
      </c>
      <c r="F569" s="5" t="inlineStr">
        <is>
          <t>2024-07-18 08:00</t>
        </is>
      </c>
      <c r="G569" s="11" t="n">
        <v>80156.67999999999</v>
      </c>
      <c r="H569" s="5" t="inlineStr">
        <is>
          <t>m3</t>
        </is>
      </c>
      <c r="I569" s="5" t="inlineStr">
        <is>
          <t>cumulative</t>
        </is>
      </c>
      <c r="J569" s="5" t="inlineStr">
        <is>
          <t>KL</t>
        </is>
      </c>
      <c r="K569" s="5" t="inlineStr"/>
      <c r="L569" s="7">
        <f>IFERROR(IF(F569&lt;F568,"NEGATIVE",ROUND(F569-F568,2)),"")</f>
        <v/>
      </c>
    </row>
    <row r="570" ht="22" customHeight="1">
      <c r="B570" s="8" t="inlineStr">
        <is>
          <t>R00566</t>
        </is>
      </c>
      <c r="C570" s="8" t="inlineStr">
        <is>
          <t>MTR-CTW-004</t>
        </is>
      </c>
      <c r="D570" s="8" t="inlineStr">
        <is>
          <t>Cooling Tower</t>
        </is>
      </c>
      <c r="E570" s="8" t="inlineStr">
        <is>
          <t>Cooling Tower Cell 2</t>
        </is>
      </c>
      <c r="F570" s="8" t="inlineStr">
        <is>
          <t>2024-07-19 08:00</t>
        </is>
      </c>
      <c r="G570" s="12" t="n">
        <v>80205.88</v>
      </c>
      <c r="H570" s="8" t="inlineStr">
        <is>
          <t>m3</t>
        </is>
      </c>
      <c r="I570" s="8" t="inlineStr">
        <is>
          <t>cumulative</t>
        </is>
      </c>
      <c r="J570" s="8" t="inlineStr">
        <is>
          <t>KL</t>
        </is>
      </c>
      <c r="K570" s="8" t="inlineStr"/>
      <c r="L570" s="10">
        <f>IFERROR(IF(F570&lt;F569,"NEGATIVE",ROUND(F570-F569,2)),"")</f>
        <v/>
      </c>
    </row>
    <row r="571" ht="22" customHeight="1">
      <c r="B571" s="5" t="inlineStr">
        <is>
          <t>R00567</t>
        </is>
      </c>
      <c r="C571" s="5" t="inlineStr">
        <is>
          <t>MTR-CTW-004</t>
        </is>
      </c>
      <c r="D571" s="5" t="inlineStr">
        <is>
          <t>Cooling Tower</t>
        </is>
      </c>
      <c r="E571" s="5" t="inlineStr">
        <is>
          <t>Cooling Tower Cell 2</t>
        </is>
      </c>
      <c r="F571" s="5" t="inlineStr">
        <is>
          <t>2024-07-20 08:00</t>
        </is>
      </c>
      <c r="G571" s="11" t="n">
        <v>80239.08</v>
      </c>
      <c r="H571" s="5" t="inlineStr">
        <is>
          <t>m3</t>
        </is>
      </c>
      <c r="I571" s="5" t="inlineStr">
        <is>
          <t>cumulative</t>
        </is>
      </c>
      <c r="J571" s="5" t="inlineStr">
        <is>
          <t>GH</t>
        </is>
      </c>
      <c r="K571" s="5" t="inlineStr"/>
      <c r="L571" s="7">
        <f>IFERROR(IF(F571&lt;F570,"NEGATIVE",ROUND(F571-F570,2)),"")</f>
        <v/>
      </c>
    </row>
    <row r="572" ht="22" customHeight="1">
      <c r="B572" s="8" t="inlineStr">
        <is>
          <t>R00568</t>
        </is>
      </c>
      <c r="C572" s="8" t="inlineStr">
        <is>
          <t>MTR-CTW-004</t>
        </is>
      </c>
      <c r="D572" s="8" t="inlineStr">
        <is>
          <t>Cooling Tower</t>
        </is>
      </c>
      <c r="E572" s="8" t="inlineStr">
        <is>
          <t>Cooling Tower Cell 2</t>
        </is>
      </c>
      <c r="F572" s="8" t="inlineStr">
        <is>
          <t>2024-07-21 08:00</t>
        </is>
      </c>
      <c r="G572" s="12" t="n">
        <v>80264.62</v>
      </c>
      <c r="H572" s="8" t="inlineStr">
        <is>
          <t>m3</t>
        </is>
      </c>
      <c r="I572" s="8" t="inlineStr">
        <is>
          <t>cumulative</t>
        </is>
      </c>
      <c r="J572" s="8" t="inlineStr">
        <is>
          <t>IJ</t>
        </is>
      </c>
      <c r="K572" s="8" t="inlineStr"/>
      <c r="L572" s="10">
        <f>IFERROR(IF(F572&lt;F571,"NEGATIVE",ROUND(F572-F571,2)),"")</f>
        <v/>
      </c>
    </row>
    <row r="573" ht="22" customHeight="1">
      <c r="B573" s="5" t="inlineStr">
        <is>
          <t>R00569</t>
        </is>
      </c>
      <c r="C573" s="5" t="inlineStr">
        <is>
          <t>MTR-CTW-004</t>
        </is>
      </c>
      <c r="D573" s="5" t="inlineStr">
        <is>
          <t>Cooling Tower</t>
        </is>
      </c>
      <c r="E573" s="5" t="inlineStr">
        <is>
          <t>Cooling Tower Cell 2</t>
        </is>
      </c>
      <c r="F573" s="5" t="inlineStr">
        <is>
          <t>2024-07-22 08:00</t>
        </is>
      </c>
      <c r="G573" s="11" t="n">
        <v>80312.5</v>
      </c>
      <c r="H573" s="5" t="inlineStr">
        <is>
          <t>m3</t>
        </is>
      </c>
      <c r="I573" s="5" t="inlineStr">
        <is>
          <t>cumulative</t>
        </is>
      </c>
      <c r="J573" s="5" t="inlineStr">
        <is>
          <t>AB</t>
        </is>
      </c>
      <c r="K573" s="5" t="inlineStr"/>
      <c r="L573" s="7">
        <f>IFERROR(IF(F573&lt;F572,"NEGATIVE",ROUND(F573-F572,2)),"")</f>
        <v/>
      </c>
    </row>
    <row r="574" ht="22" customHeight="1">
      <c r="B574" s="8" t="inlineStr">
        <is>
          <t>R00570</t>
        </is>
      </c>
      <c r="C574" s="8" t="inlineStr">
        <is>
          <t>MTR-CTW-004</t>
        </is>
      </c>
      <c r="D574" s="8" t="inlineStr">
        <is>
          <t>Cooling Tower</t>
        </is>
      </c>
      <c r="E574" s="8" t="inlineStr">
        <is>
          <t>Cooling Tower Cell 2</t>
        </is>
      </c>
      <c r="F574" s="8" t="inlineStr">
        <is>
          <t>2024-07-23 08:00</t>
        </is>
      </c>
      <c r="G574" s="12" t="n">
        <v>80358.78</v>
      </c>
      <c r="H574" s="8" t="inlineStr">
        <is>
          <t>m3</t>
        </is>
      </c>
      <c r="I574" s="8" t="inlineStr">
        <is>
          <t>cumulative</t>
        </is>
      </c>
      <c r="J574" s="8" t="inlineStr">
        <is>
          <t>IJ</t>
        </is>
      </c>
      <c r="K574" s="8" t="inlineStr"/>
      <c r="L574" s="10">
        <f>IFERROR(IF(F574&lt;F573,"NEGATIVE",ROUND(F574-F573,2)),"")</f>
        <v/>
      </c>
    </row>
    <row r="575" ht="22" customHeight="1">
      <c r="B575" s="5" t="inlineStr">
        <is>
          <t>R00571</t>
        </is>
      </c>
      <c r="C575" s="5" t="inlineStr">
        <is>
          <t>MTR-CTW-004</t>
        </is>
      </c>
      <c r="D575" s="5" t="inlineStr">
        <is>
          <t>Cooling Tower</t>
        </is>
      </c>
      <c r="E575" s="5" t="inlineStr">
        <is>
          <t>Cooling Tower Cell 2</t>
        </is>
      </c>
      <c r="F575" s="5" t="inlineStr">
        <is>
          <t>2024-07-24 08:00</t>
        </is>
      </c>
      <c r="G575" s="11" t="n">
        <v>80405.36</v>
      </c>
      <c r="H575" s="5" t="inlineStr">
        <is>
          <t>m3</t>
        </is>
      </c>
      <c r="I575" s="5" t="inlineStr">
        <is>
          <t>cumulative</t>
        </is>
      </c>
      <c r="J575" s="5" t="inlineStr">
        <is>
          <t>GH</t>
        </is>
      </c>
      <c r="K575" s="5" t="inlineStr"/>
      <c r="L575" s="7">
        <f>IFERROR(IF(F575&lt;F574,"NEGATIVE",ROUND(F575-F574,2)),"")</f>
        <v/>
      </c>
    </row>
    <row r="576" ht="22" customHeight="1">
      <c r="B576" s="8" t="inlineStr">
        <is>
          <t>R00572</t>
        </is>
      </c>
      <c r="C576" s="8" t="inlineStr">
        <is>
          <t>MTR-CTW-004</t>
        </is>
      </c>
      <c r="D576" s="8" t="inlineStr">
        <is>
          <t>Cooling Tower</t>
        </is>
      </c>
      <c r="E576" s="8" t="inlineStr">
        <is>
          <t>Cooling Tower Cell 2</t>
        </is>
      </c>
      <c r="F576" s="8" t="inlineStr">
        <is>
          <t>2024-07-25 08:00</t>
        </is>
      </c>
      <c r="G576" s="12" t="n">
        <v>80450.66</v>
      </c>
      <c r="H576" s="8" t="inlineStr">
        <is>
          <t>m3</t>
        </is>
      </c>
      <c r="I576" s="8" t="inlineStr">
        <is>
          <t>cumulative</t>
        </is>
      </c>
      <c r="J576" s="8" t="inlineStr">
        <is>
          <t>EF</t>
        </is>
      </c>
      <c r="K576" s="8" t="inlineStr"/>
      <c r="L576" s="10">
        <f>IFERROR(IF(F576&lt;F575,"NEGATIVE",ROUND(F576-F575,2)),"")</f>
        <v/>
      </c>
    </row>
    <row r="577" ht="22" customHeight="1">
      <c r="B577" s="5" t="inlineStr">
        <is>
          <t>R00573</t>
        </is>
      </c>
      <c r="C577" s="5" t="inlineStr">
        <is>
          <t>MTR-CTW-004</t>
        </is>
      </c>
      <c r="D577" s="5" t="inlineStr">
        <is>
          <t>Cooling Tower</t>
        </is>
      </c>
      <c r="E577" s="5" t="inlineStr">
        <is>
          <t>Cooling Tower Cell 2</t>
        </is>
      </c>
      <c r="F577" s="5" t="inlineStr">
        <is>
          <t>2024-07-26 08:00</t>
        </is>
      </c>
      <c r="G577" s="11" t="n">
        <v>80491.59</v>
      </c>
      <c r="H577" s="5" t="inlineStr">
        <is>
          <t>m3</t>
        </is>
      </c>
      <c r="I577" s="5" t="inlineStr">
        <is>
          <t>cumulative</t>
        </is>
      </c>
      <c r="J577" s="5" t="inlineStr">
        <is>
          <t>AB</t>
        </is>
      </c>
      <c r="K577" s="5" t="inlineStr"/>
      <c r="L577" s="7">
        <f>IFERROR(IF(F577&lt;F576,"NEGATIVE",ROUND(F577-F576,2)),"")</f>
        <v/>
      </c>
    </row>
    <row r="578" ht="22" customHeight="1">
      <c r="B578" s="8" t="inlineStr">
        <is>
          <t>R00574</t>
        </is>
      </c>
      <c r="C578" s="8" t="inlineStr">
        <is>
          <t>MTR-CTW-004</t>
        </is>
      </c>
      <c r="D578" s="8" t="inlineStr">
        <is>
          <t>Cooling Tower</t>
        </is>
      </c>
      <c r="E578" s="8" t="inlineStr">
        <is>
          <t>Cooling Tower Cell 2</t>
        </is>
      </c>
      <c r="F578" s="8" t="inlineStr">
        <is>
          <t>2024-07-27 08:00</t>
        </is>
      </c>
      <c r="G578" s="12" t="n">
        <v>80524.89999999999</v>
      </c>
      <c r="H578" s="8" t="inlineStr">
        <is>
          <t>m3</t>
        </is>
      </c>
      <c r="I578" s="8" t="inlineStr">
        <is>
          <t>cumulative</t>
        </is>
      </c>
      <c r="J578" s="8" t="inlineStr">
        <is>
          <t>GH</t>
        </is>
      </c>
      <c r="K578" s="8" t="inlineStr"/>
      <c r="L578" s="10">
        <f>IFERROR(IF(F578&lt;F577,"NEGATIVE",ROUND(F578-F577,2)),"")</f>
        <v/>
      </c>
    </row>
    <row r="579" ht="22" customHeight="1">
      <c r="B579" s="5" t="inlineStr">
        <is>
          <t>R00575</t>
        </is>
      </c>
      <c r="C579" s="5" t="inlineStr">
        <is>
          <t>MTR-CTW-004</t>
        </is>
      </c>
      <c r="D579" s="5" t="inlineStr">
        <is>
          <t>Cooling Tower</t>
        </is>
      </c>
      <c r="E579" s="5" t="inlineStr">
        <is>
          <t>Cooling Tower Cell 2</t>
        </is>
      </c>
      <c r="F579" s="5" t="inlineStr">
        <is>
          <t>2024-07-28 08:00</t>
        </is>
      </c>
      <c r="G579" s="11" t="n">
        <v>80549.25</v>
      </c>
      <c r="H579" s="5" t="inlineStr">
        <is>
          <t>m3</t>
        </is>
      </c>
      <c r="I579" s="5" t="inlineStr">
        <is>
          <t>cumulative</t>
        </is>
      </c>
      <c r="J579" s="5" t="inlineStr">
        <is>
          <t>GH</t>
        </is>
      </c>
      <c r="K579" s="5" t="inlineStr"/>
      <c r="L579" s="7">
        <f>IFERROR(IF(F579&lt;F578,"NEGATIVE",ROUND(F579-F578,2)),"")</f>
        <v/>
      </c>
    </row>
    <row r="580" ht="22" customHeight="1">
      <c r="B580" s="8" t="inlineStr">
        <is>
          <t>R00576</t>
        </is>
      </c>
      <c r="C580" s="8" t="inlineStr">
        <is>
          <t>MTR-CTW-004</t>
        </is>
      </c>
      <c r="D580" s="8" t="inlineStr">
        <is>
          <t>Cooling Tower</t>
        </is>
      </c>
      <c r="E580" s="8" t="inlineStr">
        <is>
          <t>Cooling Tower Cell 2</t>
        </is>
      </c>
      <c r="F580" s="8" t="inlineStr">
        <is>
          <t>2024-07-29 08:00</t>
        </is>
      </c>
      <c r="G580" s="12" t="n">
        <v>80592.92999999999</v>
      </c>
      <c r="H580" s="8" t="inlineStr">
        <is>
          <t>m3</t>
        </is>
      </c>
      <c r="I580" s="8" t="inlineStr">
        <is>
          <t>cumulative</t>
        </is>
      </c>
      <c r="J580" s="8" t="inlineStr">
        <is>
          <t>AB</t>
        </is>
      </c>
      <c r="K580" s="8" t="inlineStr"/>
      <c r="L580" s="10">
        <f>IFERROR(IF(F580&lt;F579,"NEGATIVE",ROUND(F580-F579,2)),"")</f>
        <v/>
      </c>
    </row>
    <row r="581" ht="22" customHeight="1">
      <c r="B581" s="5" t="inlineStr">
        <is>
          <t>R00577</t>
        </is>
      </c>
      <c r="C581" s="5" t="inlineStr">
        <is>
          <t>MTR-CTW-004</t>
        </is>
      </c>
      <c r="D581" s="5" t="inlineStr">
        <is>
          <t>Cooling Tower</t>
        </is>
      </c>
      <c r="E581" s="5" t="inlineStr">
        <is>
          <t>Cooling Tower Cell 2</t>
        </is>
      </c>
      <c r="F581" s="5" t="inlineStr">
        <is>
          <t>2024-07-30 08:00</t>
        </is>
      </c>
      <c r="G581" s="11" t="n">
        <v>80636.37</v>
      </c>
      <c r="H581" s="5" t="inlineStr">
        <is>
          <t>m3</t>
        </is>
      </c>
      <c r="I581" s="5" t="inlineStr">
        <is>
          <t>cumulative</t>
        </is>
      </c>
      <c r="J581" s="5" t="inlineStr">
        <is>
          <t>EF</t>
        </is>
      </c>
      <c r="K581" s="5" t="inlineStr"/>
      <c r="L581" s="7">
        <f>IFERROR(IF(F581&lt;F580,"NEGATIVE",ROUND(F581-F580,2)),"")</f>
        <v/>
      </c>
    </row>
    <row r="582" ht="22" customHeight="1">
      <c r="B582" s="8" t="inlineStr">
        <is>
          <t>R00578</t>
        </is>
      </c>
      <c r="C582" s="8" t="inlineStr">
        <is>
          <t>MTR-CTW-004</t>
        </is>
      </c>
      <c r="D582" s="8" t="inlineStr">
        <is>
          <t>Cooling Tower</t>
        </is>
      </c>
      <c r="E582" s="8" t="inlineStr">
        <is>
          <t>Cooling Tower Cell 2</t>
        </is>
      </c>
      <c r="F582" s="8" t="inlineStr">
        <is>
          <t>2024-07-31 08:00</t>
        </is>
      </c>
      <c r="G582" s="12" t="n">
        <v>80673.38</v>
      </c>
      <c r="H582" s="8" t="inlineStr">
        <is>
          <t>m3</t>
        </is>
      </c>
      <c r="I582" s="8" t="inlineStr">
        <is>
          <t>cumulative</t>
        </is>
      </c>
      <c r="J582" s="8" t="inlineStr">
        <is>
          <t>IJ</t>
        </is>
      </c>
      <c r="K582" s="8" t="inlineStr"/>
      <c r="L582" s="10">
        <f>IFERROR(IF(F582&lt;F581,"NEGATIVE",ROUND(F582-F581,2)),"")</f>
        <v/>
      </c>
    </row>
    <row r="583" ht="22" customHeight="1">
      <c r="B583" s="5" t="inlineStr">
        <is>
          <t>R00579</t>
        </is>
      </c>
      <c r="C583" s="5" t="inlineStr">
        <is>
          <t>MTR-CTW-004</t>
        </is>
      </c>
      <c r="D583" s="5" t="inlineStr">
        <is>
          <t>Cooling Tower</t>
        </is>
      </c>
      <c r="E583" s="5" t="inlineStr">
        <is>
          <t>Cooling Tower Cell 2</t>
        </is>
      </c>
      <c r="F583" s="5" t="inlineStr">
        <is>
          <t>2024-08-01 08:00</t>
        </is>
      </c>
      <c r="G583" s="11" t="n">
        <v>80715.95</v>
      </c>
      <c r="H583" s="5" t="inlineStr">
        <is>
          <t>m3</t>
        </is>
      </c>
      <c r="I583" s="5" t="inlineStr">
        <is>
          <t>cumulative</t>
        </is>
      </c>
      <c r="J583" s="5" t="inlineStr">
        <is>
          <t>CD</t>
        </is>
      </c>
      <c r="K583" s="5" t="inlineStr"/>
      <c r="L583" s="7">
        <f>IFERROR(IF(F583&lt;F582,"NEGATIVE",ROUND(F583-F582,2)),"")</f>
        <v/>
      </c>
    </row>
    <row r="584" ht="22" customHeight="1">
      <c r="B584" s="8" t="inlineStr">
        <is>
          <t>R00580</t>
        </is>
      </c>
      <c r="C584" s="8" t="inlineStr">
        <is>
          <t>MTR-CTW-004</t>
        </is>
      </c>
      <c r="D584" s="8" t="inlineStr">
        <is>
          <t>Cooling Tower</t>
        </is>
      </c>
      <c r="E584" s="8" t="inlineStr">
        <is>
          <t>Cooling Tower Cell 2</t>
        </is>
      </c>
      <c r="F584" s="8" t="inlineStr">
        <is>
          <t>2024-08-02 08:00</t>
        </is>
      </c>
      <c r="G584" s="12" t="n">
        <v>80764.42999999999</v>
      </c>
      <c r="H584" s="8" t="inlineStr">
        <is>
          <t>m3</t>
        </is>
      </c>
      <c r="I584" s="8" t="inlineStr">
        <is>
          <t>cumulative</t>
        </is>
      </c>
      <c r="J584" s="8" t="inlineStr">
        <is>
          <t>CD</t>
        </is>
      </c>
      <c r="K584" s="8" t="inlineStr"/>
      <c r="L584" s="10">
        <f>IFERROR(IF(F584&lt;F583,"NEGATIVE",ROUND(F584-F583,2)),"")</f>
        <v/>
      </c>
    </row>
    <row r="585" ht="22" customHeight="1">
      <c r="B585" s="5" t="inlineStr">
        <is>
          <t>R00581</t>
        </is>
      </c>
      <c r="C585" s="5" t="inlineStr">
        <is>
          <t>MTR-CTW-004</t>
        </is>
      </c>
      <c r="D585" s="5" t="inlineStr">
        <is>
          <t>Cooling Tower</t>
        </is>
      </c>
      <c r="E585" s="5" t="inlineStr">
        <is>
          <t>Cooling Tower Cell 2</t>
        </is>
      </c>
      <c r="F585" s="5" t="inlineStr">
        <is>
          <t>2024-08-03 08:00</t>
        </is>
      </c>
      <c r="G585" s="11" t="n">
        <v>80800.05</v>
      </c>
      <c r="H585" s="5" t="inlineStr">
        <is>
          <t>m3</t>
        </is>
      </c>
      <c r="I585" s="5" t="inlineStr">
        <is>
          <t>cumulative</t>
        </is>
      </c>
      <c r="J585" s="5" t="inlineStr">
        <is>
          <t>KL</t>
        </is>
      </c>
      <c r="K585" s="5" t="inlineStr"/>
      <c r="L585" s="7">
        <f>IFERROR(IF(F585&lt;F584,"NEGATIVE",ROUND(F585-F584,2)),"")</f>
        <v/>
      </c>
    </row>
    <row r="586" ht="22" customHeight="1">
      <c r="B586" s="8" t="inlineStr">
        <is>
          <t>R00582</t>
        </is>
      </c>
      <c r="C586" s="8" t="inlineStr">
        <is>
          <t>MTR-CTW-004</t>
        </is>
      </c>
      <c r="D586" s="8" t="inlineStr">
        <is>
          <t>Cooling Tower</t>
        </is>
      </c>
      <c r="E586" s="8" t="inlineStr">
        <is>
          <t>Cooling Tower Cell 2</t>
        </is>
      </c>
      <c r="F586" s="8" t="inlineStr">
        <is>
          <t>2024-08-04 08:00</t>
        </is>
      </c>
      <c r="G586" s="12" t="n">
        <v>80820.39</v>
      </c>
      <c r="H586" s="8" t="inlineStr">
        <is>
          <t>m3</t>
        </is>
      </c>
      <c r="I586" s="8" t="inlineStr">
        <is>
          <t>cumulative</t>
        </is>
      </c>
      <c r="J586" s="8" t="inlineStr">
        <is>
          <t>KL</t>
        </is>
      </c>
      <c r="K586" s="8" t="inlineStr"/>
      <c r="L586" s="10">
        <f>IFERROR(IF(F586&lt;F585,"NEGATIVE",ROUND(F586-F585,2)),"")</f>
        <v/>
      </c>
    </row>
    <row r="587" ht="22" customHeight="1">
      <c r="B587" s="5" t="inlineStr">
        <is>
          <t>R00583</t>
        </is>
      </c>
      <c r="C587" s="5" t="inlineStr">
        <is>
          <t>MTR-CTW-004</t>
        </is>
      </c>
      <c r="D587" s="5" t="inlineStr">
        <is>
          <t>Cooling Tower</t>
        </is>
      </c>
      <c r="E587" s="5" t="inlineStr">
        <is>
          <t>Cooling Tower Cell 2</t>
        </is>
      </c>
      <c r="F587" s="5" t="inlineStr">
        <is>
          <t>2024-08-05 08:00</t>
        </is>
      </c>
      <c r="G587" s="11" t="n">
        <v>80868.09</v>
      </c>
      <c r="H587" s="5" t="inlineStr">
        <is>
          <t>m3</t>
        </is>
      </c>
      <c r="I587" s="5" t="inlineStr">
        <is>
          <t>cumulative</t>
        </is>
      </c>
      <c r="J587" s="5" t="inlineStr">
        <is>
          <t>EF</t>
        </is>
      </c>
      <c r="K587" s="5" t="inlineStr"/>
      <c r="L587" s="7">
        <f>IFERROR(IF(F587&lt;F586,"NEGATIVE",ROUND(F587-F586,2)),"")</f>
        <v/>
      </c>
    </row>
    <row r="588" ht="22" customHeight="1">
      <c r="B588" s="8" t="inlineStr">
        <is>
          <t>R00584</t>
        </is>
      </c>
      <c r="C588" s="8" t="inlineStr">
        <is>
          <t>MTR-CTW-004</t>
        </is>
      </c>
      <c r="D588" s="8" t="inlineStr">
        <is>
          <t>Cooling Tower</t>
        </is>
      </c>
      <c r="E588" s="8" t="inlineStr">
        <is>
          <t>Cooling Tower Cell 2</t>
        </is>
      </c>
      <c r="F588" s="8" t="inlineStr">
        <is>
          <t>2024-08-06 08:00</t>
        </is>
      </c>
      <c r="G588" s="12" t="n">
        <v>80912.60000000001</v>
      </c>
      <c r="H588" s="8" t="inlineStr">
        <is>
          <t>m3</t>
        </is>
      </c>
      <c r="I588" s="8" t="inlineStr">
        <is>
          <t>cumulative</t>
        </is>
      </c>
      <c r="J588" s="8" t="inlineStr">
        <is>
          <t>IJ</t>
        </is>
      </c>
      <c r="K588" s="8" t="inlineStr"/>
      <c r="L588" s="10">
        <f>IFERROR(IF(F588&lt;F587,"NEGATIVE",ROUND(F588-F587,2)),"")</f>
        <v/>
      </c>
    </row>
    <row r="589" ht="22" customHeight="1">
      <c r="B589" s="5" t="inlineStr">
        <is>
          <t>R00585</t>
        </is>
      </c>
      <c r="C589" s="5" t="inlineStr">
        <is>
          <t>MTR-CTW-004</t>
        </is>
      </c>
      <c r="D589" s="5" t="inlineStr">
        <is>
          <t>Cooling Tower</t>
        </is>
      </c>
      <c r="E589" s="5" t="inlineStr">
        <is>
          <t>Cooling Tower Cell 2</t>
        </is>
      </c>
      <c r="F589" s="5" t="inlineStr">
        <is>
          <t>2024-08-07 08:00</t>
        </is>
      </c>
      <c r="G589" s="11" t="n">
        <v>80951.47</v>
      </c>
      <c r="H589" s="5" t="inlineStr">
        <is>
          <t>m3</t>
        </is>
      </c>
      <c r="I589" s="5" t="inlineStr">
        <is>
          <t>cumulative</t>
        </is>
      </c>
      <c r="J589" s="5" t="inlineStr">
        <is>
          <t>AB</t>
        </is>
      </c>
      <c r="K589" s="5" t="inlineStr"/>
      <c r="L589" s="7">
        <f>IFERROR(IF(F589&lt;F588,"NEGATIVE",ROUND(F589-F588,2)),"")</f>
        <v/>
      </c>
    </row>
    <row r="590" ht="22" customHeight="1">
      <c r="B590" s="8" t="inlineStr">
        <is>
          <t>R00586</t>
        </is>
      </c>
      <c r="C590" s="8" t="inlineStr">
        <is>
          <t>MTR-CTW-004</t>
        </is>
      </c>
      <c r="D590" s="8" t="inlineStr">
        <is>
          <t>Cooling Tower</t>
        </is>
      </c>
      <c r="E590" s="8" t="inlineStr">
        <is>
          <t>Cooling Tower Cell 2</t>
        </is>
      </c>
      <c r="F590" s="8" t="inlineStr">
        <is>
          <t>2024-08-08 08:00</t>
        </is>
      </c>
      <c r="G590" s="12" t="n">
        <v>80993.61</v>
      </c>
      <c r="H590" s="8" t="inlineStr">
        <is>
          <t>m3</t>
        </is>
      </c>
      <c r="I590" s="8" t="inlineStr">
        <is>
          <t>cumulative</t>
        </is>
      </c>
      <c r="J590" s="8" t="inlineStr">
        <is>
          <t>EF</t>
        </is>
      </c>
      <c r="K590" s="8" t="inlineStr"/>
      <c r="L590" s="10">
        <f>IFERROR(IF(F590&lt;F589,"NEGATIVE",ROUND(F590-F589,2)),"")</f>
        <v/>
      </c>
    </row>
    <row r="591" ht="22" customHeight="1">
      <c r="B591" s="5" t="inlineStr">
        <is>
          <t>R00587</t>
        </is>
      </c>
      <c r="C591" s="5" t="inlineStr">
        <is>
          <t>MTR-CTW-004</t>
        </is>
      </c>
      <c r="D591" s="5" t="inlineStr">
        <is>
          <t>Cooling Tower</t>
        </is>
      </c>
      <c r="E591" s="5" t="inlineStr">
        <is>
          <t>Cooling Tower Cell 2</t>
        </is>
      </c>
      <c r="F591" s="5" t="inlineStr">
        <is>
          <t>2024-08-09 08:00</t>
        </is>
      </c>
      <c r="G591" s="11" t="n">
        <v>81038.57000000001</v>
      </c>
      <c r="H591" s="5" t="inlineStr">
        <is>
          <t>m3</t>
        </is>
      </c>
      <c r="I591" s="5" t="inlineStr">
        <is>
          <t>cumulative</t>
        </is>
      </c>
      <c r="J591" s="5" t="inlineStr">
        <is>
          <t>AB</t>
        </is>
      </c>
      <c r="K591" s="5" t="inlineStr"/>
      <c r="L591" s="7">
        <f>IFERROR(IF(F591&lt;F590,"NEGATIVE",ROUND(F591-F590,2)),"")</f>
        <v/>
      </c>
    </row>
    <row r="592" ht="22" customHeight="1">
      <c r="B592" s="8" t="inlineStr">
        <is>
          <t>R00588</t>
        </is>
      </c>
      <c r="C592" s="8" t="inlineStr">
        <is>
          <t>MTR-CTW-004</t>
        </is>
      </c>
      <c r="D592" s="8" t="inlineStr">
        <is>
          <t>Cooling Tower</t>
        </is>
      </c>
      <c r="E592" s="8" t="inlineStr">
        <is>
          <t>Cooling Tower Cell 2</t>
        </is>
      </c>
      <c r="F592" s="8" t="inlineStr">
        <is>
          <t>2024-08-10 08:00</t>
        </is>
      </c>
      <c r="G592" s="12" t="n">
        <v>5</v>
      </c>
      <c r="H592" s="8" t="inlineStr">
        <is>
          <t>m3</t>
        </is>
      </c>
      <c r="I592" s="8" t="inlineStr">
        <is>
          <t>cumulative</t>
        </is>
      </c>
      <c r="J592" s="8" t="inlineStr">
        <is>
          <t>EF</t>
        </is>
      </c>
      <c r="K592" s="8" t="inlineStr"/>
      <c r="L592" s="10">
        <f>IFERROR(IF(F592&lt;F591,"NEGATIVE",ROUND(F592-F591,2)),"")</f>
        <v/>
      </c>
    </row>
    <row r="593" ht="22" customHeight="1">
      <c r="B593" s="5" t="inlineStr">
        <is>
          <t>R00589</t>
        </is>
      </c>
      <c r="C593" s="5" t="inlineStr">
        <is>
          <t>MTR-CTW-004</t>
        </is>
      </c>
      <c r="D593" s="5" t="inlineStr">
        <is>
          <t>Cooling Tower</t>
        </is>
      </c>
      <c r="E593" s="5" t="inlineStr">
        <is>
          <t>Cooling Tower Cell 2</t>
        </is>
      </c>
      <c r="F593" s="5" t="inlineStr">
        <is>
          <t>2024-08-11 08:00</t>
        </is>
      </c>
      <c r="G593" s="11" t="n">
        <v>24.43</v>
      </c>
      <c r="H593" s="5" t="inlineStr">
        <is>
          <t>m3</t>
        </is>
      </c>
      <c r="I593" s="5" t="inlineStr">
        <is>
          <t>cumulative</t>
        </is>
      </c>
      <c r="J593" s="5" t="inlineStr">
        <is>
          <t>IJ</t>
        </is>
      </c>
      <c r="K593" s="5" t="inlineStr"/>
      <c r="L593" s="7">
        <f>IFERROR(IF(F593&lt;F592,"NEGATIVE",ROUND(F593-F592,2)),"")</f>
        <v/>
      </c>
    </row>
    <row r="594" ht="22" customHeight="1">
      <c r="B594" s="8" t="inlineStr">
        <is>
          <t>R00590</t>
        </is>
      </c>
      <c r="C594" s="8" t="inlineStr">
        <is>
          <t>MTR-CTW-004</t>
        </is>
      </c>
      <c r="D594" s="8" t="inlineStr">
        <is>
          <t>Cooling Tower</t>
        </is>
      </c>
      <c r="E594" s="8" t="inlineStr">
        <is>
          <t>Cooling Tower Cell 2</t>
        </is>
      </c>
      <c r="F594" s="8" t="inlineStr">
        <is>
          <t>2024-08-12 08:00</t>
        </is>
      </c>
      <c r="G594" s="12" t="n">
        <v>67.59999999999999</v>
      </c>
      <c r="H594" s="8" t="inlineStr">
        <is>
          <t>m3</t>
        </is>
      </c>
      <c r="I594" s="8" t="inlineStr">
        <is>
          <t>cumulative</t>
        </is>
      </c>
      <c r="J594" s="8" t="inlineStr">
        <is>
          <t>CD</t>
        </is>
      </c>
      <c r="K594" s="8" t="inlineStr"/>
      <c r="L594" s="10">
        <f>IFERROR(IF(F594&lt;F593,"NEGATIVE",ROUND(F594-F593,2)),"")</f>
        <v/>
      </c>
    </row>
    <row r="595" ht="22" customHeight="1">
      <c r="B595" s="5" t="inlineStr">
        <is>
          <t>R00591</t>
        </is>
      </c>
      <c r="C595" s="5" t="inlineStr">
        <is>
          <t>MTR-CTW-004</t>
        </is>
      </c>
      <c r="D595" s="5" t="inlineStr">
        <is>
          <t>Cooling Tower</t>
        </is>
      </c>
      <c r="E595" s="5" t="inlineStr">
        <is>
          <t>Cooling Tower Cell 2</t>
        </is>
      </c>
      <c r="F595" s="5" t="inlineStr">
        <is>
          <t>2024-08-13 08:00</t>
        </is>
      </c>
      <c r="G595" s="11" t="n">
        <v>109.66</v>
      </c>
      <c r="H595" s="5" t="inlineStr">
        <is>
          <t>m3</t>
        </is>
      </c>
      <c r="I595" s="5" t="inlineStr">
        <is>
          <t>cumulative</t>
        </is>
      </c>
      <c r="J595" s="5" t="inlineStr">
        <is>
          <t>AB</t>
        </is>
      </c>
      <c r="K595" s="5" t="inlineStr"/>
      <c r="L595" s="7">
        <f>IFERROR(IF(F595&lt;F594,"NEGATIVE",ROUND(F595-F594,2)),"")</f>
        <v/>
      </c>
    </row>
    <row r="596" ht="22" customHeight="1">
      <c r="B596" s="8" t="inlineStr">
        <is>
          <t>R00592</t>
        </is>
      </c>
      <c r="C596" s="8" t="inlineStr">
        <is>
          <t>MTR-CTW-004</t>
        </is>
      </c>
      <c r="D596" s="8" t="inlineStr">
        <is>
          <t>Cooling Tower</t>
        </is>
      </c>
      <c r="E596" s="8" t="inlineStr">
        <is>
          <t>Cooling Tower Cell 2</t>
        </is>
      </c>
      <c r="F596" s="8" t="inlineStr">
        <is>
          <t>2024-08-14 08:00</t>
        </is>
      </c>
      <c r="G596" s="12" t="n">
        <v>149.8</v>
      </c>
      <c r="H596" s="8" t="inlineStr">
        <is>
          <t>m3</t>
        </is>
      </c>
      <c r="I596" s="8" t="inlineStr">
        <is>
          <t>cumulative</t>
        </is>
      </c>
      <c r="J596" s="8" t="inlineStr">
        <is>
          <t>IJ</t>
        </is>
      </c>
      <c r="K596" s="8" t="inlineStr"/>
      <c r="L596" s="10">
        <f>IFERROR(IF(F596&lt;F595,"NEGATIVE",ROUND(F596-F595,2)),"")</f>
        <v/>
      </c>
    </row>
    <row r="597" ht="22" customHeight="1">
      <c r="B597" s="5" t="inlineStr">
        <is>
          <t>R00593</t>
        </is>
      </c>
      <c r="C597" s="5" t="inlineStr">
        <is>
          <t>MTR-CTW-004</t>
        </is>
      </c>
      <c r="D597" s="5" t="inlineStr">
        <is>
          <t>Cooling Tower</t>
        </is>
      </c>
      <c r="E597" s="5" t="inlineStr">
        <is>
          <t>Cooling Tower Cell 2</t>
        </is>
      </c>
      <c r="F597" s="5" t="inlineStr">
        <is>
          <t>2024-08-15 08:00</t>
        </is>
      </c>
      <c r="G597" s="11" t="n">
        <v>197.73</v>
      </c>
      <c r="H597" s="5" t="inlineStr">
        <is>
          <t>m3</t>
        </is>
      </c>
      <c r="I597" s="5" t="inlineStr">
        <is>
          <t>cumulative</t>
        </is>
      </c>
      <c r="J597" s="5" t="inlineStr">
        <is>
          <t>CD</t>
        </is>
      </c>
      <c r="K597" s="5" t="inlineStr"/>
      <c r="L597" s="7">
        <f>IFERROR(IF(F597&lt;F596,"NEGATIVE",ROUND(F597-F596,2)),"")</f>
        <v/>
      </c>
    </row>
    <row r="598" ht="22" customHeight="1">
      <c r="B598" s="8" t="inlineStr">
        <is>
          <t>R00594</t>
        </is>
      </c>
      <c r="C598" s="8" t="inlineStr">
        <is>
          <t>MTR-CTW-004</t>
        </is>
      </c>
      <c r="D598" s="8" t="inlineStr">
        <is>
          <t>Cooling Tower</t>
        </is>
      </c>
      <c r="E598" s="8" t="inlineStr">
        <is>
          <t>Cooling Tower Cell 2</t>
        </is>
      </c>
      <c r="F598" s="8" t="inlineStr">
        <is>
          <t>2024-08-16 08:00</t>
        </is>
      </c>
      <c r="G598" s="12" t="n">
        <v>238.42</v>
      </c>
      <c r="H598" s="8" t="inlineStr">
        <is>
          <t>m3</t>
        </is>
      </c>
      <c r="I598" s="8" t="inlineStr">
        <is>
          <t>cumulative</t>
        </is>
      </c>
      <c r="J598" s="8" t="inlineStr">
        <is>
          <t>GH</t>
        </is>
      </c>
      <c r="K598" s="8" t="inlineStr"/>
      <c r="L598" s="10">
        <f>IFERROR(IF(F598&lt;F597,"NEGATIVE",ROUND(F598-F597,2)),"")</f>
        <v/>
      </c>
    </row>
    <row r="599" ht="22" customHeight="1">
      <c r="B599" s="5" t="inlineStr">
        <is>
          <t>R00595</t>
        </is>
      </c>
      <c r="C599" s="5" t="inlineStr">
        <is>
          <t>MTR-CTW-004</t>
        </is>
      </c>
      <c r="D599" s="5" t="inlineStr">
        <is>
          <t>Cooling Tower</t>
        </is>
      </c>
      <c r="E599" s="5" t="inlineStr">
        <is>
          <t>Cooling Tower Cell 2</t>
        </is>
      </c>
      <c r="F599" s="5" t="inlineStr">
        <is>
          <t>2024-08-17 08:00</t>
        </is>
      </c>
      <c r="G599" s="11" t="n">
        <v>269.65</v>
      </c>
      <c r="H599" s="5" t="inlineStr">
        <is>
          <t>m3</t>
        </is>
      </c>
      <c r="I599" s="5" t="inlineStr">
        <is>
          <t>cumulative</t>
        </is>
      </c>
      <c r="J599" s="5" t="inlineStr">
        <is>
          <t>EF</t>
        </is>
      </c>
      <c r="K599" s="5" t="inlineStr"/>
      <c r="L599" s="7">
        <f>IFERROR(IF(F599&lt;F598,"NEGATIVE",ROUND(F599-F598,2)),"")</f>
        <v/>
      </c>
    </row>
    <row r="600" ht="22" customHeight="1">
      <c r="B600" s="8" t="inlineStr">
        <is>
          <t>R00596</t>
        </is>
      </c>
      <c r="C600" s="8" t="inlineStr">
        <is>
          <t>MTR-CTW-004</t>
        </is>
      </c>
      <c r="D600" s="8" t="inlineStr">
        <is>
          <t>Cooling Tower</t>
        </is>
      </c>
      <c r="E600" s="8" t="inlineStr">
        <is>
          <t>Cooling Tower Cell 2</t>
        </is>
      </c>
      <c r="F600" s="8" t="inlineStr">
        <is>
          <t>2024-08-18 08:00</t>
        </is>
      </c>
      <c r="G600" s="12" t="n">
        <v>293.22</v>
      </c>
      <c r="H600" s="8" t="inlineStr">
        <is>
          <t>m3</t>
        </is>
      </c>
      <c r="I600" s="8" t="inlineStr">
        <is>
          <t>cumulative</t>
        </is>
      </c>
      <c r="J600" s="8" t="inlineStr">
        <is>
          <t>GH</t>
        </is>
      </c>
      <c r="K600" s="8" t="inlineStr"/>
      <c r="L600" s="10">
        <f>IFERROR(IF(F600&lt;F599,"NEGATIVE",ROUND(F600-F599,2)),"")</f>
        <v/>
      </c>
    </row>
    <row r="601" ht="22" customHeight="1">
      <c r="B601" s="5" t="inlineStr">
        <is>
          <t>R00597</t>
        </is>
      </c>
      <c r="C601" s="5" t="inlineStr">
        <is>
          <t>MTR-CTW-004</t>
        </is>
      </c>
      <c r="D601" s="5" t="inlineStr">
        <is>
          <t>Cooling Tower</t>
        </is>
      </c>
      <c r="E601" s="5" t="inlineStr">
        <is>
          <t>Cooling Tower Cell 2</t>
        </is>
      </c>
      <c r="F601" s="5" t="inlineStr">
        <is>
          <t>2024-08-19 08:00</t>
        </is>
      </c>
      <c r="G601" s="11" t="n">
        <v>338.04</v>
      </c>
      <c r="H601" s="5" t="inlineStr">
        <is>
          <t>m3</t>
        </is>
      </c>
      <c r="I601" s="5" t="inlineStr">
        <is>
          <t>cumulative</t>
        </is>
      </c>
      <c r="J601" s="5" t="inlineStr">
        <is>
          <t>IJ</t>
        </is>
      </c>
      <c r="K601" s="5" t="inlineStr"/>
      <c r="L601" s="7">
        <f>IFERROR(IF(F601&lt;F600,"NEGATIVE",ROUND(F601-F600,2)),"")</f>
        <v/>
      </c>
    </row>
    <row r="602" ht="22" customHeight="1">
      <c r="B602" s="8" t="inlineStr">
        <is>
          <t>R00598</t>
        </is>
      </c>
      <c r="C602" s="8" t="inlineStr">
        <is>
          <t>MTR-CTW-004</t>
        </is>
      </c>
      <c r="D602" s="8" t="inlineStr">
        <is>
          <t>Cooling Tower</t>
        </is>
      </c>
      <c r="E602" s="8" t="inlineStr">
        <is>
          <t>Cooling Tower Cell 2</t>
        </is>
      </c>
      <c r="F602" s="8" t="inlineStr">
        <is>
          <t>2024-08-20 08:00</t>
        </is>
      </c>
      <c r="G602" s="12" t="n">
        <v>382.55</v>
      </c>
      <c r="H602" s="8" t="inlineStr">
        <is>
          <t>m3</t>
        </is>
      </c>
      <c r="I602" s="8" t="inlineStr">
        <is>
          <t>cumulative</t>
        </is>
      </c>
      <c r="J602" s="8" t="inlineStr">
        <is>
          <t>GH</t>
        </is>
      </c>
      <c r="K602" s="8" t="inlineStr"/>
      <c r="L602" s="10">
        <f>IFERROR(IF(F602&lt;F601,"NEGATIVE",ROUND(F602-F601,2)),"")</f>
        <v/>
      </c>
    </row>
    <row r="603" ht="22" customHeight="1">
      <c r="B603" s="5" t="inlineStr">
        <is>
          <t>R00599</t>
        </is>
      </c>
      <c r="C603" s="5" t="inlineStr">
        <is>
          <t>MTR-CTW-004</t>
        </is>
      </c>
      <c r="D603" s="5" t="inlineStr">
        <is>
          <t>Cooling Tower</t>
        </is>
      </c>
      <c r="E603" s="5" t="inlineStr">
        <is>
          <t>Cooling Tower Cell 2</t>
        </is>
      </c>
      <c r="F603" s="5" t="inlineStr">
        <is>
          <t>2024-08-21 08:00</t>
        </is>
      </c>
      <c r="G603" s="11" t="n">
        <v>425.83</v>
      </c>
      <c r="H603" s="5" t="inlineStr">
        <is>
          <t>m3</t>
        </is>
      </c>
      <c r="I603" s="5" t="inlineStr">
        <is>
          <t>cumulative</t>
        </is>
      </c>
      <c r="J603" s="5" t="inlineStr">
        <is>
          <t>IJ</t>
        </is>
      </c>
      <c r="K603" s="5" t="inlineStr"/>
      <c r="L603" s="7">
        <f>IFERROR(IF(F603&lt;F602,"NEGATIVE",ROUND(F603-F602,2)),"")</f>
        <v/>
      </c>
    </row>
    <row r="604" ht="22" customHeight="1">
      <c r="B604" s="8" t="inlineStr">
        <is>
          <t>R00600</t>
        </is>
      </c>
      <c r="C604" s="8" t="inlineStr">
        <is>
          <t>MTR-CTW-004</t>
        </is>
      </c>
      <c r="D604" s="8" t="inlineStr">
        <is>
          <t>Cooling Tower</t>
        </is>
      </c>
      <c r="E604" s="8" t="inlineStr">
        <is>
          <t>Cooling Tower Cell 2</t>
        </is>
      </c>
      <c r="F604" s="8" t="inlineStr">
        <is>
          <t>2024-08-22 08:00</t>
        </is>
      </c>
      <c r="G604" s="12" t="n">
        <v>467.03</v>
      </c>
      <c r="H604" s="8" t="inlineStr">
        <is>
          <t>m3</t>
        </is>
      </c>
      <c r="I604" s="8" t="inlineStr">
        <is>
          <t>cumulative</t>
        </is>
      </c>
      <c r="J604" s="8" t="inlineStr">
        <is>
          <t>AB</t>
        </is>
      </c>
      <c r="K604" s="8" t="inlineStr"/>
      <c r="L604" s="10">
        <f>IFERROR(IF(F604&lt;F603,"NEGATIVE",ROUND(F604-F603,2)),"")</f>
        <v/>
      </c>
    </row>
    <row r="605" ht="22" customHeight="1">
      <c r="B605" s="5" t="inlineStr">
        <is>
          <t>R00601</t>
        </is>
      </c>
      <c r="C605" s="5" t="inlineStr">
        <is>
          <t>MTR-CTW-004</t>
        </is>
      </c>
      <c r="D605" s="5" t="inlineStr">
        <is>
          <t>Cooling Tower</t>
        </is>
      </c>
      <c r="E605" s="5" t="inlineStr">
        <is>
          <t>Cooling Tower Cell 2</t>
        </is>
      </c>
      <c r="F605" s="5" t="inlineStr">
        <is>
          <t>2024-08-23 08:00</t>
        </is>
      </c>
      <c r="G605" s="11" t="n">
        <v>512.11</v>
      </c>
      <c r="H605" s="5" t="inlineStr">
        <is>
          <t>m3</t>
        </is>
      </c>
      <c r="I605" s="5" t="inlineStr">
        <is>
          <t>cumulative</t>
        </is>
      </c>
      <c r="J605" s="5" t="inlineStr">
        <is>
          <t>GH</t>
        </is>
      </c>
      <c r="K605" s="5" t="inlineStr"/>
      <c r="L605" s="7">
        <f>IFERROR(IF(F605&lt;F604,"NEGATIVE",ROUND(F605-F604,2)),"")</f>
        <v/>
      </c>
    </row>
    <row r="606" ht="22" customHeight="1">
      <c r="B606" s="8" t="inlineStr">
        <is>
          <t>R00602</t>
        </is>
      </c>
      <c r="C606" s="8" t="inlineStr">
        <is>
          <t>MTR-CTW-004</t>
        </is>
      </c>
      <c r="D606" s="8" t="inlineStr">
        <is>
          <t>Cooling Tower</t>
        </is>
      </c>
      <c r="E606" s="8" t="inlineStr">
        <is>
          <t>Cooling Tower Cell 2</t>
        </is>
      </c>
      <c r="F606" s="8" t="inlineStr">
        <is>
          <t>2024-08-24 08:00</t>
        </is>
      </c>
      <c r="G606" s="12" t="n">
        <v>543.6900000000001</v>
      </c>
      <c r="H606" s="8" t="inlineStr">
        <is>
          <t>m3</t>
        </is>
      </c>
      <c r="I606" s="8" t="inlineStr">
        <is>
          <t>cumulative</t>
        </is>
      </c>
      <c r="J606" s="8" t="inlineStr">
        <is>
          <t>CD</t>
        </is>
      </c>
      <c r="K606" s="8" t="inlineStr"/>
      <c r="L606" s="10">
        <f>IFERROR(IF(F606&lt;F605,"NEGATIVE",ROUND(F606-F605,2)),"")</f>
        <v/>
      </c>
    </row>
    <row r="607" ht="22" customHeight="1">
      <c r="B607" s="5" t="inlineStr">
        <is>
          <t>R00603</t>
        </is>
      </c>
      <c r="C607" s="5" t="inlineStr">
        <is>
          <t>MTR-CTW-004</t>
        </is>
      </c>
      <c r="D607" s="5" t="inlineStr">
        <is>
          <t>Cooling Tower</t>
        </is>
      </c>
      <c r="E607" s="5" t="inlineStr">
        <is>
          <t>Cooling Tower Cell 2</t>
        </is>
      </c>
      <c r="F607" s="5" t="inlineStr">
        <is>
          <t>2024-08-25 08:00</t>
        </is>
      </c>
      <c r="G607" s="11" t="n">
        <v>565.13</v>
      </c>
      <c r="H607" s="5" t="inlineStr">
        <is>
          <t>m3</t>
        </is>
      </c>
      <c r="I607" s="5" t="inlineStr">
        <is>
          <t>cumulative</t>
        </is>
      </c>
      <c r="J607" s="5" t="inlineStr">
        <is>
          <t>KL</t>
        </is>
      </c>
      <c r="K607" s="5" t="inlineStr"/>
      <c r="L607" s="7">
        <f>IFERROR(IF(F607&lt;F606,"NEGATIVE",ROUND(F607-F606,2)),"")</f>
        <v/>
      </c>
    </row>
    <row r="608" ht="22" customHeight="1">
      <c r="B608" s="8" t="inlineStr">
        <is>
          <t>R00604</t>
        </is>
      </c>
      <c r="C608" s="8" t="inlineStr">
        <is>
          <t>MTR-CTW-004</t>
        </is>
      </c>
      <c r="D608" s="8" t="inlineStr">
        <is>
          <t>Cooling Tower</t>
        </is>
      </c>
      <c r="E608" s="8" t="inlineStr">
        <is>
          <t>Cooling Tower Cell 2</t>
        </is>
      </c>
      <c r="F608" s="8" t="inlineStr">
        <is>
          <t>2024-08-26 08:00</t>
        </is>
      </c>
      <c r="G608" s="12" t="n">
        <v>608.37</v>
      </c>
      <c r="H608" s="8" t="inlineStr">
        <is>
          <t>m3</t>
        </is>
      </c>
      <c r="I608" s="8" t="inlineStr">
        <is>
          <t>cumulative</t>
        </is>
      </c>
      <c r="J608" s="8" t="inlineStr">
        <is>
          <t>IJ</t>
        </is>
      </c>
      <c r="K608" s="8" t="inlineStr"/>
      <c r="L608" s="10">
        <f>IFERROR(IF(F608&lt;F607,"NEGATIVE",ROUND(F608-F607,2)),"")</f>
        <v/>
      </c>
    </row>
    <row r="609" ht="22" customHeight="1">
      <c r="B609" s="5" t="inlineStr">
        <is>
          <t>R00605</t>
        </is>
      </c>
      <c r="C609" s="5" t="inlineStr">
        <is>
          <t>MTR-CTW-004</t>
        </is>
      </c>
      <c r="D609" s="5" t="inlineStr">
        <is>
          <t>Cooling Tower</t>
        </is>
      </c>
      <c r="E609" s="5" t="inlineStr">
        <is>
          <t>Cooling Tower Cell 2</t>
        </is>
      </c>
      <c r="F609" s="5" t="inlineStr">
        <is>
          <t>2024-08-27 08:00</t>
        </is>
      </c>
      <c r="G609" s="11" t="n">
        <v>652.04</v>
      </c>
      <c r="H609" s="5" t="inlineStr">
        <is>
          <t>m3</t>
        </is>
      </c>
      <c r="I609" s="5" t="inlineStr">
        <is>
          <t>cumulative</t>
        </is>
      </c>
      <c r="J609" s="5" t="inlineStr">
        <is>
          <t>IJ</t>
        </is>
      </c>
      <c r="K609" s="5" t="inlineStr"/>
      <c r="L609" s="7">
        <f>IFERROR(IF(F609&lt;F608,"NEGATIVE",ROUND(F609-F608,2)),"")</f>
        <v/>
      </c>
    </row>
    <row r="610" ht="22" customHeight="1">
      <c r="B610" s="8" t="inlineStr">
        <is>
          <t>R00606</t>
        </is>
      </c>
      <c r="C610" s="8" t="inlineStr">
        <is>
          <t>MTR-CTW-004</t>
        </is>
      </c>
      <c r="D610" s="8" t="inlineStr">
        <is>
          <t>Cooling Tower</t>
        </is>
      </c>
      <c r="E610" s="8" t="inlineStr">
        <is>
          <t>Cooling Tower Cell 2</t>
        </is>
      </c>
      <c r="F610" s="8" t="inlineStr">
        <is>
          <t>2024-08-28 08:00</t>
        </is>
      </c>
      <c r="G610" s="12" t="n">
        <v>689.04</v>
      </c>
      <c r="H610" s="8" t="inlineStr">
        <is>
          <t>m3</t>
        </is>
      </c>
      <c r="I610" s="8" t="inlineStr">
        <is>
          <t>cumulative</t>
        </is>
      </c>
      <c r="J610" s="8" t="inlineStr">
        <is>
          <t>CD</t>
        </is>
      </c>
      <c r="K610" s="8" t="inlineStr"/>
      <c r="L610" s="10">
        <f>IFERROR(IF(F610&lt;F609,"NEGATIVE",ROUND(F610-F609,2)),"")</f>
        <v/>
      </c>
    </row>
    <row r="611" ht="22" customHeight="1">
      <c r="B611" s="5" t="inlineStr">
        <is>
          <t>R00607</t>
        </is>
      </c>
      <c r="C611" s="5" t="inlineStr">
        <is>
          <t>MTR-CTW-004</t>
        </is>
      </c>
      <c r="D611" s="5" t="inlineStr">
        <is>
          <t>Cooling Tower</t>
        </is>
      </c>
      <c r="E611" s="5" t="inlineStr">
        <is>
          <t>Cooling Tower Cell 2</t>
        </is>
      </c>
      <c r="F611" s="5" t="inlineStr">
        <is>
          <t>2024-08-29 08:00</t>
        </is>
      </c>
      <c r="G611" s="11" t="n">
        <v>729.83</v>
      </c>
      <c r="H611" s="5" t="inlineStr">
        <is>
          <t>m3</t>
        </is>
      </c>
      <c r="I611" s="5" t="inlineStr">
        <is>
          <t>cumulative</t>
        </is>
      </c>
      <c r="J611" s="5" t="inlineStr">
        <is>
          <t>CD</t>
        </is>
      </c>
      <c r="K611" s="5" t="inlineStr"/>
      <c r="L611" s="7">
        <f>IFERROR(IF(F611&lt;F610,"NEGATIVE",ROUND(F611-F610,2)),"")</f>
        <v/>
      </c>
    </row>
    <row r="612" ht="22" customHeight="1">
      <c r="B612" s="8" t="inlineStr">
        <is>
          <t>R00608</t>
        </is>
      </c>
      <c r="C612" s="8" t="inlineStr">
        <is>
          <t>MTR-CTW-004</t>
        </is>
      </c>
      <c r="D612" s="8" t="inlineStr">
        <is>
          <t>Cooling Tower</t>
        </is>
      </c>
      <c r="E612" s="8" t="inlineStr">
        <is>
          <t>Cooling Tower Cell 2</t>
        </is>
      </c>
      <c r="F612" s="8" t="inlineStr">
        <is>
          <t>2024-08-30 08:00</t>
        </is>
      </c>
      <c r="G612" s="12" t="n">
        <v>769.74</v>
      </c>
      <c r="H612" s="8" t="inlineStr">
        <is>
          <t>m3</t>
        </is>
      </c>
      <c r="I612" s="8" t="inlineStr">
        <is>
          <t>cumulative</t>
        </is>
      </c>
      <c r="J612" s="8" t="inlineStr">
        <is>
          <t>GH</t>
        </is>
      </c>
      <c r="K612" s="8" t="inlineStr"/>
      <c r="L612" s="10">
        <f>IFERROR(IF(F612&lt;F611,"NEGATIVE",ROUND(F612-F611,2)),"")</f>
        <v/>
      </c>
    </row>
    <row r="613" ht="22" customHeight="1">
      <c r="B613" s="5" t="inlineStr">
        <is>
          <t>R00609</t>
        </is>
      </c>
      <c r="C613" s="5" t="inlineStr">
        <is>
          <t>MTR-CTW-004</t>
        </is>
      </c>
      <c r="D613" s="5" t="inlineStr">
        <is>
          <t>Cooling Tower</t>
        </is>
      </c>
      <c r="E613" s="5" t="inlineStr">
        <is>
          <t>Cooling Tower Cell 2</t>
        </is>
      </c>
      <c r="F613" s="5" t="inlineStr">
        <is>
          <t>2024-08-31 08:00</t>
        </is>
      </c>
      <c r="G613" s="11" t="n">
        <v>805.85</v>
      </c>
      <c r="H613" s="5" t="inlineStr">
        <is>
          <t>m3</t>
        </is>
      </c>
      <c r="I613" s="5" t="inlineStr">
        <is>
          <t>cumulative</t>
        </is>
      </c>
      <c r="J613" s="5" t="inlineStr">
        <is>
          <t>GH</t>
        </is>
      </c>
      <c r="K613" s="5" t="inlineStr"/>
      <c r="L613" s="7">
        <f>IFERROR(IF(F613&lt;F612,"NEGATIVE",ROUND(F613-F612,2)),"")</f>
        <v/>
      </c>
    </row>
    <row r="614" ht="22" customHeight="1">
      <c r="B614" s="8" t="inlineStr">
        <is>
          <t>R00610</t>
        </is>
      </c>
      <c r="C614" s="8" t="inlineStr">
        <is>
          <t>MTR-CTW-004</t>
        </is>
      </c>
      <c r="D614" s="8" t="inlineStr">
        <is>
          <t>Cooling Tower</t>
        </is>
      </c>
      <c r="E614" s="8" t="inlineStr">
        <is>
          <t>Cooling Tower Cell 2</t>
        </is>
      </c>
      <c r="F614" s="8" t="inlineStr">
        <is>
          <t>2024-09-01 08:00</t>
        </is>
      </c>
      <c r="G614" s="12" t="n">
        <v>825.26</v>
      </c>
      <c r="H614" s="8" t="inlineStr">
        <is>
          <t>m3</t>
        </is>
      </c>
      <c r="I614" s="8" t="inlineStr">
        <is>
          <t>cumulative</t>
        </is>
      </c>
      <c r="J614" s="8" t="inlineStr">
        <is>
          <t>GH</t>
        </is>
      </c>
      <c r="K614" s="8" t="inlineStr"/>
      <c r="L614" s="10">
        <f>IFERROR(IF(F614&lt;F613,"NEGATIVE",ROUND(F614-F613,2)),"")</f>
        <v/>
      </c>
    </row>
    <row r="615" ht="22" customHeight="1">
      <c r="B615" s="5" t="inlineStr">
        <is>
          <t>R00611</t>
        </is>
      </c>
      <c r="C615" s="5" t="inlineStr">
        <is>
          <t>MTR-CTW-004</t>
        </is>
      </c>
      <c r="D615" s="5" t="inlineStr">
        <is>
          <t>Cooling Tower</t>
        </is>
      </c>
      <c r="E615" s="5" t="inlineStr">
        <is>
          <t>Cooling Tower Cell 2</t>
        </is>
      </c>
      <c r="F615" s="5" t="inlineStr">
        <is>
          <t>2024-09-02 08:00</t>
        </is>
      </c>
      <c r="G615" s="11" t="n">
        <v>869.63</v>
      </c>
      <c r="H615" s="5" t="inlineStr">
        <is>
          <t>m3</t>
        </is>
      </c>
      <c r="I615" s="5" t="inlineStr">
        <is>
          <t>cumulative</t>
        </is>
      </c>
      <c r="J615" s="5" t="inlineStr">
        <is>
          <t>GH</t>
        </is>
      </c>
      <c r="K615" s="5" t="inlineStr"/>
      <c r="L615" s="7">
        <f>IFERROR(IF(F615&lt;F614,"NEGATIVE",ROUND(F615-F614,2)),"")</f>
        <v/>
      </c>
    </row>
    <row r="616" ht="22" customHeight="1">
      <c r="B616" s="8" t="inlineStr">
        <is>
          <t>R00612</t>
        </is>
      </c>
      <c r="C616" s="8" t="inlineStr">
        <is>
          <t>MTR-CTW-004</t>
        </is>
      </c>
      <c r="D616" s="8" t="inlineStr">
        <is>
          <t>Cooling Tower</t>
        </is>
      </c>
      <c r="E616" s="8" t="inlineStr">
        <is>
          <t>Cooling Tower Cell 2</t>
        </is>
      </c>
      <c r="F616" s="8" t="inlineStr">
        <is>
          <t>2024-09-03 08:00</t>
        </is>
      </c>
      <c r="G616" s="12" t="n">
        <v>915.26</v>
      </c>
      <c r="H616" s="8" t="inlineStr">
        <is>
          <t>m3</t>
        </is>
      </c>
      <c r="I616" s="8" t="inlineStr">
        <is>
          <t>cumulative</t>
        </is>
      </c>
      <c r="J616" s="8" t="inlineStr">
        <is>
          <t>AB</t>
        </is>
      </c>
      <c r="K616" s="8" t="inlineStr"/>
      <c r="L616" s="10">
        <f>IFERROR(IF(F616&lt;F615,"NEGATIVE",ROUND(F616-F615,2)),"")</f>
        <v/>
      </c>
    </row>
    <row r="617" ht="22" customHeight="1">
      <c r="B617" s="5" t="inlineStr">
        <is>
          <t>R00613</t>
        </is>
      </c>
      <c r="C617" s="5" t="inlineStr">
        <is>
          <t>MTR-CTW-004</t>
        </is>
      </c>
      <c r="D617" s="5" t="inlineStr">
        <is>
          <t>Cooling Tower</t>
        </is>
      </c>
      <c r="E617" s="5" t="inlineStr">
        <is>
          <t>Cooling Tower Cell 2</t>
        </is>
      </c>
      <c r="F617" s="5" t="inlineStr">
        <is>
          <t>2024-09-04 08:00</t>
        </is>
      </c>
      <c r="G617" s="11" t="n">
        <v>958.0599999999999</v>
      </c>
      <c r="H617" s="5" t="inlineStr">
        <is>
          <t>m3</t>
        </is>
      </c>
      <c r="I617" s="5" t="inlineStr">
        <is>
          <t>cumulative</t>
        </is>
      </c>
      <c r="J617" s="5" t="inlineStr">
        <is>
          <t>CD</t>
        </is>
      </c>
      <c r="K617" s="5" t="inlineStr"/>
      <c r="L617" s="7">
        <f>IFERROR(IF(F617&lt;F616,"NEGATIVE",ROUND(F617-F616,2)),"")</f>
        <v/>
      </c>
    </row>
    <row r="618" ht="22" customHeight="1">
      <c r="B618" s="8" t="inlineStr">
        <is>
          <t>R00614</t>
        </is>
      </c>
      <c r="C618" s="8" t="inlineStr">
        <is>
          <t>MTR-CTW-004</t>
        </is>
      </c>
      <c r="D618" s="8" t="inlineStr">
        <is>
          <t>Cooling Tower</t>
        </is>
      </c>
      <c r="E618" s="8" t="inlineStr">
        <is>
          <t>Cooling Tower Cell 2</t>
        </is>
      </c>
      <c r="F618" s="8" t="inlineStr">
        <is>
          <t>2024-09-05 08:00</t>
        </is>
      </c>
      <c r="G618" s="12" t="n">
        <v>996.66</v>
      </c>
      <c r="H618" s="8" t="inlineStr">
        <is>
          <t>m3</t>
        </is>
      </c>
      <c r="I618" s="8" t="inlineStr">
        <is>
          <t>cumulative</t>
        </is>
      </c>
      <c r="J618" s="8" t="inlineStr">
        <is>
          <t>IJ</t>
        </is>
      </c>
      <c r="K618" s="8" t="inlineStr"/>
      <c r="L618" s="10">
        <f>IFERROR(IF(F618&lt;F617,"NEGATIVE",ROUND(F618-F617,2)),"")</f>
        <v/>
      </c>
    </row>
    <row r="619" ht="22" customHeight="1">
      <c r="B619" s="5" t="inlineStr">
        <is>
          <t>R00615</t>
        </is>
      </c>
      <c r="C619" s="5" t="inlineStr">
        <is>
          <t>MTR-CTW-004</t>
        </is>
      </c>
      <c r="D619" s="5" t="inlineStr">
        <is>
          <t>Cooling Tower</t>
        </is>
      </c>
      <c r="E619" s="5" t="inlineStr">
        <is>
          <t>Cooling Tower Cell 2</t>
        </is>
      </c>
      <c r="F619" s="5" t="inlineStr">
        <is>
          <t>2024-09-06 08:00</t>
        </is>
      </c>
      <c r="G619" s="11" t="n">
        <v>1042.35</v>
      </c>
      <c r="H619" s="5" t="inlineStr">
        <is>
          <t>m3</t>
        </is>
      </c>
      <c r="I619" s="5" t="inlineStr">
        <is>
          <t>cumulative</t>
        </is>
      </c>
      <c r="J619" s="5" t="inlineStr">
        <is>
          <t>CD</t>
        </is>
      </c>
      <c r="K619" s="5" t="inlineStr"/>
      <c r="L619" s="7">
        <f>IFERROR(IF(F619&lt;F618,"NEGATIVE",ROUND(F619-F618,2)),"")</f>
        <v/>
      </c>
    </row>
    <row r="620" ht="22" customHeight="1">
      <c r="B620" s="8" t="inlineStr">
        <is>
          <t>R00616</t>
        </is>
      </c>
      <c r="C620" s="8" t="inlineStr">
        <is>
          <t>MTR-CTW-004</t>
        </is>
      </c>
      <c r="D620" s="8" t="inlineStr">
        <is>
          <t>Cooling Tower</t>
        </is>
      </c>
      <c r="E620" s="8" t="inlineStr">
        <is>
          <t>Cooling Tower Cell 2</t>
        </is>
      </c>
      <c r="F620" s="8" t="inlineStr">
        <is>
          <t>2024-09-07 08:00</t>
        </is>
      </c>
      <c r="G620" s="12" t="n">
        <v>1076.44</v>
      </c>
      <c r="H620" s="8" t="inlineStr">
        <is>
          <t>m3</t>
        </is>
      </c>
      <c r="I620" s="8" t="inlineStr">
        <is>
          <t>cumulative</t>
        </is>
      </c>
      <c r="J620" s="8" t="inlineStr">
        <is>
          <t>EF</t>
        </is>
      </c>
      <c r="K620" s="8" t="inlineStr"/>
      <c r="L620" s="10">
        <f>IFERROR(IF(F620&lt;F619,"NEGATIVE",ROUND(F620-F619,2)),"")</f>
        <v/>
      </c>
    </row>
    <row r="621" ht="22" customHeight="1">
      <c r="B621" s="5" t="inlineStr">
        <is>
          <t>R00617</t>
        </is>
      </c>
      <c r="C621" s="5" t="inlineStr">
        <is>
          <t>MTR-CTW-004</t>
        </is>
      </c>
      <c r="D621" s="5" t="inlineStr">
        <is>
          <t>Cooling Tower</t>
        </is>
      </c>
      <c r="E621" s="5" t="inlineStr">
        <is>
          <t>Cooling Tower Cell 2</t>
        </is>
      </c>
      <c r="F621" s="5" t="inlineStr">
        <is>
          <t>2024-09-08 08:00</t>
        </is>
      </c>
      <c r="G621" s="11" t="n">
        <v>1097.71</v>
      </c>
      <c r="H621" s="5" t="inlineStr">
        <is>
          <t>m3</t>
        </is>
      </c>
      <c r="I621" s="5" t="inlineStr">
        <is>
          <t>cumulative</t>
        </is>
      </c>
      <c r="J621" s="5" t="inlineStr">
        <is>
          <t>GH</t>
        </is>
      </c>
      <c r="K621" s="5" t="inlineStr"/>
      <c r="L621" s="7">
        <f>IFERROR(IF(F621&lt;F620,"NEGATIVE",ROUND(F621-F620,2)),"")</f>
        <v/>
      </c>
    </row>
    <row r="622" ht="22" customHeight="1">
      <c r="B622" s="8" t="inlineStr">
        <is>
          <t>R00618</t>
        </is>
      </c>
      <c r="C622" s="8" t="inlineStr">
        <is>
          <t>MTR-CTW-004</t>
        </is>
      </c>
      <c r="D622" s="8" t="inlineStr">
        <is>
          <t>Cooling Tower</t>
        </is>
      </c>
      <c r="E622" s="8" t="inlineStr">
        <is>
          <t>Cooling Tower Cell 2</t>
        </is>
      </c>
      <c r="F622" s="8" t="inlineStr">
        <is>
          <t>2024-09-09 08:00</t>
        </is>
      </c>
      <c r="G622" s="12" t="n">
        <v>1142.52</v>
      </c>
      <c r="H622" s="8" t="inlineStr">
        <is>
          <t>m3</t>
        </is>
      </c>
      <c r="I622" s="8" t="inlineStr">
        <is>
          <t>cumulative</t>
        </is>
      </c>
      <c r="J622" s="8" t="inlineStr">
        <is>
          <t>GH</t>
        </is>
      </c>
      <c r="K622" s="8" t="inlineStr"/>
      <c r="L622" s="10">
        <f>IFERROR(IF(F622&lt;F621,"NEGATIVE",ROUND(F622-F621,2)),"")</f>
        <v/>
      </c>
    </row>
    <row r="623" ht="22" customHeight="1">
      <c r="B623" s="5" t="inlineStr">
        <is>
          <t>R00619</t>
        </is>
      </c>
      <c r="C623" s="5" t="inlineStr">
        <is>
          <t>MTR-CTW-004</t>
        </is>
      </c>
      <c r="D623" s="5" t="inlineStr">
        <is>
          <t>Cooling Tower</t>
        </is>
      </c>
      <c r="E623" s="5" t="inlineStr">
        <is>
          <t>Cooling Tower Cell 2</t>
        </is>
      </c>
      <c r="F623" s="5" t="inlineStr">
        <is>
          <t>2024-09-10 08:00</t>
        </is>
      </c>
      <c r="G623" s="11" t="n">
        <v>1187.24</v>
      </c>
      <c r="H623" s="5" t="inlineStr">
        <is>
          <t>m3</t>
        </is>
      </c>
      <c r="I623" s="5" t="inlineStr">
        <is>
          <t>cumulative</t>
        </is>
      </c>
      <c r="J623" s="5" t="inlineStr">
        <is>
          <t>KL</t>
        </is>
      </c>
      <c r="K623" s="5" t="inlineStr"/>
      <c r="L623" s="7">
        <f>IFERROR(IF(F623&lt;F622,"NEGATIVE",ROUND(F623-F622,2)),"")</f>
        <v/>
      </c>
    </row>
    <row r="624" ht="22" customHeight="1">
      <c r="B624" s="8" t="inlineStr">
        <is>
          <t>R00620</t>
        </is>
      </c>
      <c r="C624" s="8" t="inlineStr">
        <is>
          <t>MTR-CTW-004</t>
        </is>
      </c>
      <c r="D624" s="8" t="inlineStr">
        <is>
          <t>Cooling Tower</t>
        </is>
      </c>
      <c r="E624" s="8" t="inlineStr">
        <is>
          <t>Cooling Tower Cell 2</t>
        </is>
      </c>
      <c r="F624" s="8" t="inlineStr">
        <is>
          <t>2024-09-11 08:00</t>
        </is>
      </c>
      <c r="G624" s="12" t="n">
        <v>1224.72</v>
      </c>
      <c r="H624" s="8" t="inlineStr">
        <is>
          <t>m3</t>
        </is>
      </c>
      <c r="I624" s="8" t="inlineStr">
        <is>
          <t>cumulative</t>
        </is>
      </c>
      <c r="J624" s="8" t="inlineStr">
        <is>
          <t>KL</t>
        </is>
      </c>
      <c r="K624" s="8" t="inlineStr"/>
      <c r="L624" s="10">
        <f>IFERROR(IF(F624&lt;F623,"NEGATIVE",ROUND(F624-F623,2)),"")</f>
        <v/>
      </c>
    </row>
    <row r="625" ht="22" customHeight="1">
      <c r="B625" s="5" t="inlineStr">
        <is>
          <t>R00621</t>
        </is>
      </c>
      <c r="C625" s="5" t="inlineStr">
        <is>
          <t>MTR-CTW-004</t>
        </is>
      </c>
      <c r="D625" s="5" t="inlineStr">
        <is>
          <t>Cooling Tower</t>
        </is>
      </c>
      <c r="E625" s="5" t="inlineStr">
        <is>
          <t>Cooling Tower Cell 2</t>
        </is>
      </c>
      <c r="F625" s="5" t="inlineStr">
        <is>
          <t>2024-09-12 08:00</t>
        </is>
      </c>
      <c r="G625" s="11" t="n">
        <v>1261.75</v>
      </c>
      <c r="H625" s="5" t="inlineStr">
        <is>
          <t>m3</t>
        </is>
      </c>
      <c r="I625" s="5" t="inlineStr">
        <is>
          <t>cumulative</t>
        </is>
      </c>
      <c r="J625" s="5" t="inlineStr">
        <is>
          <t>GH</t>
        </is>
      </c>
      <c r="K625" s="5" t="inlineStr"/>
      <c r="L625" s="7">
        <f>IFERROR(IF(F625&lt;F624,"NEGATIVE",ROUND(F625-F624,2)),"")</f>
        <v/>
      </c>
    </row>
    <row r="626" ht="22" customHeight="1">
      <c r="B626" s="8" t="inlineStr">
        <is>
          <t>R00622</t>
        </is>
      </c>
      <c r="C626" s="8" t="inlineStr">
        <is>
          <t>MTR-CTW-004</t>
        </is>
      </c>
      <c r="D626" s="8" t="inlineStr">
        <is>
          <t>Cooling Tower</t>
        </is>
      </c>
      <c r="E626" s="8" t="inlineStr">
        <is>
          <t>Cooling Tower Cell 2</t>
        </is>
      </c>
      <c r="F626" s="8" t="inlineStr">
        <is>
          <t>2024-09-13 08:00</t>
        </is>
      </c>
      <c r="G626" s="12" t="n">
        <v>1298.37</v>
      </c>
      <c r="H626" s="8" t="inlineStr">
        <is>
          <t>m3</t>
        </is>
      </c>
      <c r="I626" s="8" t="inlineStr">
        <is>
          <t>cumulative</t>
        </is>
      </c>
      <c r="J626" s="8" t="inlineStr">
        <is>
          <t>CD</t>
        </is>
      </c>
      <c r="K626" s="8" t="inlineStr"/>
      <c r="L626" s="10">
        <f>IFERROR(IF(F626&lt;F625,"NEGATIVE",ROUND(F626-F625,2)),"")</f>
        <v/>
      </c>
    </row>
    <row r="627" ht="22" customHeight="1">
      <c r="B627" s="5" t="inlineStr">
        <is>
          <t>R00623</t>
        </is>
      </c>
      <c r="C627" s="5" t="inlineStr">
        <is>
          <t>MTR-CTW-004</t>
        </is>
      </c>
      <c r="D627" s="5" t="inlineStr">
        <is>
          <t>Cooling Tower</t>
        </is>
      </c>
      <c r="E627" s="5" t="inlineStr">
        <is>
          <t>Cooling Tower Cell 2</t>
        </is>
      </c>
      <c r="F627" s="5" t="inlineStr">
        <is>
          <t>2024-09-14 08:00</t>
        </is>
      </c>
      <c r="G627" s="11" t="n">
        <v>1327.4</v>
      </c>
      <c r="H627" s="5" t="inlineStr">
        <is>
          <t>m3</t>
        </is>
      </c>
      <c r="I627" s="5" t="inlineStr">
        <is>
          <t>cumulative</t>
        </is>
      </c>
      <c r="J627" s="5" t="inlineStr">
        <is>
          <t>GH</t>
        </is>
      </c>
      <c r="K627" s="5" t="inlineStr"/>
      <c r="L627" s="7">
        <f>IFERROR(IF(F627&lt;F626,"NEGATIVE",ROUND(F627-F626,2)),"")</f>
        <v/>
      </c>
    </row>
    <row r="628" ht="22" customHeight="1">
      <c r="B628" s="8" t="inlineStr">
        <is>
          <t>R00624</t>
        </is>
      </c>
      <c r="C628" s="8" t="inlineStr">
        <is>
          <t>MTR-CTW-004</t>
        </is>
      </c>
      <c r="D628" s="8" t="inlineStr">
        <is>
          <t>Cooling Tower</t>
        </is>
      </c>
      <c r="E628" s="8" t="inlineStr">
        <is>
          <t>Cooling Tower Cell 2</t>
        </is>
      </c>
      <c r="F628" s="8" t="inlineStr">
        <is>
          <t>2024-09-15 08:00</t>
        </is>
      </c>
      <c r="G628" s="12" t="n">
        <v>1346.65</v>
      </c>
      <c r="H628" s="8" t="inlineStr">
        <is>
          <t>m3</t>
        </is>
      </c>
      <c r="I628" s="8" t="inlineStr">
        <is>
          <t>cumulative</t>
        </is>
      </c>
      <c r="J628" s="8" t="inlineStr">
        <is>
          <t>IJ</t>
        </is>
      </c>
      <c r="K628" s="8" t="inlineStr"/>
      <c r="L628" s="10">
        <f>IFERROR(IF(F628&lt;F627,"NEGATIVE",ROUND(F628-F627,2)),"")</f>
        <v/>
      </c>
    </row>
    <row r="629" ht="22" customHeight="1">
      <c r="B629" s="5" t="inlineStr">
        <is>
          <t>R00625</t>
        </is>
      </c>
      <c r="C629" s="5" t="inlineStr">
        <is>
          <t>MTR-CTW-004</t>
        </is>
      </c>
      <c r="D629" s="5" t="inlineStr">
        <is>
          <t>Cooling Tower</t>
        </is>
      </c>
      <c r="E629" s="5" t="inlineStr">
        <is>
          <t>Cooling Tower Cell 2</t>
        </is>
      </c>
      <c r="F629" s="5" t="inlineStr">
        <is>
          <t>2024-09-16 08:00</t>
        </is>
      </c>
      <c r="G629" s="11" t="n">
        <v>1390.11</v>
      </c>
      <c r="H629" s="5" t="inlineStr">
        <is>
          <t>m3</t>
        </is>
      </c>
      <c r="I629" s="5" t="inlineStr">
        <is>
          <t>cumulative</t>
        </is>
      </c>
      <c r="J629" s="5" t="inlineStr">
        <is>
          <t>CD</t>
        </is>
      </c>
      <c r="K629" s="5" t="inlineStr"/>
      <c r="L629" s="7">
        <f>IFERROR(IF(F629&lt;F628,"NEGATIVE",ROUND(F629-F628,2)),"")</f>
        <v/>
      </c>
    </row>
    <row r="630" ht="22" customHeight="1">
      <c r="B630" s="8" t="inlineStr">
        <is>
          <t>R00626</t>
        </is>
      </c>
      <c r="C630" s="8" t="inlineStr">
        <is>
          <t>MTR-CTW-004</t>
        </is>
      </c>
      <c r="D630" s="8" t="inlineStr">
        <is>
          <t>Cooling Tower</t>
        </is>
      </c>
      <c r="E630" s="8" t="inlineStr">
        <is>
          <t>Cooling Tower Cell 2</t>
        </is>
      </c>
      <c r="F630" s="8" t="inlineStr">
        <is>
          <t>2024-09-17 08:00</t>
        </is>
      </c>
      <c r="G630" s="12" t="n">
        <v>1428.16</v>
      </c>
      <c r="H630" s="8" t="inlineStr">
        <is>
          <t>m3</t>
        </is>
      </c>
      <c r="I630" s="8" t="inlineStr">
        <is>
          <t>cumulative</t>
        </is>
      </c>
      <c r="J630" s="8" t="inlineStr">
        <is>
          <t>KL</t>
        </is>
      </c>
      <c r="K630" s="8" t="inlineStr"/>
      <c r="L630" s="10">
        <f>IFERROR(IF(F630&lt;F629,"NEGATIVE",ROUND(F630-F629,2)),"")</f>
        <v/>
      </c>
    </row>
    <row r="631" ht="22" customHeight="1">
      <c r="B631" s="5" t="inlineStr">
        <is>
          <t>R00627</t>
        </is>
      </c>
      <c r="C631" s="5" t="inlineStr">
        <is>
          <t>MTR-CTW-004</t>
        </is>
      </c>
      <c r="D631" s="5" t="inlineStr">
        <is>
          <t>Cooling Tower</t>
        </is>
      </c>
      <c r="E631" s="5" t="inlineStr">
        <is>
          <t>Cooling Tower Cell 2</t>
        </is>
      </c>
      <c r="F631" s="5" t="inlineStr">
        <is>
          <t>2024-09-18 08:00</t>
        </is>
      </c>
      <c r="G631" s="11" t="n">
        <v>1469.54</v>
      </c>
      <c r="H631" s="5" t="inlineStr">
        <is>
          <t>m3</t>
        </is>
      </c>
      <c r="I631" s="5" t="inlineStr">
        <is>
          <t>cumulative</t>
        </is>
      </c>
      <c r="J631" s="5" t="inlineStr">
        <is>
          <t>IJ</t>
        </is>
      </c>
      <c r="K631" s="5" t="inlineStr"/>
      <c r="L631" s="7">
        <f>IFERROR(IF(F631&lt;F630,"NEGATIVE",ROUND(F631-F630,2)),"")</f>
        <v/>
      </c>
    </row>
    <row r="632" ht="22" customHeight="1">
      <c r="B632" s="8" t="inlineStr">
        <is>
          <t>R00628</t>
        </is>
      </c>
      <c r="C632" s="8" t="inlineStr">
        <is>
          <t>MTR-CTW-004</t>
        </is>
      </c>
      <c r="D632" s="8" t="inlineStr">
        <is>
          <t>Cooling Tower</t>
        </is>
      </c>
      <c r="E632" s="8" t="inlineStr">
        <is>
          <t>Cooling Tower Cell 2</t>
        </is>
      </c>
      <c r="F632" s="8" t="inlineStr">
        <is>
          <t>2024-09-19 08:00</t>
        </is>
      </c>
      <c r="G632" s="12" t="n">
        <v>1511.86</v>
      </c>
      <c r="H632" s="8" t="inlineStr">
        <is>
          <t>m3</t>
        </is>
      </c>
      <c r="I632" s="8" t="inlineStr">
        <is>
          <t>cumulative</t>
        </is>
      </c>
      <c r="J632" s="8" t="inlineStr">
        <is>
          <t>IJ</t>
        </is>
      </c>
      <c r="K632" s="8" t="inlineStr"/>
      <c r="L632" s="10">
        <f>IFERROR(IF(F632&lt;F631,"NEGATIVE",ROUND(F632-F631,2)),"")</f>
        <v/>
      </c>
    </row>
    <row r="633" ht="22" customHeight="1">
      <c r="B633" s="5" t="inlineStr">
        <is>
          <t>R00629</t>
        </is>
      </c>
      <c r="C633" s="5" t="inlineStr">
        <is>
          <t>MTR-CTW-004</t>
        </is>
      </c>
      <c r="D633" s="5" t="inlineStr">
        <is>
          <t>Cooling Tower</t>
        </is>
      </c>
      <c r="E633" s="5" t="inlineStr">
        <is>
          <t>Cooling Tower Cell 2</t>
        </is>
      </c>
      <c r="F633" s="5" t="inlineStr">
        <is>
          <t>2024-09-20 08:00</t>
        </is>
      </c>
      <c r="G633" s="11" t="n">
        <v>1558.63</v>
      </c>
      <c r="H633" s="5" t="inlineStr">
        <is>
          <t>m3</t>
        </is>
      </c>
      <c r="I633" s="5" t="inlineStr">
        <is>
          <t>cumulative</t>
        </is>
      </c>
      <c r="J633" s="5" t="inlineStr">
        <is>
          <t>AB</t>
        </is>
      </c>
      <c r="K633" s="5" t="inlineStr"/>
      <c r="L633" s="7">
        <f>IFERROR(IF(F633&lt;F632,"NEGATIVE",ROUND(F633-F632,2)),"")</f>
        <v/>
      </c>
    </row>
    <row r="634" ht="22" customHeight="1">
      <c r="B634" s="8" t="inlineStr">
        <is>
          <t>R00630</t>
        </is>
      </c>
      <c r="C634" s="8" t="inlineStr">
        <is>
          <t>MTR-CTW-004</t>
        </is>
      </c>
      <c r="D634" s="8" t="inlineStr">
        <is>
          <t>Cooling Tower</t>
        </is>
      </c>
      <c r="E634" s="8" t="inlineStr">
        <is>
          <t>Cooling Tower Cell 2</t>
        </is>
      </c>
      <c r="F634" s="8" t="inlineStr">
        <is>
          <t>2024-09-21 08:00</t>
        </is>
      </c>
      <c r="G634" s="12" t="n">
        <v>1594.08</v>
      </c>
      <c r="H634" s="8" t="inlineStr">
        <is>
          <t>m3</t>
        </is>
      </c>
      <c r="I634" s="8" t="inlineStr">
        <is>
          <t>cumulative</t>
        </is>
      </c>
      <c r="J634" s="8" t="inlineStr">
        <is>
          <t>GH</t>
        </is>
      </c>
      <c r="K634" s="8" t="inlineStr"/>
      <c r="L634" s="10">
        <f>IFERROR(IF(F634&lt;F633,"NEGATIVE",ROUND(F634-F633,2)),"")</f>
        <v/>
      </c>
    </row>
    <row r="635" ht="22" customHeight="1">
      <c r="B635" s="5" t="inlineStr">
        <is>
          <t>R00631</t>
        </is>
      </c>
      <c r="C635" s="5" t="inlineStr">
        <is>
          <t>MTR-CTW-004</t>
        </is>
      </c>
      <c r="D635" s="5" t="inlineStr">
        <is>
          <t>Cooling Tower</t>
        </is>
      </c>
      <c r="E635" s="5" t="inlineStr">
        <is>
          <t>Cooling Tower Cell 2</t>
        </is>
      </c>
      <c r="F635" s="5" t="inlineStr">
        <is>
          <t>2024-09-22 08:00</t>
        </is>
      </c>
      <c r="G635" s="11" t="n">
        <v>1618.71</v>
      </c>
      <c r="H635" s="5" t="inlineStr">
        <is>
          <t>m3</t>
        </is>
      </c>
      <c r="I635" s="5" t="inlineStr">
        <is>
          <t>cumulative</t>
        </is>
      </c>
      <c r="J635" s="5" t="inlineStr">
        <is>
          <t>CD</t>
        </is>
      </c>
      <c r="K635" s="5" t="inlineStr"/>
      <c r="L635" s="7">
        <f>IFERROR(IF(F635&lt;F634,"NEGATIVE",ROUND(F635-F634,2)),"")</f>
        <v/>
      </c>
    </row>
    <row r="636" ht="22" customHeight="1">
      <c r="B636" s="8" t="inlineStr">
        <is>
          <t>R00632</t>
        </is>
      </c>
      <c r="C636" s="8" t="inlineStr">
        <is>
          <t>MTR-CTW-004</t>
        </is>
      </c>
      <c r="D636" s="8" t="inlineStr">
        <is>
          <t>Cooling Tower</t>
        </is>
      </c>
      <c r="E636" s="8" t="inlineStr">
        <is>
          <t>Cooling Tower Cell 2</t>
        </is>
      </c>
      <c r="F636" s="8" t="inlineStr">
        <is>
          <t>2024-09-23 08:00</t>
        </is>
      </c>
      <c r="G636" s="12" t="n">
        <v>1654.41</v>
      </c>
      <c r="H636" s="8" t="inlineStr">
        <is>
          <t>m3</t>
        </is>
      </c>
      <c r="I636" s="8" t="inlineStr">
        <is>
          <t>cumulative</t>
        </is>
      </c>
      <c r="J636" s="8" t="inlineStr">
        <is>
          <t>AB</t>
        </is>
      </c>
      <c r="K636" s="8" t="inlineStr"/>
      <c r="L636" s="10">
        <f>IFERROR(IF(F636&lt;F635,"NEGATIVE",ROUND(F636-F635,2)),"")</f>
        <v/>
      </c>
    </row>
    <row r="637" ht="22" customHeight="1">
      <c r="B637" s="5" t="inlineStr">
        <is>
          <t>R00633</t>
        </is>
      </c>
      <c r="C637" s="5" t="inlineStr">
        <is>
          <t>MTR-CTW-004</t>
        </is>
      </c>
      <c r="D637" s="5" t="inlineStr">
        <is>
          <t>Cooling Tower</t>
        </is>
      </c>
      <c r="E637" s="5" t="inlineStr">
        <is>
          <t>Cooling Tower Cell 2</t>
        </is>
      </c>
      <c r="F637" s="5" t="inlineStr">
        <is>
          <t>2024-09-24 08:00</t>
        </is>
      </c>
      <c r="G637" s="11" t="n">
        <v>1698.14</v>
      </c>
      <c r="H637" s="5" t="inlineStr">
        <is>
          <t>m3</t>
        </is>
      </c>
      <c r="I637" s="5" t="inlineStr">
        <is>
          <t>cumulative</t>
        </is>
      </c>
      <c r="J637" s="5" t="inlineStr">
        <is>
          <t>KL</t>
        </is>
      </c>
      <c r="K637" s="5" t="inlineStr"/>
      <c r="L637" s="7">
        <f>IFERROR(IF(F637&lt;F636,"NEGATIVE",ROUND(F637-F636,2)),"")</f>
        <v/>
      </c>
    </row>
    <row r="638" ht="22" customHeight="1">
      <c r="B638" s="8" t="inlineStr">
        <is>
          <t>R00634</t>
        </is>
      </c>
      <c r="C638" s="8" t="inlineStr">
        <is>
          <t>MTR-CTW-004</t>
        </is>
      </c>
      <c r="D638" s="8" t="inlineStr">
        <is>
          <t>Cooling Tower</t>
        </is>
      </c>
      <c r="E638" s="8" t="inlineStr">
        <is>
          <t>Cooling Tower Cell 2</t>
        </is>
      </c>
      <c r="F638" s="8" t="inlineStr">
        <is>
          <t>2024-09-25 08:00</t>
        </is>
      </c>
      <c r="G638" s="12" t="n">
        <v>1742.18</v>
      </c>
      <c r="H638" s="8" t="inlineStr">
        <is>
          <t>m3</t>
        </is>
      </c>
      <c r="I638" s="8" t="inlineStr">
        <is>
          <t>cumulative</t>
        </is>
      </c>
      <c r="J638" s="8" t="inlineStr">
        <is>
          <t>AB</t>
        </is>
      </c>
      <c r="K638" s="8" t="inlineStr"/>
      <c r="L638" s="10">
        <f>IFERROR(IF(F638&lt;F637,"NEGATIVE",ROUND(F638-F637,2)),"")</f>
        <v/>
      </c>
    </row>
    <row r="639" ht="22" customHeight="1">
      <c r="B639" s="5" t="inlineStr">
        <is>
          <t>R00635</t>
        </is>
      </c>
      <c r="C639" s="5" t="inlineStr">
        <is>
          <t>MTR-CTW-004</t>
        </is>
      </c>
      <c r="D639" s="5" t="inlineStr">
        <is>
          <t>Cooling Tower</t>
        </is>
      </c>
      <c r="E639" s="5" t="inlineStr">
        <is>
          <t>Cooling Tower Cell 2</t>
        </is>
      </c>
      <c r="F639" s="5" t="inlineStr">
        <is>
          <t>2024-09-26 08:00</t>
        </is>
      </c>
      <c r="G639" s="11" t="n">
        <v>1782.79</v>
      </c>
      <c r="H639" s="5" t="inlineStr">
        <is>
          <t>m3</t>
        </is>
      </c>
      <c r="I639" s="5" t="inlineStr">
        <is>
          <t>cumulative</t>
        </is>
      </c>
      <c r="J639" s="5" t="inlineStr">
        <is>
          <t>EF</t>
        </is>
      </c>
      <c r="K639" s="5" t="inlineStr"/>
      <c r="L639" s="7">
        <f>IFERROR(IF(F639&lt;F638,"NEGATIVE",ROUND(F639-F638,2)),"")</f>
        <v/>
      </c>
    </row>
    <row r="640" ht="22" customHeight="1">
      <c r="B640" s="8" t="inlineStr">
        <is>
          <t>R00636</t>
        </is>
      </c>
      <c r="C640" s="8" t="inlineStr">
        <is>
          <t>MTR-CTW-004</t>
        </is>
      </c>
      <c r="D640" s="8" t="inlineStr">
        <is>
          <t>Cooling Tower</t>
        </is>
      </c>
      <c r="E640" s="8" t="inlineStr">
        <is>
          <t>Cooling Tower Cell 2</t>
        </is>
      </c>
      <c r="F640" s="8" t="inlineStr">
        <is>
          <t>2024-09-27 08:00</t>
        </is>
      </c>
      <c r="G640" s="12" t="n">
        <v>1826.92</v>
      </c>
      <c r="H640" s="8" t="inlineStr">
        <is>
          <t>m3</t>
        </is>
      </c>
      <c r="I640" s="8" t="inlineStr">
        <is>
          <t>cumulative</t>
        </is>
      </c>
      <c r="J640" s="8" t="inlineStr">
        <is>
          <t>AB</t>
        </is>
      </c>
      <c r="K640" s="8" t="inlineStr"/>
      <c r="L640" s="10">
        <f>IFERROR(IF(F640&lt;F639,"NEGATIVE",ROUND(F640-F639,2)),"")</f>
        <v/>
      </c>
    </row>
    <row r="641" ht="22" customHeight="1">
      <c r="B641" s="5" t="inlineStr">
        <is>
          <t>R00637</t>
        </is>
      </c>
      <c r="C641" s="5" t="inlineStr">
        <is>
          <t>MTR-CTW-004</t>
        </is>
      </c>
      <c r="D641" s="5" t="inlineStr">
        <is>
          <t>Cooling Tower</t>
        </is>
      </c>
      <c r="E641" s="5" t="inlineStr">
        <is>
          <t>Cooling Tower Cell 2</t>
        </is>
      </c>
      <c r="F641" s="5" t="inlineStr">
        <is>
          <t>2024-09-28 08:00</t>
        </is>
      </c>
      <c r="G641" s="11" t="n">
        <v>1862.65</v>
      </c>
      <c r="H641" s="5" t="inlineStr">
        <is>
          <t>m3</t>
        </is>
      </c>
      <c r="I641" s="5" t="inlineStr">
        <is>
          <t>cumulative</t>
        </is>
      </c>
      <c r="J641" s="5" t="inlineStr">
        <is>
          <t>GH</t>
        </is>
      </c>
      <c r="K641" s="5" t="inlineStr"/>
      <c r="L641" s="7">
        <f>IFERROR(IF(F641&lt;F640,"NEGATIVE",ROUND(F641-F640,2)),"")</f>
        <v/>
      </c>
    </row>
    <row r="642" ht="22" customHeight="1">
      <c r="B642" s="8" t="inlineStr">
        <is>
          <t>R00638</t>
        </is>
      </c>
      <c r="C642" s="8" t="inlineStr">
        <is>
          <t>MTR-CTW-004</t>
        </is>
      </c>
      <c r="D642" s="8" t="inlineStr">
        <is>
          <t>Cooling Tower</t>
        </is>
      </c>
      <c r="E642" s="8" t="inlineStr">
        <is>
          <t>Cooling Tower Cell 2</t>
        </is>
      </c>
      <c r="F642" s="8" t="inlineStr">
        <is>
          <t>2024-09-29 08:00</t>
        </is>
      </c>
      <c r="G642" s="12" t="n">
        <v>1882.14</v>
      </c>
      <c r="H642" s="8" t="inlineStr">
        <is>
          <t>m3</t>
        </is>
      </c>
      <c r="I642" s="8" t="inlineStr">
        <is>
          <t>cumulative</t>
        </is>
      </c>
      <c r="J642" s="8" t="inlineStr">
        <is>
          <t>IJ</t>
        </is>
      </c>
      <c r="K642" s="8" t="inlineStr"/>
      <c r="L642" s="10">
        <f>IFERROR(IF(F642&lt;F641,"NEGATIVE",ROUND(F642-F641,2)),"")</f>
        <v/>
      </c>
    </row>
    <row r="643" ht="22" customHeight="1">
      <c r="B643" s="5" t="inlineStr">
        <is>
          <t>R00639</t>
        </is>
      </c>
      <c r="C643" s="5" t="inlineStr">
        <is>
          <t>MTR-CTW-004</t>
        </is>
      </c>
      <c r="D643" s="5" t="inlineStr">
        <is>
          <t>Cooling Tower</t>
        </is>
      </c>
      <c r="E643" s="5" t="inlineStr">
        <is>
          <t>Cooling Tower Cell 2</t>
        </is>
      </c>
      <c r="F643" s="5" t="inlineStr">
        <is>
          <t>2024-09-30 08:00</t>
        </is>
      </c>
      <c r="G643" s="11" t="n">
        <v>1919.6</v>
      </c>
      <c r="H643" s="5" t="inlineStr">
        <is>
          <t>m3</t>
        </is>
      </c>
      <c r="I643" s="5" t="inlineStr">
        <is>
          <t>cumulative</t>
        </is>
      </c>
      <c r="J643" s="5" t="inlineStr">
        <is>
          <t>IJ</t>
        </is>
      </c>
      <c r="K643" s="5" t="inlineStr"/>
      <c r="L643" s="7">
        <f>IFERROR(IF(F643&lt;F642,"NEGATIVE",ROUND(F643-F642,2)),"")</f>
        <v/>
      </c>
    </row>
    <row r="644" ht="22" customHeight="1">
      <c r="B644" s="8" t="inlineStr">
        <is>
          <t>R00640</t>
        </is>
      </c>
      <c r="C644" s="8" t="inlineStr">
        <is>
          <t>MTR-CTW-004</t>
        </is>
      </c>
      <c r="D644" s="8" t="inlineStr">
        <is>
          <t>Cooling Tower</t>
        </is>
      </c>
      <c r="E644" s="8" t="inlineStr">
        <is>
          <t>Cooling Tower Cell 2</t>
        </is>
      </c>
      <c r="F644" s="8" t="inlineStr">
        <is>
          <t>2024-10-01 08:00</t>
        </is>
      </c>
      <c r="G644" s="12" t="n">
        <v>1962.79</v>
      </c>
      <c r="H644" s="8" t="inlineStr">
        <is>
          <t>m3</t>
        </is>
      </c>
      <c r="I644" s="8" t="inlineStr">
        <is>
          <t>cumulative</t>
        </is>
      </c>
      <c r="J644" s="8" t="inlineStr">
        <is>
          <t>CD</t>
        </is>
      </c>
      <c r="K644" s="8" t="inlineStr"/>
      <c r="L644" s="10">
        <f>IFERROR(IF(F644&lt;F643,"NEGATIVE",ROUND(F644-F643,2)),"")</f>
        <v/>
      </c>
    </row>
    <row r="645" ht="22" customHeight="1">
      <c r="B645" s="5" t="inlineStr">
        <is>
          <t>R00641</t>
        </is>
      </c>
      <c r="C645" s="5" t="inlineStr">
        <is>
          <t>MTR-CTW-004</t>
        </is>
      </c>
      <c r="D645" s="5" t="inlineStr">
        <is>
          <t>Cooling Tower</t>
        </is>
      </c>
      <c r="E645" s="5" t="inlineStr">
        <is>
          <t>Cooling Tower Cell 2</t>
        </is>
      </c>
      <c r="F645" s="5" t="inlineStr">
        <is>
          <t>2024-10-02 08:00</t>
        </is>
      </c>
      <c r="G645" s="11" t="n">
        <v>2001.36</v>
      </c>
      <c r="H645" s="5" t="inlineStr">
        <is>
          <t>m3</t>
        </is>
      </c>
      <c r="I645" s="5" t="inlineStr">
        <is>
          <t>cumulative</t>
        </is>
      </c>
      <c r="J645" s="5" t="inlineStr">
        <is>
          <t>KL</t>
        </is>
      </c>
      <c r="K645" s="5" t="inlineStr"/>
      <c r="L645" s="7">
        <f>IFERROR(IF(F645&lt;F644,"NEGATIVE",ROUND(F645-F644,2)),"")</f>
        <v/>
      </c>
    </row>
    <row r="646" ht="22" customHeight="1">
      <c r="B646" s="8" t="inlineStr">
        <is>
          <t>R00642</t>
        </is>
      </c>
      <c r="C646" s="8" t="inlineStr">
        <is>
          <t>MTR-CTW-004</t>
        </is>
      </c>
      <c r="D646" s="8" t="inlineStr">
        <is>
          <t>Cooling Tower</t>
        </is>
      </c>
      <c r="E646" s="8" t="inlineStr">
        <is>
          <t>Cooling Tower Cell 2</t>
        </is>
      </c>
      <c r="F646" s="8" t="inlineStr">
        <is>
          <t>2024-10-03 08:00</t>
        </is>
      </c>
      <c r="G646" s="12" t="n">
        <v>2035.94</v>
      </c>
      <c r="H646" s="8" t="inlineStr">
        <is>
          <t>m3</t>
        </is>
      </c>
      <c r="I646" s="8" t="inlineStr">
        <is>
          <t>cumulative</t>
        </is>
      </c>
      <c r="J646" s="8" t="inlineStr">
        <is>
          <t>CD</t>
        </is>
      </c>
      <c r="K646" s="8" t="inlineStr"/>
      <c r="L646" s="10">
        <f>IFERROR(IF(F646&lt;F645,"NEGATIVE",ROUND(F646-F645,2)),"")</f>
        <v/>
      </c>
    </row>
    <row r="647" ht="22" customHeight="1">
      <c r="B647" s="5" t="inlineStr">
        <is>
          <t>R00643</t>
        </is>
      </c>
      <c r="C647" s="5" t="inlineStr">
        <is>
          <t>MTR-CTW-004</t>
        </is>
      </c>
      <c r="D647" s="5" t="inlineStr">
        <is>
          <t>Cooling Tower</t>
        </is>
      </c>
      <c r="E647" s="5" t="inlineStr">
        <is>
          <t>Cooling Tower Cell 2</t>
        </is>
      </c>
      <c r="F647" s="5" t="inlineStr">
        <is>
          <t>2024-10-04 08:00</t>
        </is>
      </c>
      <c r="G647" s="11" t="n">
        <v>2079.84</v>
      </c>
      <c r="H647" s="5" t="inlineStr">
        <is>
          <t>m3</t>
        </is>
      </c>
      <c r="I647" s="5" t="inlineStr">
        <is>
          <t>cumulative</t>
        </is>
      </c>
      <c r="J647" s="5" t="inlineStr">
        <is>
          <t>AB</t>
        </is>
      </c>
      <c r="K647" s="5" t="inlineStr"/>
      <c r="L647" s="7">
        <f>IFERROR(IF(F647&lt;F646,"NEGATIVE",ROUND(F647-F646,2)),"")</f>
        <v/>
      </c>
    </row>
    <row r="648" ht="22" customHeight="1">
      <c r="B648" s="8" t="inlineStr">
        <is>
          <t>R00644</t>
        </is>
      </c>
      <c r="C648" s="8" t="inlineStr">
        <is>
          <t>MTR-CTW-004</t>
        </is>
      </c>
      <c r="D648" s="8" t="inlineStr">
        <is>
          <t>Cooling Tower</t>
        </is>
      </c>
      <c r="E648" s="8" t="inlineStr">
        <is>
          <t>Cooling Tower Cell 2</t>
        </is>
      </c>
      <c r="F648" s="8" t="inlineStr">
        <is>
          <t>2024-10-05 08:00</t>
        </is>
      </c>
      <c r="G648" s="12" t="n">
        <v>2110.58</v>
      </c>
      <c r="H648" s="8" t="inlineStr">
        <is>
          <t>m3</t>
        </is>
      </c>
      <c r="I648" s="8" t="inlineStr">
        <is>
          <t>cumulative</t>
        </is>
      </c>
      <c r="J648" s="8" t="inlineStr">
        <is>
          <t>GH</t>
        </is>
      </c>
      <c r="K648" s="8" t="inlineStr"/>
      <c r="L648" s="10">
        <f>IFERROR(IF(F648&lt;F647,"NEGATIVE",ROUND(F648-F647,2)),"")</f>
        <v/>
      </c>
    </row>
    <row r="649" ht="22" customHeight="1">
      <c r="B649" s="5" t="inlineStr">
        <is>
          <t>R00645</t>
        </is>
      </c>
      <c r="C649" s="5" t="inlineStr">
        <is>
          <t>MTR-CTW-004</t>
        </is>
      </c>
      <c r="D649" s="5" t="inlineStr">
        <is>
          <t>Cooling Tower</t>
        </is>
      </c>
      <c r="E649" s="5" t="inlineStr">
        <is>
          <t>Cooling Tower Cell 2</t>
        </is>
      </c>
      <c r="F649" s="5" t="inlineStr">
        <is>
          <t>2024-10-06 08:00</t>
        </is>
      </c>
      <c r="G649" s="11" t="n">
        <v>2130.39</v>
      </c>
      <c r="H649" s="5" t="inlineStr">
        <is>
          <t>m3</t>
        </is>
      </c>
      <c r="I649" s="5" t="inlineStr">
        <is>
          <t>cumulative</t>
        </is>
      </c>
      <c r="J649" s="5" t="inlineStr">
        <is>
          <t>AB</t>
        </is>
      </c>
      <c r="K649" s="5" t="inlineStr"/>
      <c r="L649" s="7">
        <f>IFERROR(IF(F649&lt;F648,"NEGATIVE",ROUND(F649-F648,2)),"")</f>
        <v/>
      </c>
    </row>
    <row r="650" ht="22" customHeight="1">
      <c r="B650" s="8" t="inlineStr">
        <is>
          <t>R00646</t>
        </is>
      </c>
      <c r="C650" s="8" t="inlineStr">
        <is>
          <t>MTR-CTW-004</t>
        </is>
      </c>
      <c r="D650" s="8" t="inlineStr">
        <is>
          <t>Cooling Tower</t>
        </is>
      </c>
      <c r="E650" s="8" t="inlineStr">
        <is>
          <t>Cooling Tower Cell 2</t>
        </is>
      </c>
      <c r="F650" s="8" t="inlineStr">
        <is>
          <t>2024-10-07 08:00</t>
        </is>
      </c>
      <c r="G650" s="12" t="n">
        <v>2172.81</v>
      </c>
      <c r="H650" s="8" t="inlineStr">
        <is>
          <t>m3</t>
        </is>
      </c>
      <c r="I650" s="8" t="inlineStr">
        <is>
          <t>cumulative</t>
        </is>
      </c>
      <c r="J650" s="8" t="inlineStr">
        <is>
          <t>AB</t>
        </is>
      </c>
      <c r="K650" s="8" t="inlineStr"/>
      <c r="L650" s="10">
        <f>IFERROR(IF(F650&lt;F649,"NEGATIVE",ROUND(F650-F649,2)),"")</f>
        <v/>
      </c>
    </row>
    <row r="651" ht="22" customHeight="1">
      <c r="B651" s="5" t="inlineStr">
        <is>
          <t>R00647</t>
        </is>
      </c>
      <c r="C651" s="5" t="inlineStr">
        <is>
          <t>MTR-CTW-004</t>
        </is>
      </c>
      <c r="D651" s="5" t="inlineStr">
        <is>
          <t>Cooling Tower</t>
        </is>
      </c>
      <c r="E651" s="5" t="inlineStr">
        <is>
          <t>Cooling Tower Cell 2</t>
        </is>
      </c>
      <c r="F651" s="5" t="inlineStr">
        <is>
          <t>2024-10-08 08:00</t>
        </is>
      </c>
      <c r="G651" s="11" t="n">
        <v>2216.71</v>
      </c>
      <c r="H651" s="5" t="inlineStr">
        <is>
          <t>m3</t>
        </is>
      </c>
      <c r="I651" s="5" t="inlineStr">
        <is>
          <t>cumulative</t>
        </is>
      </c>
      <c r="J651" s="5" t="inlineStr">
        <is>
          <t>CD</t>
        </is>
      </c>
      <c r="K651" s="5" t="inlineStr"/>
      <c r="L651" s="7">
        <f>IFERROR(IF(F651&lt;F650,"NEGATIVE",ROUND(F651-F650,2)),"")</f>
        <v/>
      </c>
    </row>
    <row r="652" ht="22" customHeight="1">
      <c r="B652" s="8" t="inlineStr">
        <is>
          <t>R00648</t>
        </is>
      </c>
      <c r="C652" s="8" t="inlineStr">
        <is>
          <t>MTR-CTW-004</t>
        </is>
      </c>
      <c r="D652" s="8" t="inlineStr">
        <is>
          <t>Cooling Tower</t>
        </is>
      </c>
      <c r="E652" s="8" t="inlineStr">
        <is>
          <t>Cooling Tower Cell 2</t>
        </is>
      </c>
      <c r="F652" s="8" t="inlineStr">
        <is>
          <t>2024-10-09 08:00</t>
        </is>
      </c>
      <c r="G652" s="12" t="n">
        <v>2252.22</v>
      </c>
      <c r="H652" s="8" t="inlineStr">
        <is>
          <t>m3</t>
        </is>
      </c>
      <c r="I652" s="8" t="inlineStr">
        <is>
          <t>cumulative</t>
        </is>
      </c>
      <c r="J652" s="8" t="inlineStr">
        <is>
          <t>AB</t>
        </is>
      </c>
      <c r="K652" s="8" t="inlineStr"/>
      <c r="L652" s="10">
        <f>IFERROR(IF(F652&lt;F651,"NEGATIVE",ROUND(F652-F651,2)),"")</f>
        <v/>
      </c>
    </row>
    <row r="653" ht="22" customHeight="1">
      <c r="B653" s="5" t="inlineStr">
        <is>
          <t>R00649</t>
        </is>
      </c>
      <c r="C653" s="5" t="inlineStr">
        <is>
          <t>MTR-CTW-004</t>
        </is>
      </c>
      <c r="D653" s="5" t="inlineStr">
        <is>
          <t>Cooling Tower</t>
        </is>
      </c>
      <c r="E653" s="5" t="inlineStr">
        <is>
          <t>Cooling Tower Cell 2</t>
        </is>
      </c>
      <c r="F653" s="5" t="inlineStr">
        <is>
          <t>2024-10-10 08:00</t>
        </is>
      </c>
      <c r="G653" s="11" t="n">
        <v>2297.29</v>
      </c>
      <c r="H653" s="5" t="inlineStr">
        <is>
          <t>m3</t>
        </is>
      </c>
      <c r="I653" s="5" t="inlineStr">
        <is>
          <t>cumulative</t>
        </is>
      </c>
      <c r="J653" s="5" t="inlineStr">
        <is>
          <t>AB</t>
        </is>
      </c>
      <c r="K653" s="5" t="inlineStr"/>
      <c r="L653" s="7">
        <f>IFERROR(IF(F653&lt;F652,"NEGATIVE",ROUND(F653-F652,2)),"")</f>
        <v/>
      </c>
    </row>
    <row r="654" ht="22" customHeight="1">
      <c r="B654" s="8" t="inlineStr">
        <is>
          <t>R00650</t>
        </is>
      </c>
      <c r="C654" s="8" t="inlineStr">
        <is>
          <t>MTR-CTW-004</t>
        </is>
      </c>
      <c r="D654" s="8" t="inlineStr">
        <is>
          <t>Cooling Tower</t>
        </is>
      </c>
      <c r="E654" s="8" t="inlineStr">
        <is>
          <t>Cooling Tower Cell 2</t>
        </is>
      </c>
      <c r="F654" s="8" t="inlineStr">
        <is>
          <t>2024-10-11 08:00</t>
        </is>
      </c>
      <c r="G654" s="12" t="n">
        <v>2331.95</v>
      </c>
      <c r="H654" s="8" t="inlineStr">
        <is>
          <t>m3</t>
        </is>
      </c>
      <c r="I654" s="8" t="inlineStr">
        <is>
          <t>cumulative</t>
        </is>
      </c>
      <c r="J654" s="8" t="inlineStr">
        <is>
          <t>IJ</t>
        </is>
      </c>
      <c r="K654" s="8" t="inlineStr"/>
      <c r="L654" s="10">
        <f>IFERROR(IF(F654&lt;F653,"NEGATIVE",ROUND(F654-F653,2)),"")</f>
        <v/>
      </c>
    </row>
    <row r="655" ht="22" customHeight="1">
      <c r="B655" s="5" t="inlineStr">
        <is>
          <t>R00651</t>
        </is>
      </c>
      <c r="C655" s="5" t="inlineStr">
        <is>
          <t>MTR-CTW-004</t>
        </is>
      </c>
      <c r="D655" s="5" t="inlineStr">
        <is>
          <t>Cooling Tower</t>
        </is>
      </c>
      <c r="E655" s="5" t="inlineStr">
        <is>
          <t>Cooling Tower Cell 2</t>
        </is>
      </c>
      <c r="F655" s="5" t="inlineStr">
        <is>
          <t>2024-10-12 08:00</t>
        </is>
      </c>
      <c r="G655" s="11" t="n">
        <v>2362.24</v>
      </c>
      <c r="H655" s="5" t="inlineStr">
        <is>
          <t>m3</t>
        </is>
      </c>
      <c r="I655" s="5" t="inlineStr">
        <is>
          <t>cumulative</t>
        </is>
      </c>
      <c r="J655" s="5" t="inlineStr">
        <is>
          <t>CD</t>
        </is>
      </c>
      <c r="K655" s="5" t="inlineStr"/>
      <c r="L655" s="7">
        <f>IFERROR(IF(F655&lt;F654,"NEGATIVE",ROUND(F655-F654,2)),"")</f>
        <v/>
      </c>
    </row>
    <row r="656" ht="22" customHeight="1">
      <c r="B656" s="8" t="inlineStr">
        <is>
          <t>R00652</t>
        </is>
      </c>
      <c r="C656" s="8" t="inlineStr">
        <is>
          <t>MTR-CTW-004</t>
        </is>
      </c>
      <c r="D656" s="8" t="inlineStr">
        <is>
          <t>Cooling Tower</t>
        </is>
      </c>
      <c r="E656" s="8" t="inlineStr">
        <is>
          <t>Cooling Tower Cell 2</t>
        </is>
      </c>
      <c r="F656" s="8" t="inlineStr">
        <is>
          <t>2024-10-13 08:00</t>
        </is>
      </c>
      <c r="G656" s="12" t="n">
        <v>2382.49</v>
      </c>
      <c r="H656" s="8" t="inlineStr">
        <is>
          <t>m3</t>
        </is>
      </c>
      <c r="I656" s="8" t="inlineStr">
        <is>
          <t>cumulative</t>
        </is>
      </c>
      <c r="J656" s="8" t="inlineStr">
        <is>
          <t>GH</t>
        </is>
      </c>
      <c r="K656" s="8" t="inlineStr"/>
      <c r="L656" s="10">
        <f>IFERROR(IF(F656&lt;F655,"NEGATIVE",ROUND(F656-F655,2)),"")</f>
        <v/>
      </c>
    </row>
    <row r="657" ht="22" customHeight="1">
      <c r="B657" s="5" t="inlineStr">
        <is>
          <t>R00653</t>
        </is>
      </c>
      <c r="C657" s="5" t="inlineStr">
        <is>
          <t>MTR-CTW-004</t>
        </is>
      </c>
      <c r="D657" s="5" t="inlineStr">
        <is>
          <t>Cooling Tower</t>
        </is>
      </c>
      <c r="E657" s="5" t="inlineStr">
        <is>
          <t>Cooling Tower Cell 2</t>
        </is>
      </c>
      <c r="F657" s="5" t="inlineStr">
        <is>
          <t>2024-10-14 08:00</t>
        </is>
      </c>
      <c r="G657" s="11" t="n">
        <v>2420.67</v>
      </c>
      <c r="H657" s="5" t="inlineStr">
        <is>
          <t>m3</t>
        </is>
      </c>
      <c r="I657" s="5" t="inlineStr">
        <is>
          <t>cumulative</t>
        </is>
      </c>
      <c r="J657" s="5" t="inlineStr">
        <is>
          <t>IJ</t>
        </is>
      </c>
      <c r="K657" s="5" t="inlineStr"/>
      <c r="L657" s="7">
        <f>IFERROR(IF(F657&lt;F656,"NEGATIVE",ROUND(F657-F656,2)),"")</f>
        <v/>
      </c>
    </row>
    <row r="658" ht="22" customHeight="1">
      <c r="B658" s="8" t="inlineStr">
        <is>
          <t>R00654</t>
        </is>
      </c>
      <c r="C658" s="8" t="inlineStr">
        <is>
          <t>MTR-CTW-004</t>
        </is>
      </c>
      <c r="D658" s="8" t="inlineStr">
        <is>
          <t>Cooling Tower</t>
        </is>
      </c>
      <c r="E658" s="8" t="inlineStr">
        <is>
          <t>Cooling Tower Cell 2</t>
        </is>
      </c>
      <c r="F658" s="8" t="inlineStr">
        <is>
          <t>2024-10-15 08:00</t>
        </is>
      </c>
      <c r="G658" s="12" t="n">
        <v>2461.08</v>
      </c>
      <c r="H658" s="8" t="inlineStr">
        <is>
          <t>m3</t>
        </is>
      </c>
      <c r="I658" s="8" t="inlineStr">
        <is>
          <t>cumulative</t>
        </is>
      </c>
      <c r="J658" s="8" t="inlineStr">
        <is>
          <t>IJ</t>
        </is>
      </c>
      <c r="K658" s="8" t="inlineStr"/>
      <c r="L658" s="10">
        <f>IFERROR(IF(F658&lt;F657,"NEGATIVE",ROUND(F658-F657,2)),"")</f>
        <v/>
      </c>
    </row>
    <row r="659" ht="22" customHeight="1">
      <c r="B659" s="5" t="inlineStr">
        <is>
          <t>R00655</t>
        </is>
      </c>
      <c r="C659" s="5" t="inlineStr">
        <is>
          <t>MTR-CTW-004</t>
        </is>
      </c>
      <c r="D659" s="5" t="inlineStr">
        <is>
          <t>Cooling Tower</t>
        </is>
      </c>
      <c r="E659" s="5" t="inlineStr">
        <is>
          <t>Cooling Tower Cell 2</t>
        </is>
      </c>
      <c r="F659" s="5" t="inlineStr">
        <is>
          <t>2024-10-16 08:00</t>
        </is>
      </c>
      <c r="G659" s="11" t="n">
        <v>2502.05</v>
      </c>
      <c r="H659" s="5" t="inlineStr">
        <is>
          <t>m3</t>
        </is>
      </c>
      <c r="I659" s="5" t="inlineStr">
        <is>
          <t>cumulative</t>
        </is>
      </c>
      <c r="J659" s="5" t="inlineStr">
        <is>
          <t>GH</t>
        </is>
      </c>
      <c r="K659" s="5" t="inlineStr"/>
      <c r="L659" s="7">
        <f>IFERROR(IF(F659&lt;F658,"NEGATIVE",ROUND(F659-F658,2)),"")</f>
        <v/>
      </c>
    </row>
    <row r="660" ht="22" customHeight="1">
      <c r="B660" s="8" t="inlineStr">
        <is>
          <t>R00656</t>
        </is>
      </c>
      <c r="C660" s="8" t="inlineStr">
        <is>
          <t>MTR-CTW-004</t>
        </is>
      </c>
      <c r="D660" s="8" t="inlineStr">
        <is>
          <t>Cooling Tower</t>
        </is>
      </c>
      <c r="E660" s="8" t="inlineStr">
        <is>
          <t>Cooling Tower Cell 2</t>
        </is>
      </c>
      <c r="F660" s="8" t="inlineStr">
        <is>
          <t>2024-10-17 08:00</t>
        </is>
      </c>
      <c r="G660" s="12" t="n">
        <v>2540.33</v>
      </c>
      <c r="H660" s="8" t="inlineStr">
        <is>
          <t>m3</t>
        </is>
      </c>
      <c r="I660" s="8" t="inlineStr">
        <is>
          <t>cumulative</t>
        </is>
      </c>
      <c r="J660" s="8" t="inlineStr">
        <is>
          <t>IJ</t>
        </is>
      </c>
      <c r="K660" s="8" t="inlineStr"/>
      <c r="L660" s="10">
        <f>IFERROR(IF(F660&lt;F659,"NEGATIVE",ROUND(F660-F659,2)),"")</f>
        <v/>
      </c>
    </row>
    <row r="661" ht="22" customHeight="1">
      <c r="B661" s="5" t="inlineStr">
        <is>
          <t>R00657</t>
        </is>
      </c>
      <c r="C661" s="5" t="inlineStr">
        <is>
          <t>MTR-CTW-004</t>
        </is>
      </c>
      <c r="D661" s="5" t="inlineStr">
        <is>
          <t>Cooling Tower</t>
        </is>
      </c>
      <c r="E661" s="5" t="inlineStr">
        <is>
          <t>Cooling Tower Cell 2</t>
        </is>
      </c>
      <c r="F661" s="5" t="inlineStr">
        <is>
          <t>2024-10-18 08:00</t>
        </is>
      </c>
      <c r="G661" s="11" t="n">
        <v>2577.01</v>
      </c>
      <c r="H661" s="5" t="inlineStr">
        <is>
          <t>m3</t>
        </is>
      </c>
      <c r="I661" s="5" t="inlineStr">
        <is>
          <t>cumulative</t>
        </is>
      </c>
      <c r="J661" s="5" t="inlineStr">
        <is>
          <t>IJ</t>
        </is>
      </c>
      <c r="K661" s="5" t="inlineStr"/>
      <c r="L661" s="7">
        <f>IFERROR(IF(F661&lt;F660,"NEGATIVE",ROUND(F661-F660,2)),"")</f>
        <v/>
      </c>
    </row>
    <row r="662" ht="22" customHeight="1">
      <c r="B662" s="8" t="inlineStr">
        <is>
          <t>R00658</t>
        </is>
      </c>
      <c r="C662" s="8" t="inlineStr">
        <is>
          <t>MTR-CTW-004</t>
        </is>
      </c>
      <c r="D662" s="8" t="inlineStr">
        <is>
          <t>Cooling Tower</t>
        </is>
      </c>
      <c r="E662" s="8" t="inlineStr">
        <is>
          <t>Cooling Tower Cell 2</t>
        </is>
      </c>
      <c r="F662" s="8" t="inlineStr">
        <is>
          <t>2024-10-19 08:00</t>
        </is>
      </c>
      <c r="G662" s="12" t="n">
        <v>2610.28</v>
      </c>
      <c r="H662" s="8" t="inlineStr">
        <is>
          <t>m3</t>
        </is>
      </c>
      <c r="I662" s="8" t="inlineStr">
        <is>
          <t>cumulative</t>
        </is>
      </c>
      <c r="J662" s="8" t="inlineStr">
        <is>
          <t>CD</t>
        </is>
      </c>
      <c r="K662" s="8" t="inlineStr"/>
      <c r="L662" s="10">
        <f>IFERROR(IF(F662&lt;F661,"NEGATIVE",ROUND(F662-F661,2)),"")</f>
        <v/>
      </c>
    </row>
    <row r="663" ht="22" customHeight="1">
      <c r="B663" s="5" t="inlineStr">
        <is>
          <t>R00659</t>
        </is>
      </c>
      <c r="C663" s="5" t="inlineStr">
        <is>
          <t>MTR-CTW-004</t>
        </is>
      </c>
      <c r="D663" s="5" t="inlineStr">
        <is>
          <t>Cooling Tower</t>
        </is>
      </c>
      <c r="E663" s="5" t="inlineStr">
        <is>
          <t>Cooling Tower Cell 2</t>
        </is>
      </c>
      <c r="F663" s="5" t="inlineStr">
        <is>
          <t>2024-10-20 08:00</t>
        </is>
      </c>
      <c r="G663" s="11" t="n">
        <v>2628.97</v>
      </c>
      <c r="H663" s="5" t="inlineStr">
        <is>
          <t>m3</t>
        </is>
      </c>
      <c r="I663" s="5" t="inlineStr">
        <is>
          <t>cumulative</t>
        </is>
      </c>
      <c r="J663" s="5" t="inlineStr">
        <is>
          <t>CD</t>
        </is>
      </c>
      <c r="K663" s="5" t="inlineStr"/>
      <c r="L663" s="7">
        <f>IFERROR(IF(F663&lt;F662,"NEGATIVE",ROUND(F663-F662,2)),"")</f>
        <v/>
      </c>
    </row>
    <row r="664" ht="22" customHeight="1">
      <c r="B664" s="8" t="inlineStr">
        <is>
          <t>R00660</t>
        </is>
      </c>
      <c r="C664" s="8" t="inlineStr">
        <is>
          <t>MTR-CTW-004</t>
        </is>
      </c>
      <c r="D664" s="8" t="inlineStr">
        <is>
          <t>Cooling Tower</t>
        </is>
      </c>
      <c r="E664" s="8" t="inlineStr">
        <is>
          <t>Cooling Tower Cell 2</t>
        </is>
      </c>
      <c r="F664" s="8" t="inlineStr">
        <is>
          <t>2024-10-21 08:00</t>
        </is>
      </c>
      <c r="G664" s="12" t="n">
        <v>2672.48</v>
      </c>
      <c r="H664" s="8" t="inlineStr">
        <is>
          <t>m3</t>
        </is>
      </c>
      <c r="I664" s="8" t="inlineStr">
        <is>
          <t>cumulative</t>
        </is>
      </c>
      <c r="J664" s="8" t="inlineStr">
        <is>
          <t>CD</t>
        </is>
      </c>
      <c r="K664" s="8" t="inlineStr"/>
      <c r="L664" s="10">
        <f>IFERROR(IF(F664&lt;F663,"NEGATIVE",ROUND(F664-F663,2)),"")</f>
        <v/>
      </c>
    </row>
    <row r="665" ht="22" customHeight="1">
      <c r="B665" s="5" t="inlineStr">
        <is>
          <t>R00661</t>
        </is>
      </c>
      <c r="C665" s="5" t="inlineStr">
        <is>
          <t>MTR-CTW-004</t>
        </is>
      </c>
      <c r="D665" s="5" t="inlineStr">
        <is>
          <t>Cooling Tower</t>
        </is>
      </c>
      <c r="E665" s="5" t="inlineStr">
        <is>
          <t>Cooling Tower Cell 2</t>
        </is>
      </c>
      <c r="F665" s="5" t="inlineStr">
        <is>
          <t>2024-10-22 08:00</t>
        </is>
      </c>
      <c r="G665" s="11" t="n">
        <v>2711.23</v>
      </c>
      <c r="H665" s="5" t="inlineStr">
        <is>
          <t>m3</t>
        </is>
      </c>
      <c r="I665" s="5" t="inlineStr">
        <is>
          <t>cumulative</t>
        </is>
      </c>
      <c r="J665" s="5" t="inlineStr">
        <is>
          <t>IJ</t>
        </is>
      </c>
      <c r="K665" s="5" t="inlineStr"/>
      <c r="L665" s="7">
        <f>IFERROR(IF(F665&lt;F664,"NEGATIVE",ROUND(F665-F664,2)),"")</f>
        <v/>
      </c>
    </row>
    <row r="666" ht="22" customHeight="1">
      <c r="B666" s="8" t="inlineStr">
        <is>
          <t>R00662</t>
        </is>
      </c>
      <c r="C666" s="8" t="inlineStr">
        <is>
          <t>MTR-CTW-004</t>
        </is>
      </c>
      <c r="D666" s="8" t="inlineStr">
        <is>
          <t>Cooling Tower</t>
        </is>
      </c>
      <c r="E666" s="8" t="inlineStr">
        <is>
          <t>Cooling Tower Cell 2</t>
        </is>
      </c>
      <c r="F666" s="8" t="inlineStr">
        <is>
          <t>2024-10-23 08:00</t>
        </is>
      </c>
      <c r="G666" s="12" t="n">
        <v>2746.21</v>
      </c>
      <c r="H666" s="8" t="inlineStr">
        <is>
          <t>m3</t>
        </is>
      </c>
      <c r="I666" s="8" t="inlineStr">
        <is>
          <t>cumulative</t>
        </is>
      </c>
      <c r="J666" s="8" t="inlineStr">
        <is>
          <t>EF</t>
        </is>
      </c>
      <c r="K666" s="8" t="inlineStr"/>
      <c r="L666" s="10">
        <f>IFERROR(IF(F666&lt;F665,"NEGATIVE",ROUND(F666-F665,2)),"")</f>
        <v/>
      </c>
    </row>
    <row r="667" ht="22" customHeight="1">
      <c r="B667" s="5" t="inlineStr">
        <is>
          <t>R00663</t>
        </is>
      </c>
      <c r="C667" s="5" t="inlineStr">
        <is>
          <t>MTR-CTW-004</t>
        </is>
      </c>
      <c r="D667" s="5" t="inlineStr">
        <is>
          <t>Cooling Tower</t>
        </is>
      </c>
      <c r="E667" s="5" t="inlineStr">
        <is>
          <t>Cooling Tower Cell 2</t>
        </is>
      </c>
      <c r="F667" s="5" t="inlineStr">
        <is>
          <t>2024-10-24 08:00</t>
        </is>
      </c>
      <c r="G667" s="11" t="n">
        <v>2782.78</v>
      </c>
      <c r="H667" s="5" t="inlineStr">
        <is>
          <t>m3</t>
        </is>
      </c>
      <c r="I667" s="5" t="inlineStr">
        <is>
          <t>cumulative</t>
        </is>
      </c>
      <c r="J667" s="5" t="inlineStr">
        <is>
          <t>KL</t>
        </is>
      </c>
      <c r="K667" s="5" t="inlineStr"/>
      <c r="L667" s="7">
        <f>IFERROR(IF(F667&lt;F666,"NEGATIVE",ROUND(F667-F666,2)),"")</f>
        <v/>
      </c>
    </row>
    <row r="668" ht="22" customHeight="1">
      <c r="B668" s="8" t="inlineStr">
        <is>
          <t>R00664</t>
        </is>
      </c>
      <c r="C668" s="8" t="inlineStr">
        <is>
          <t>MTR-CTW-004</t>
        </is>
      </c>
      <c r="D668" s="8" t="inlineStr">
        <is>
          <t>Cooling Tower</t>
        </is>
      </c>
      <c r="E668" s="8" t="inlineStr">
        <is>
          <t>Cooling Tower Cell 2</t>
        </is>
      </c>
      <c r="F668" s="8" t="inlineStr">
        <is>
          <t>2024-10-25 08:00</t>
        </is>
      </c>
      <c r="G668" s="12" t="n">
        <v>2822.75</v>
      </c>
      <c r="H668" s="8" t="inlineStr">
        <is>
          <t>m3</t>
        </is>
      </c>
      <c r="I668" s="8" t="inlineStr">
        <is>
          <t>cumulative</t>
        </is>
      </c>
      <c r="J668" s="8" t="inlineStr">
        <is>
          <t>GH</t>
        </is>
      </c>
      <c r="K668" s="8" t="inlineStr"/>
      <c r="L668" s="10">
        <f>IFERROR(IF(F668&lt;F667,"NEGATIVE",ROUND(F668-F667,2)),"")</f>
        <v/>
      </c>
    </row>
    <row r="669" ht="22" customHeight="1">
      <c r="B669" s="5" t="inlineStr">
        <is>
          <t>R00665</t>
        </is>
      </c>
      <c r="C669" s="5" t="inlineStr">
        <is>
          <t>MTR-CTW-004</t>
        </is>
      </c>
      <c r="D669" s="5" t="inlineStr">
        <is>
          <t>Cooling Tower</t>
        </is>
      </c>
      <c r="E669" s="5" t="inlineStr">
        <is>
          <t>Cooling Tower Cell 2</t>
        </is>
      </c>
      <c r="F669" s="5" t="inlineStr">
        <is>
          <t>2024-10-26 08:00</t>
        </is>
      </c>
      <c r="G669" s="11" t="n">
        <v>2851.03</v>
      </c>
      <c r="H669" s="5" t="inlineStr">
        <is>
          <t>m3</t>
        </is>
      </c>
      <c r="I669" s="5" t="inlineStr">
        <is>
          <t>cumulative</t>
        </is>
      </c>
      <c r="J669" s="5" t="inlineStr">
        <is>
          <t>AB</t>
        </is>
      </c>
      <c r="K669" s="5" t="inlineStr"/>
      <c r="L669" s="7">
        <f>IFERROR(IF(F669&lt;F668,"NEGATIVE",ROUND(F669-F668,2)),"")</f>
        <v/>
      </c>
    </row>
    <row r="670" ht="22" customHeight="1">
      <c r="B670" s="8" t="inlineStr">
        <is>
          <t>R00666</t>
        </is>
      </c>
      <c r="C670" s="8" t="inlineStr">
        <is>
          <t>MTR-CTW-004</t>
        </is>
      </c>
      <c r="D670" s="8" t="inlineStr">
        <is>
          <t>Cooling Tower</t>
        </is>
      </c>
      <c r="E670" s="8" t="inlineStr">
        <is>
          <t>Cooling Tower Cell 2</t>
        </is>
      </c>
      <c r="F670" s="8" t="inlineStr">
        <is>
          <t>2024-10-27 08:00</t>
        </is>
      </c>
      <c r="G670" s="12" t="n">
        <v>2874.79</v>
      </c>
      <c r="H670" s="8" t="inlineStr">
        <is>
          <t>m3</t>
        </is>
      </c>
      <c r="I670" s="8" t="inlineStr">
        <is>
          <t>cumulative</t>
        </is>
      </c>
      <c r="J670" s="8" t="inlineStr">
        <is>
          <t>AB</t>
        </is>
      </c>
      <c r="K670" s="8" t="inlineStr"/>
      <c r="L670" s="10">
        <f>IFERROR(IF(F670&lt;F669,"NEGATIVE",ROUND(F670-F669,2)),"")</f>
        <v/>
      </c>
    </row>
    <row r="671" ht="22" customHeight="1">
      <c r="B671" s="5" t="inlineStr">
        <is>
          <t>R00667</t>
        </is>
      </c>
      <c r="C671" s="5" t="inlineStr">
        <is>
          <t>MTR-CTW-004</t>
        </is>
      </c>
      <c r="D671" s="5" t="inlineStr">
        <is>
          <t>Cooling Tower</t>
        </is>
      </c>
      <c r="E671" s="5" t="inlineStr">
        <is>
          <t>Cooling Tower Cell 2</t>
        </is>
      </c>
      <c r="F671" s="5" t="inlineStr">
        <is>
          <t>2024-10-28 08:00</t>
        </is>
      </c>
      <c r="G671" s="11" t="n">
        <v>2912.82</v>
      </c>
      <c r="H671" s="5" t="inlineStr">
        <is>
          <t>m3</t>
        </is>
      </c>
      <c r="I671" s="5" t="inlineStr">
        <is>
          <t>cumulative</t>
        </is>
      </c>
      <c r="J671" s="5" t="inlineStr">
        <is>
          <t>CD</t>
        </is>
      </c>
      <c r="K671" s="5" t="inlineStr"/>
      <c r="L671" s="7">
        <f>IFERROR(IF(F671&lt;F670,"NEGATIVE",ROUND(F671-F670,2)),"")</f>
        <v/>
      </c>
    </row>
    <row r="672" ht="22" customHeight="1">
      <c r="B672" s="8" t="inlineStr">
        <is>
          <t>R00668</t>
        </is>
      </c>
      <c r="C672" s="8" t="inlineStr">
        <is>
          <t>MTR-CTW-004</t>
        </is>
      </c>
      <c r="D672" s="8" t="inlineStr">
        <is>
          <t>Cooling Tower</t>
        </is>
      </c>
      <c r="E672" s="8" t="inlineStr">
        <is>
          <t>Cooling Tower Cell 2</t>
        </is>
      </c>
      <c r="F672" s="8" t="inlineStr">
        <is>
          <t>2024-10-29 08:00</t>
        </is>
      </c>
      <c r="G672" s="12" t="n">
        <v>2953.74</v>
      </c>
      <c r="H672" s="8" t="inlineStr">
        <is>
          <t>m3</t>
        </is>
      </c>
      <c r="I672" s="8" t="inlineStr">
        <is>
          <t>cumulative</t>
        </is>
      </c>
      <c r="J672" s="8" t="inlineStr">
        <is>
          <t>GH</t>
        </is>
      </c>
      <c r="K672" s="8" t="inlineStr"/>
      <c r="L672" s="10">
        <f>IFERROR(IF(F672&lt;F671,"NEGATIVE",ROUND(F672-F671,2)),"")</f>
        <v/>
      </c>
    </row>
    <row r="673" ht="22" customHeight="1">
      <c r="B673" s="5" t="inlineStr">
        <is>
          <t>R00669</t>
        </is>
      </c>
      <c r="C673" s="5" t="inlineStr">
        <is>
          <t>MTR-CTW-004</t>
        </is>
      </c>
      <c r="D673" s="5" t="inlineStr">
        <is>
          <t>Cooling Tower</t>
        </is>
      </c>
      <c r="E673" s="5" t="inlineStr">
        <is>
          <t>Cooling Tower Cell 2</t>
        </is>
      </c>
      <c r="F673" s="5" t="inlineStr">
        <is>
          <t>2024-10-30 08:00</t>
        </is>
      </c>
      <c r="G673" s="11" t="n">
        <v>2990.28</v>
      </c>
      <c r="H673" s="5" t="inlineStr">
        <is>
          <t>m3</t>
        </is>
      </c>
      <c r="I673" s="5" t="inlineStr">
        <is>
          <t>cumulative</t>
        </is>
      </c>
      <c r="J673" s="5" t="inlineStr">
        <is>
          <t>KL</t>
        </is>
      </c>
      <c r="K673" s="5" t="inlineStr"/>
      <c r="L673" s="7">
        <f>IFERROR(IF(F673&lt;F672,"NEGATIVE",ROUND(F673-F672,2)),"")</f>
        <v/>
      </c>
    </row>
    <row r="674" ht="22" customHeight="1">
      <c r="B674" s="8" t="inlineStr">
        <is>
          <t>R00670</t>
        </is>
      </c>
      <c r="C674" s="8" t="inlineStr">
        <is>
          <t>MTR-CTW-004</t>
        </is>
      </c>
      <c r="D674" s="8" t="inlineStr">
        <is>
          <t>Cooling Tower</t>
        </is>
      </c>
      <c r="E674" s="8" t="inlineStr">
        <is>
          <t>Cooling Tower Cell 2</t>
        </is>
      </c>
      <c r="F674" s="8" t="inlineStr">
        <is>
          <t>2024-10-31 08:00</t>
        </is>
      </c>
      <c r="G674" s="12" t="n">
        <v>3030.87</v>
      </c>
      <c r="H674" s="8" t="inlineStr">
        <is>
          <t>m3</t>
        </is>
      </c>
      <c r="I674" s="8" t="inlineStr">
        <is>
          <t>cumulative</t>
        </is>
      </c>
      <c r="J674" s="8" t="inlineStr">
        <is>
          <t>CD</t>
        </is>
      </c>
      <c r="K674" s="8" t="inlineStr"/>
      <c r="L674" s="10">
        <f>IFERROR(IF(F674&lt;F673,"NEGATIVE",ROUND(F674-F673,2)),"")</f>
        <v/>
      </c>
    </row>
    <row r="675" ht="22" customHeight="1">
      <c r="B675" s="5" t="inlineStr">
        <is>
          <t>R00671</t>
        </is>
      </c>
      <c r="C675" s="5" t="inlineStr">
        <is>
          <t>MTR-CTW-004</t>
        </is>
      </c>
      <c r="D675" s="5" t="inlineStr">
        <is>
          <t>Cooling Tower</t>
        </is>
      </c>
      <c r="E675" s="5" t="inlineStr">
        <is>
          <t>Cooling Tower Cell 2</t>
        </is>
      </c>
      <c r="F675" s="5" t="inlineStr">
        <is>
          <t>2024-11-01 08:00</t>
        </is>
      </c>
      <c r="G675" s="11" t="n">
        <v>3064.7</v>
      </c>
      <c r="H675" s="5" t="inlineStr">
        <is>
          <t>m3</t>
        </is>
      </c>
      <c r="I675" s="5" t="inlineStr">
        <is>
          <t>cumulative</t>
        </is>
      </c>
      <c r="J675" s="5" t="inlineStr">
        <is>
          <t>KL</t>
        </is>
      </c>
      <c r="K675" s="5" t="inlineStr"/>
      <c r="L675" s="7">
        <f>IFERROR(IF(F675&lt;F674,"NEGATIVE",ROUND(F675-F674,2)),"")</f>
        <v/>
      </c>
    </row>
    <row r="676" ht="22" customHeight="1">
      <c r="B676" s="8" t="inlineStr">
        <is>
          <t>R00672</t>
        </is>
      </c>
      <c r="C676" s="8" t="inlineStr">
        <is>
          <t>MTR-CTW-004</t>
        </is>
      </c>
      <c r="D676" s="8" t="inlineStr">
        <is>
          <t>Cooling Tower</t>
        </is>
      </c>
      <c r="E676" s="8" t="inlineStr">
        <is>
          <t>Cooling Tower Cell 2</t>
        </is>
      </c>
      <c r="F676" s="8" t="inlineStr">
        <is>
          <t>2024-11-02 08:00</t>
        </is>
      </c>
      <c r="G676" s="12" t="n">
        <v>3095.47</v>
      </c>
      <c r="H676" s="8" t="inlineStr">
        <is>
          <t>m3</t>
        </is>
      </c>
      <c r="I676" s="8" t="inlineStr">
        <is>
          <t>cumulative</t>
        </is>
      </c>
      <c r="J676" s="8" t="inlineStr">
        <is>
          <t>IJ</t>
        </is>
      </c>
      <c r="K676" s="8" t="inlineStr"/>
      <c r="L676" s="10">
        <f>IFERROR(IF(F676&lt;F675,"NEGATIVE",ROUND(F676-F675,2)),"")</f>
        <v/>
      </c>
    </row>
    <row r="677" ht="22" customHeight="1">
      <c r="B677" s="5" t="inlineStr">
        <is>
          <t>R00673</t>
        </is>
      </c>
      <c r="C677" s="5" t="inlineStr">
        <is>
          <t>MTR-CTW-004</t>
        </is>
      </c>
      <c r="D677" s="5" t="inlineStr">
        <is>
          <t>Cooling Tower</t>
        </is>
      </c>
      <c r="E677" s="5" t="inlineStr">
        <is>
          <t>Cooling Tower Cell 2</t>
        </is>
      </c>
      <c r="F677" s="5" t="inlineStr">
        <is>
          <t>2024-11-03 08:00</t>
        </is>
      </c>
      <c r="G677" s="11" t="n">
        <v>3118.33</v>
      </c>
      <c r="H677" s="5" t="inlineStr">
        <is>
          <t>m3</t>
        </is>
      </c>
      <c r="I677" s="5" t="inlineStr">
        <is>
          <t>cumulative</t>
        </is>
      </c>
      <c r="J677" s="5" t="inlineStr">
        <is>
          <t>IJ</t>
        </is>
      </c>
      <c r="K677" s="5" t="inlineStr"/>
      <c r="L677" s="7">
        <f>IFERROR(IF(F677&lt;F676,"NEGATIVE",ROUND(F677-F676,2)),"")</f>
        <v/>
      </c>
    </row>
    <row r="678" ht="22" customHeight="1">
      <c r="B678" s="8" t="inlineStr">
        <is>
          <t>R00674</t>
        </is>
      </c>
      <c r="C678" s="8" t="inlineStr">
        <is>
          <t>MTR-CTW-004</t>
        </is>
      </c>
      <c r="D678" s="8" t="inlineStr">
        <is>
          <t>Cooling Tower</t>
        </is>
      </c>
      <c r="E678" s="8" t="inlineStr">
        <is>
          <t>Cooling Tower Cell 2</t>
        </is>
      </c>
      <c r="F678" s="8" t="inlineStr">
        <is>
          <t>2024-11-04 08:00</t>
        </is>
      </c>
      <c r="G678" s="12" t="n">
        <v>3152.36</v>
      </c>
      <c r="H678" s="8" t="inlineStr">
        <is>
          <t>m3</t>
        </is>
      </c>
      <c r="I678" s="8" t="inlineStr">
        <is>
          <t>cumulative</t>
        </is>
      </c>
      <c r="J678" s="8" t="inlineStr">
        <is>
          <t>KL</t>
        </is>
      </c>
      <c r="K678" s="8" t="inlineStr"/>
      <c r="L678" s="10">
        <f>IFERROR(IF(F678&lt;F677,"NEGATIVE",ROUND(F678-F677,2)),"")</f>
        <v/>
      </c>
    </row>
    <row r="679" ht="22" customHeight="1">
      <c r="B679" s="5" t="inlineStr">
        <is>
          <t>R00675</t>
        </is>
      </c>
      <c r="C679" s="5" t="inlineStr">
        <is>
          <t>MTR-CTW-004</t>
        </is>
      </c>
      <c r="D679" s="5" t="inlineStr">
        <is>
          <t>Cooling Tower</t>
        </is>
      </c>
      <c r="E679" s="5" t="inlineStr">
        <is>
          <t>Cooling Tower Cell 2</t>
        </is>
      </c>
      <c r="F679" s="5" t="inlineStr">
        <is>
          <t>2024-11-05 08:00</t>
        </is>
      </c>
      <c r="G679" s="11" t="n">
        <v>3190.12</v>
      </c>
      <c r="H679" s="5" t="inlineStr">
        <is>
          <t>m3</t>
        </is>
      </c>
      <c r="I679" s="5" t="inlineStr">
        <is>
          <t>cumulative</t>
        </is>
      </c>
      <c r="J679" s="5" t="inlineStr">
        <is>
          <t>EF</t>
        </is>
      </c>
      <c r="K679" s="5" t="inlineStr"/>
      <c r="L679" s="7">
        <f>IFERROR(IF(F679&lt;F678,"NEGATIVE",ROUND(F679-F678,2)),"")</f>
        <v/>
      </c>
    </row>
    <row r="680" ht="22" customHeight="1">
      <c r="B680" s="8" t="inlineStr">
        <is>
          <t>R00676</t>
        </is>
      </c>
      <c r="C680" s="8" t="inlineStr">
        <is>
          <t>MTR-CTW-004</t>
        </is>
      </c>
      <c r="D680" s="8" t="inlineStr">
        <is>
          <t>Cooling Tower</t>
        </is>
      </c>
      <c r="E680" s="8" t="inlineStr">
        <is>
          <t>Cooling Tower Cell 2</t>
        </is>
      </c>
      <c r="F680" s="8" t="inlineStr">
        <is>
          <t>2024-11-06 08:00</t>
        </is>
      </c>
      <c r="G680" s="12" t="n">
        <v>3224.96</v>
      </c>
      <c r="H680" s="8" t="inlineStr">
        <is>
          <t>m3</t>
        </is>
      </c>
      <c r="I680" s="8" t="inlineStr">
        <is>
          <t>cumulative</t>
        </is>
      </c>
      <c r="J680" s="8" t="inlineStr">
        <is>
          <t>IJ</t>
        </is>
      </c>
      <c r="K680" s="8" t="inlineStr"/>
      <c r="L680" s="10">
        <f>IFERROR(IF(F680&lt;F679,"NEGATIVE",ROUND(F680-F679,2)),"")</f>
        <v/>
      </c>
    </row>
    <row r="681" ht="22" customHeight="1">
      <c r="B681" s="5" t="inlineStr">
        <is>
          <t>R00677</t>
        </is>
      </c>
      <c r="C681" s="5" t="inlineStr">
        <is>
          <t>MTR-CTW-004</t>
        </is>
      </c>
      <c r="D681" s="5" t="inlineStr">
        <is>
          <t>Cooling Tower</t>
        </is>
      </c>
      <c r="E681" s="5" t="inlineStr">
        <is>
          <t>Cooling Tower Cell 2</t>
        </is>
      </c>
      <c r="F681" s="5" t="inlineStr">
        <is>
          <t>2024-11-07 08:00</t>
        </is>
      </c>
      <c r="G681" s="11" t="n">
        <v>3262.55</v>
      </c>
      <c r="H681" s="5" t="inlineStr">
        <is>
          <t>m3</t>
        </is>
      </c>
      <c r="I681" s="5" t="inlineStr">
        <is>
          <t>cumulative</t>
        </is>
      </c>
      <c r="J681" s="5" t="inlineStr">
        <is>
          <t>GH</t>
        </is>
      </c>
      <c r="K681" s="5" t="inlineStr"/>
      <c r="L681" s="7">
        <f>IFERROR(IF(F681&lt;F680,"NEGATIVE",ROUND(F681-F680,2)),"")</f>
        <v/>
      </c>
    </row>
    <row r="682" ht="22" customHeight="1">
      <c r="B682" s="8" t="inlineStr">
        <is>
          <t>R00678</t>
        </is>
      </c>
      <c r="C682" s="8" t="inlineStr">
        <is>
          <t>MTR-CTW-004</t>
        </is>
      </c>
      <c r="D682" s="8" t="inlineStr">
        <is>
          <t>Cooling Tower</t>
        </is>
      </c>
      <c r="E682" s="8" t="inlineStr">
        <is>
          <t>Cooling Tower Cell 2</t>
        </is>
      </c>
      <c r="F682" s="8" t="inlineStr">
        <is>
          <t>2024-11-08 08:00</t>
        </is>
      </c>
      <c r="G682" s="12" t="n">
        <v>3306.06</v>
      </c>
      <c r="H682" s="8" t="inlineStr">
        <is>
          <t>m3</t>
        </is>
      </c>
      <c r="I682" s="8" t="inlineStr">
        <is>
          <t>cumulative</t>
        </is>
      </c>
      <c r="J682" s="8" t="inlineStr">
        <is>
          <t>EF</t>
        </is>
      </c>
      <c r="K682" s="8" t="inlineStr"/>
      <c r="L682" s="10">
        <f>IFERROR(IF(F682&lt;F681,"NEGATIVE",ROUND(F682-F681,2)),"")</f>
        <v/>
      </c>
    </row>
    <row r="683" ht="22" customHeight="1">
      <c r="B683" s="5" t="inlineStr">
        <is>
          <t>R00679</t>
        </is>
      </c>
      <c r="C683" s="5" t="inlineStr">
        <is>
          <t>MTR-CTW-004</t>
        </is>
      </c>
      <c r="D683" s="5" t="inlineStr">
        <is>
          <t>Cooling Tower</t>
        </is>
      </c>
      <c r="E683" s="5" t="inlineStr">
        <is>
          <t>Cooling Tower Cell 2</t>
        </is>
      </c>
      <c r="F683" s="5" t="inlineStr">
        <is>
          <t>2024-11-09 08:00</t>
        </is>
      </c>
      <c r="G683" s="11" t="n">
        <v>3340.98</v>
      </c>
      <c r="H683" s="5" t="inlineStr">
        <is>
          <t>m3</t>
        </is>
      </c>
      <c r="I683" s="5" t="inlineStr">
        <is>
          <t>cumulative</t>
        </is>
      </c>
      <c r="J683" s="5" t="inlineStr">
        <is>
          <t>KL</t>
        </is>
      </c>
      <c r="K683" s="5" t="inlineStr"/>
      <c r="L683" s="7">
        <f>IFERROR(IF(F683&lt;F682,"NEGATIVE",ROUND(F683-F682,2)),"")</f>
        <v/>
      </c>
    </row>
    <row r="684" ht="22" customHeight="1">
      <c r="B684" s="8" t="inlineStr">
        <is>
          <t>R00680</t>
        </is>
      </c>
      <c r="C684" s="8" t="inlineStr">
        <is>
          <t>MTR-CTW-004</t>
        </is>
      </c>
      <c r="D684" s="8" t="inlineStr">
        <is>
          <t>Cooling Tower</t>
        </is>
      </c>
      <c r="E684" s="8" t="inlineStr">
        <is>
          <t>Cooling Tower Cell 2</t>
        </is>
      </c>
      <c r="F684" s="8" t="inlineStr">
        <is>
          <t>2024-11-10 08:00</t>
        </is>
      </c>
      <c r="G684" s="12" t="n">
        <v>3359.47</v>
      </c>
      <c r="H684" s="8" t="inlineStr">
        <is>
          <t>m3</t>
        </is>
      </c>
      <c r="I684" s="8" t="inlineStr">
        <is>
          <t>cumulative</t>
        </is>
      </c>
      <c r="J684" s="8" t="inlineStr">
        <is>
          <t>CD</t>
        </is>
      </c>
      <c r="K684" s="8" t="inlineStr"/>
      <c r="L684" s="10">
        <f>IFERROR(IF(F684&lt;F683,"NEGATIVE",ROUND(F684-F683,2)),"")</f>
        <v/>
      </c>
    </row>
    <row r="685" ht="22" customHeight="1">
      <c r="B685" s="5" t="inlineStr">
        <is>
          <t>R00681</t>
        </is>
      </c>
      <c r="C685" s="5" t="inlineStr">
        <is>
          <t>MTR-CTW-004</t>
        </is>
      </c>
      <c r="D685" s="5" t="inlineStr">
        <is>
          <t>Cooling Tower</t>
        </is>
      </c>
      <c r="E685" s="5" t="inlineStr">
        <is>
          <t>Cooling Tower Cell 2</t>
        </is>
      </c>
      <c r="F685" s="5" t="inlineStr">
        <is>
          <t>2024-11-11 08:00</t>
        </is>
      </c>
      <c r="G685" s="11" t="n">
        <v>3398.5</v>
      </c>
      <c r="H685" s="5" t="inlineStr">
        <is>
          <t>m3</t>
        </is>
      </c>
      <c r="I685" s="5" t="inlineStr">
        <is>
          <t>cumulative</t>
        </is>
      </c>
      <c r="J685" s="5" t="inlineStr">
        <is>
          <t>CD</t>
        </is>
      </c>
      <c r="K685" s="5" t="inlineStr"/>
      <c r="L685" s="7">
        <f>IFERROR(IF(F685&lt;F684,"NEGATIVE",ROUND(F685-F684,2)),"")</f>
        <v/>
      </c>
    </row>
    <row r="686" ht="22" customHeight="1">
      <c r="B686" s="8" t="inlineStr">
        <is>
          <t>R00682</t>
        </is>
      </c>
      <c r="C686" s="8" t="inlineStr">
        <is>
          <t>MTR-CTW-004</t>
        </is>
      </c>
      <c r="D686" s="8" t="inlineStr">
        <is>
          <t>Cooling Tower</t>
        </is>
      </c>
      <c r="E686" s="8" t="inlineStr">
        <is>
          <t>Cooling Tower Cell 2</t>
        </is>
      </c>
      <c r="F686" s="8" t="inlineStr">
        <is>
          <t>2024-11-12 08:00</t>
        </is>
      </c>
      <c r="G686" s="12" t="n">
        <v>3442.34</v>
      </c>
      <c r="H686" s="8" t="inlineStr">
        <is>
          <t>m3</t>
        </is>
      </c>
      <c r="I686" s="8" t="inlineStr">
        <is>
          <t>cumulative</t>
        </is>
      </c>
      <c r="J686" s="8" t="inlineStr">
        <is>
          <t>KL</t>
        </is>
      </c>
      <c r="K686" s="8" t="inlineStr"/>
      <c r="L686" s="10">
        <f>IFERROR(IF(F686&lt;F685,"NEGATIVE",ROUND(F686-F685,2)),"")</f>
        <v/>
      </c>
    </row>
    <row r="687" ht="22" customHeight="1">
      <c r="B687" s="5" t="inlineStr">
        <is>
          <t>R00683</t>
        </is>
      </c>
      <c r="C687" s="5" t="inlineStr">
        <is>
          <t>MTR-CTW-004</t>
        </is>
      </c>
      <c r="D687" s="5" t="inlineStr">
        <is>
          <t>Cooling Tower</t>
        </is>
      </c>
      <c r="E687" s="5" t="inlineStr">
        <is>
          <t>Cooling Tower Cell 2</t>
        </is>
      </c>
      <c r="F687" s="5" t="inlineStr">
        <is>
          <t>2024-11-13 08:00</t>
        </is>
      </c>
      <c r="G687" s="11" t="n">
        <v>3480.67</v>
      </c>
      <c r="H687" s="5" t="inlineStr">
        <is>
          <t>m3</t>
        </is>
      </c>
      <c r="I687" s="5" t="inlineStr">
        <is>
          <t>cumulative</t>
        </is>
      </c>
      <c r="J687" s="5" t="inlineStr">
        <is>
          <t>GH</t>
        </is>
      </c>
      <c r="K687" s="5" t="inlineStr"/>
      <c r="L687" s="7">
        <f>IFERROR(IF(F687&lt;F686,"NEGATIVE",ROUND(F687-F686,2)),"")</f>
        <v/>
      </c>
    </row>
    <row r="688" ht="22" customHeight="1">
      <c r="B688" s="8" t="inlineStr">
        <is>
          <t>R00684</t>
        </is>
      </c>
      <c r="C688" s="8" t="inlineStr">
        <is>
          <t>MTR-CTW-004</t>
        </is>
      </c>
      <c r="D688" s="8" t="inlineStr">
        <is>
          <t>Cooling Tower</t>
        </is>
      </c>
      <c r="E688" s="8" t="inlineStr">
        <is>
          <t>Cooling Tower Cell 2</t>
        </is>
      </c>
      <c r="F688" s="8" t="inlineStr">
        <is>
          <t>2024-11-14 08:00</t>
        </is>
      </c>
      <c r="G688" s="12" t="n">
        <v>3523.76</v>
      </c>
      <c r="H688" s="8" t="inlineStr">
        <is>
          <t>m3</t>
        </is>
      </c>
      <c r="I688" s="8" t="inlineStr">
        <is>
          <t>cumulative</t>
        </is>
      </c>
      <c r="J688" s="8" t="inlineStr">
        <is>
          <t>CD</t>
        </is>
      </c>
      <c r="K688" s="8" t="inlineStr"/>
      <c r="L688" s="10">
        <f>IFERROR(IF(F688&lt;F687,"NEGATIVE",ROUND(F688-F687,2)),"")</f>
        <v/>
      </c>
    </row>
    <row r="689" ht="22" customHeight="1">
      <c r="B689" s="5" t="inlineStr">
        <is>
          <t>R00685</t>
        </is>
      </c>
      <c r="C689" s="5" t="inlineStr">
        <is>
          <t>MTR-CTW-004</t>
        </is>
      </c>
      <c r="D689" s="5" t="inlineStr">
        <is>
          <t>Cooling Tower</t>
        </is>
      </c>
      <c r="E689" s="5" t="inlineStr">
        <is>
          <t>Cooling Tower Cell 2</t>
        </is>
      </c>
      <c r="F689" s="5" t="inlineStr">
        <is>
          <t>2024-11-15 08:00</t>
        </is>
      </c>
      <c r="G689" s="11" t="n">
        <v>3564.44</v>
      </c>
      <c r="H689" s="5" t="inlineStr">
        <is>
          <t>m3</t>
        </is>
      </c>
      <c r="I689" s="5" t="inlineStr">
        <is>
          <t>cumulative</t>
        </is>
      </c>
      <c r="J689" s="5" t="inlineStr">
        <is>
          <t>IJ</t>
        </is>
      </c>
      <c r="K689" s="5" t="inlineStr"/>
      <c r="L689" s="7">
        <f>IFERROR(IF(F689&lt;F688,"NEGATIVE",ROUND(F689-F688,2)),"")</f>
        <v/>
      </c>
    </row>
    <row r="690" ht="22" customHeight="1">
      <c r="B690" s="8" t="inlineStr">
        <is>
          <t>R00686</t>
        </is>
      </c>
      <c r="C690" s="8" t="inlineStr">
        <is>
          <t>MTR-CTW-004</t>
        </is>
      </c>
      <c r="D690" s="8" t="inlineStr">
        <is>
          <t>Cooling Tower</t>
        </is>
      </c>
      <c r="E690" s="8" t="inlineStr">
        <is>
          <t>Cooling Tower Cell 2</t>
        </is>
      </c>
      <c r="F690" s="8" t="inlineStr">
        <is>
          <t>2024-11-16 08:00</t>
        </is>
      </c>
      <c r="G690" s="12" t="n">
        <v>3595.59</v>
      </c>
      <c r="H690" s="8" t="inlineStr">
        <is>
          <t>m3</t>
        </is>
      </c>
      <c r="I690" s="8" t="inlineStr">
        <is>
          <t>cumulative</t>
        </is>
      </c>
      <c r="J690" s="8" t="inlineStr">
        <is>
          <t>CD</t>
        </is>
      </c>
      <c r="K690" s="8" t="inlineStr"/>
      <c r="L690" s="10">
        <f>IFERROR(IF(F690&lt;F689,"NEGATIVE",ROUND(F690-F689,2)),"")</f>
        <v/>
      </c>
    </row>
    <row r="691" ht="22" customHeight="1">
      <c r="B691" s="5" t="inlineStr">
        <is>
          <t>R00687</t>
        </is>
      </c>
      <c r="C691" s="5" t="inlineStr">
        <is>
          <t>MTR-CTW-004</t>
        </is>
      </c>
      <c r="D691" s="5" t="inlineStr">
        <is>
          <t>Cooling Tower</t>
        </is>
      </c>
      <c r="E691" s="5" t="inlineStr">
        <is>
          <t>Cooling Tower Cell 2</t>
        </is>
      </c>
      <c r="F691" s="5" t="inlineStr">
        <is>
          <t>2024-11-17 08:00</t>
        </is>
      </c>
      <c r="G691" s="11" t="n">
        <v>3616.37</v>
      </c>
      <c r="H691" s="5" t="inlineStr">
        <is>
          <t>m3</t>
        </is>
      </c>
      <c r="I691" s="5" t="inlineStr">
        <is>
          <t>cumulative</t>
        </is>
      </c>
      <c r="J691" s="5" t="inlineStr">
        <is>
          <t>IJ</t>
        </is>
      </c>
      <c r="K691" s="5" t="inlineStr"/>
      <c r="L691" s="7">
        <f>IFERROR(IF(F691&lt;F690,"NEGATIVE",ROUND(F691-F690,2)),"")</f>
        <v/>
      </c>
    </row>
    <row r="692" ht="22" customHeight="1">
      <c r="B692" s="8" t="inlineStr">
        <is>
          <t>R00688</t>
        </is>
      </c>
      <c r="C692" s="8" t="inlineStr">
        <is>
          <t>MTR-CTW-004</t>
        </is>
      </c>
      <c r="D692" s="8" t="inlineStr">
        <is>
          <t>Cooling Tower</t>
        </is>
      </c>
      <c r="E692" s="8" t="inlineStr">
        <is>
          <t>Cooling Tower Cell 2</t>
        </is>
      </c>
      <c r="F692" s="8" t="inlineStr">
        <is>
          <t>2024-11-18 08:00</t>
        </is>
      </c>
      <c r="G692" s="12" t="n">
        <v>3660.61</v>
      </c>
      <c r="H692" s="8" t="inlineStr">
        <is>
          <t>m3</t>
        </is>
      </c>
      <c r="I692" s="8" t="inlineStr">
        <is>
          <t>cumulative</t>
        </is>
      </c>
      <c r="J692" s="8" t="inlineStr">
        <is>
          <t>KL</t>
        </is>
      </c>
      <c r="K692" s="8" t="inlineStr"/>
      <c r="L692" s="10">
        <f>IFERROR(IF(F692&lt;F691,"NEGATIVE",ROUND(F692-F691,2)),"")</f>
        <v/>
      </c>
    </row>
    <row r="693" ht="22" customHeight="1">
      <c r="B693" s="5" t="inlineStr">
        <is>
          <t>R00689</t>
        </is>
      </c>
      <c r="C693" s="5" t="inlineStr">
        <is>
          <t>MTR-CTW-004</t>
        </is>
      </c>
      <c r="D693" s="5" t="inlineStr">
        <is>
          <t>Cooling Tower</t>
        </is>
      </c>
      <c r="E693" s="5" t="inlineStr">
        <is>
          <t>Cooling Tower Cell 2</t>
        </is>
      </c>
      <c r="F693" s="5" t="inlineStr">
        <is>
          <t>2024-11-19 08:00</t>
        </is>
      </c>
      <c r="G693" s="11" t="n">
        <v>3694.02</v>
      </c>
      <c r="H693" s="5" t="inlineStr">
        <is>
          <t>m3</t>
        </is>
      </c>
      <c r="I693" s="5" t="inlineStr">
        <is>
          <t>cumulative</t>
        </is>
      </c>
      <c r="J693" s="5" t="inlineStr">
        <is>
          <t>GH</t>
        </is>
      </c>
      <c r="K693" s="5" t="inlineStr"/>
      <c r="L693" s="7">
        <f>IFERROR(IF(F693&lt;F692,"NEGATIVE",ROUND(F693-F692,2)),"")</f>
        <v/>
      </c>
    </row>
    <row r="694" ht="22" customHeight="1">
      <c r="B694" s="8" t="inlineStr">
        <is>
          <t>R00690</t>
        </is>
      </c>
      <c r="C694" s="8" t="inlineStr">
        <is>
          <t>MTR-CTW-004</t>
        </is>
      </c>
      <c r="D694" s="8" t="inlineStr">
        <is>
          <t>Cooling Tower</t>
        </is>
      </c>
      <c r="E694" s="8" t="inlineStr">
        <is>
          <t>Cooling Tower Cell 2</t>
        </is>
      </c>
      <c r="F694" s="8" t="inlineStr">
        <is>
          <t>2024-11-20 08:00</t>
        </is>
      </c>
      <c r="G694" s="12" t="n">
        <v>3735.62</v>
      </c>
      <c r="H694" s="8" t="inlineStr">
        <is>
          <t>m3</t>
        </is>
      </c>
      <c r="I694" s="8" t="inlineStr">
        <is>
          <t>cumulative</t>
        </is>
      </c>
      <c r="J694" s="8" t="inlineStr">
        <is>
          <t>CD</t>
        </is>
      </c>
      <c r="K694" s="8" t="inlineStr"/>
      <c r="L694" s="10">
        <f>IFERROR(IF(F694&lt;F693,"NEGATIVE",ROUND(F694-F693,2)),"")</f>
        <v/>
      </c>
    </row>
    <row r="695" ht="22" customHeight="1">
      <c r="B695" s="5" t="inlineStr">
        <is>
          <t>R00691</t>
        </is>
      </c>
      <c r="C695" s="5" t="inlineStr">
        <is>
          <t>MTR-CTW-004</t>
        </is>
      </c>
      <c r="D695" s="5" t="inlineStr">
        <is>
          <t>Cooling Tower</t>
        </is>
      </c>
      <c r="E695" s="5" t="inlineStr">
        <is>
          <t>Cooling Tower Cell 2</t>
        </is>
      </c>
      <c r="F695" s="5" t="inlineStr">
        <is>
          <t>2024-11-21 08:00</t>
        </is>
      </c>
      <c r="G695" s="11" t="n">
        <v>3772.17</v>
      </c>
      <c r="H695" s="5" t="inlineStr">
        <is>
          <t>m3</t>
        </is>
      </c>
      <c r="I695" s="5" t="inlineStr">
        <is>
          <t>cumulative</t>
        </is>
      </c>
      <c r="J695" s="5" t="inlineStr">
        <is>
          <t>GH</t>
        </is>
      </c>
      <c r="K695" s="5" t="inlineStr"/>
      <c r="L695" s="7">
        <f>IFERROR(IF(F695&lt;F694,"NEGATIVE",ROUND(F695-F694,2)),"")</f>
        <v/>
      </c>
    </row>
    <row r="696" ht="22" customHeight="1">
      <c r="B696" s="8" t="inlineStr">
        <is>
          <t>R00692</t>
        </is>
      </c>
      <c r="C696" s="8" t="inlineStr">
        <is>
          <t>MTR-CTW-004</t>
        </is>
      </c>
      <c r="D696" s="8" t="inlineStr">
        <is>
          <t>Cooling Tower</t>
        </is>
      </c>
      <c r="E696" s="8" t="inlineStr">
        <is>
          <t>Cooling Tower Cell 2</t>
        </is>
      </c>
      <c r="F696" s="8" t="inlineStr">
        <is>
          <t>2024-11-22 08:00</t>
        </is>
      </c>
      <c r="G696" s="12" t="n">
        <v>3809.43</v>
      </c>
      <c r="H696" s="8" t="inlineStr">
        <is>
          <t>m3</t>
        </is>
      </c>
      <c r="I696" s="8" t="inlineStr">
        <is>
          <t>cumulative</t>
        </is>
      </c>
      <c r="J696" s="8" t="inlineStr">
        <is>
          <t>KL</t>
        </is>
      </c>
      <c r="K696" s="8" t="inlineStr"/>
      <c r="L696" s="10">
        <f>IFERROR(IF(F696&lt;F695,"NEGATIVE",ROUND(F696-F695,2)),"")</f>
        <v/>
      </c>
    </row>
    <row r="697" ht="22" customHeight="1">
      <c r="B697" s="5" t="inlineStr">
        <is>
          <t>R00693</t>
        </is>
      </c>
      <c r="C697" s="5" t="inlineStr">
        <is>
          <t>MTR-CTW-004</t>
        </is>
      </c>
      <c r="D697" s="5" t="inlineStr">
        <is>
          <t>Cooling Tower</t>
        </is>
      </c>
      <c r="E697" s="5" t="inlineStr">
        <is>
          <t>Cooling Tower Cell 2</t>
        </is>
      </c>
      <c r="F697" s="5" t="inlineStr">
        <is>
          <t>2024-11-23 08:00</t>
        </is>
      </c>
      <c r="G697" s="11" t="n">
        <v>3841.76</v>
      </c>
      <c r="H697" s="5" t="inlineStr">
        <is>
          <t>m3</t>
        </is>
      </c>
      <c r="I697" s="5" t="inlineStr">
        <is>
          <t>cumulative</t>
        </is>
      </c>
      <c r="J697" s="5" t="inlineStr">
        <is>
          <t>IJ</t>
        </is>
      </c>
      <c r="K697" s="5" t="inlineStr"/>
      <c r="L697" s="7">
        <f>IFERROR(IF(F697&lt;F696,"NEGATIVE",ROUND(F697-F696,2)),"")</f>
        <v/>
      </c>
    </row>
    <row r="698" ht="22" customHeight="1">
      <c r="B698" s="8" t="inlineStr">
        <is>
          <t>R00694</t>
        </is>
      </c>
      <c r="C698" s="8" t="inlineStr">
        <is>
          <t>MTR-CTW-004</t>
        </is>
      </c>
      <c r="D698" s="8" t="inlineStr">
        <is>
          <t>Cooling Tower</t>
        </is>
      </c>
      <c r="E698" s="8" t="inlineStr">
        <is>
          <t>Cooling Tower Cell 2</t>
        </is>
      </c>
      <c r="F698" s="8" t="inlineStr">
        <is>
          <t>2024-11-24 08:00</t>
        </is>
      </c>
      <c r="G698" s="12" t="n">
        <v>3861.2</v>
      </c>
      <c r="H698" s="8" t="inlineStr">
        <is>
          <t>m3</t>
        </is>
      </c>
      <c r="I698" s="8" t="inlineStr">
        <is>
          <t>cumulative</t>
        </is>
      </c>
      <c r="J698" s="8" t="inlineStr">
        <is>
          <t>IJ</t>
        </is>
      </c>
      <c r="K698" s="8" t="inlineStr"/>
      <c r="L698" s="10">
        <f>IFERROR(IF(F698&lt;F697,"NEGATIVE",ROUND(F698-F697,2)),"")</f>
        <v/>
      </c>
    </row>
    <row r="699" ht="22" customHeight="1">
      <c r="B699" s="5" t="inlineStr">
        <is>
          <t>R00695</t>
        </is>
      </c>
      <c r="C699" s="5" t="inlineStr">
        <is>
          <t>MTR-CTW-004</t>
        </is>
      </c>
      <c r="D699" s="5" t="inlineStr">
        <is>
          <t>Cooling Tower</t>
        </is>
      </c>
      <c r="E699" s="5" t="inlineStr">
        <is>
          <t>Cooling Tower Cell 2</t>
        </is>
      </c>
      <c r="F699" s="5" t="inlineStr">
        <is>
          <t>2024-11-25 08:00</t>
        </is>
      </c>
      <c r="G699" s="11" t="n">
        <v>3901.73</v>
      </c>
      <c r="H699" s="5" t="inlineStr">
        <is>
          <t>m3</t>
        </is>
      </c>
      <c r="I699" s="5" t="inlineStr">
        <is>
          <t>cumulative</t>
        </is>
      </c>
      <c r="J699" s="5" t="inlineStr">
        <is>
          <t>AB</t>
        </is>
      </c>
      <c r="K699" s="5" t="inlineStr"/>
      <c r="L699" s="7">
        <f>IFERROR(IF(F699&lt;F698,"NEGATIVE",ROUND(F699-F698,2)),"")</f>
        <v/>
      </c>
    </row>
    <row r="700" ht="22" customHeight="1">
      <c r="B700" s="8" t="inlineStr">
        <is>
          <t>R00696</t>
        </is>
      </c>
      <c r="C700" s="8" t="inlineStr">
        <is>
          <t>MTR-CTW-004</t>
        </is>
      </c>
      <c r="D700" s="8" t="inlineStr">
        <is>
          <t>Cooling Tower</t>
        </is>
      </c>
      <c r="E700" s="8" t="inlineStr">
        <is>
          <t>Cooling Tower Cell 2</t>
        </is>
      </c>
      <c r="F700" s="8" t="inlineStr">
        <is>
          <t>2024-11-26 08:00</t>
        </is>
      </c>
      <c r="G700" s="12" t="n">
        <v>3942.25</v>
      </c>
      <c r="H700" s="8" t="inlineStr">
        <is>
          <t>m3</t>
        </is>
      </c>
      <c r="I700" s="8" t="inlineStr">
        <is>
          <t>cumulative</t>
        </is>
      </c>
      <c r="J700" s="8" t="inlineStr">
        <is>
          <t>GH</t>
        </is>
      </c>
      <c r="K700" s="8" t="inlineStr"/>
      <c r="L700" s="10">
        <f>IFERROR(IF(F700&lt;F699,"NEGATIVE",ROUND(F700-F699,2)),"")</f>
        <v/>
      </c>
    </row>
    <row r="701" ht="22" customHeight="1">
      <c r="B701" s="5" t="inlineStr">
        <is>
          <t>R00697</t>
        </is>
      </c>
      <c r="C701" s="5" t="inlineStr">
        <is>
          <t>MTR-CTW-004</t>
        </is>
      </c>
      <c r="D701" s="5" t="inlineStr">
        <is>
          <t>Cooling Tower</t>
        </is>
      </c>
      <c r="E701" s="5" t="inlineStr">
        <is>
          <t>Cooling Tower Cell 2</t>
        </is>
      </c>
      <c r="F701" s="5" t="inlineStr">
        <is>
          <t>2024-11-27 08:00</t>
        </is>
      </c>
      <c r="G701" s="11" t="n">
        <v>3977.59</v>
      </c>
      <c r="H701" s="5" t="inlineStr">
        <is>
          <t>m3</t>
        </is>
      </c>
      <c r="I701" s="5" t="inlineStr">
        <is>
          <t>cumulative</t>
        </is>
      </c>
      <c r="J701" s="5" t="inlineStr">
        <is>
          <t>KL</t>
        </is>
      </c>
      <c r="K701" s="5" t="inlineStr"/>
      <c r="L701" s="7">
        <f>IFERROR(IF(F701&lt;F700,"NEGATIVE",ROUND(F701-F700,2)),"")</f>
        <v/>
      </c>
    </row>
    <row r="702" ht="22" customHeight="1">
      <c r="B702" s="8" t="inlineStr">
        <is>
          <t>R00698</t>
        </is>
      </c>
      <c r="C702" s="8" t="inlineStr">
        <is>
          <t>MTR-CTW-004</t>
        </is>
      </c>
      <c r="D702" s="8" t="inlineStr">
        <is>
          <t>Cooling Tower</t>
        </is>
      </c>
      <c r="E702" s="8" t="inlineStr">
        <is>
          <t>Cooling Tower Cell 2</t>
        </is>
      </c>
      <c r="F702" s="8" t="inlineStr">
        <is>
          <t>2024-11-28 08:00</t>
        </is>
      </c>
      <c r="G702" s="12" t="n">
        <v>4012.65</v>
      </c>
      <c r="H702" s="8" t="inlineStr">
        <is>
          <t>m3</t>
        </is>
      </c>
      <c r="I702" s="8" t="inlineStr">
        <is>
          <t>cumulative</t>
        </is>
      </c>
      <c r="J702" s="8" t="inlineStr">
        <is>
          <t>AB</t>
        </is>
      </c>
      <c r="K702" s="8" t="inlineStr"/>
      <c r="L702" s="10">
        <f>IFERROR(IF(F702&lt;F701,"NEGATIVE",ROUND(F702-F701,2)),"")</f>
        <v/>
      </c>
    </row>
    <row r="703" ht="22" customHeight="1">
      <c r="B703" s="5" t="inlineStr">
        <is>
          <t>R00699</t>
        </is>
      </c>
      <c r="C703" s="5" t="inlineStr">
        <is>
          <t>MTR-CTW-004</t>
        </is>
      </c>
      <c r="D703" s="5" t="inlineStr">
        <is>
          <t>Cooling Tower</t>
        </is>
      </c>
      <c r="E703" s="5" t="inlineStr">
        <is>
          <t>Cooling Tower Cell 2</t>
        </is>
      </c>
      <c r="F703" s="5" t="inlineStr">
        <is>
          <t>2024-11-29 08:00</t>
        </is>
      </c>
      <c r="G703" s="11" t="n">
        <v>4057.4</v>
      </c>
      <c r="H703" s="5" t="inlineStr">
        <is>
          <t>m3</t>
        </is>
      </c>
      <c r="I703" s="5" t="inlineStr">
        <is>
          <t>cumulative</t>
        </is>
      </c>
      <c r="J703" s="5" t="inlineStr">
        <is>
          <t>GH</t>
        </is>
      </c>
      <c r="K703" s="5" t="inlineStr"/>
      <c r="L703" s="7">
        <f>IFERROR(IF(F703&lt;F702,"NEGATIVE",ROUND(F703-F702,2)),"")</f>
        <v/>
      </c>
    </row>
    <row r="704" ht="22" customHeight="1">
      <c r="B704" s="8" t="inlineStr">
        <is>
          <t>R00700</t>
        </is>
      </c>
      <c r="C704" s="8" t="inlineStr">
        <is>
          <t>MTR-CTW-004</t>
        </is>
      </c>
      <c r="D704" s="8" t="inlineStr">
        <is>
          <t>Cooling Tower</t>
        </is>
      </c>
      <c r="E704" s="8" t="inlineStr">
        <is>
          <t>Cooling Tower Cell 2</t>
        </is>
      </c>
      <c r="F704" s="8" t="inlineStr">
        <is>
          <t>2024-11-30 08:00</t>
        </is>
      </c>
      <c r="G704" s="12" t="n">
        <v>4089.78</v>
      </c>
      <c r="H704" s="8" t="inlineStr">
        <is>
          <t>m3</t>
        </is>
      </c>
      <c r="I704" s="8" t="inlineStr">
        <is>
          <t>cumulative</t>
        </is>
      </c>
      <c r="J704" s="8" t="inlineStr">
        <is>
          <t>CD</t>
        </is>
      </c>
      <c r="K704" s="8" t="inlineStr"/>
      <c r="L704" s="10">
        <f>IFERROR(IF(F704&lt;F703,"NEGATIVE",ROUND(F704-F703,2)),"")</f>
        <v/>
      </c>
    </row>
    <row r="705" ht="22" customHeight="1">
      <c r="B705" s="5" t="inlineStr">
        <is>
          <t>R00701</t>
        </is>
      </c>
      <c r="C705" s="5" t="inlineStr">
        <is>
          <t>MTR-CTW-004</t>
        </is>
      </c>
      <c r="D705" s="5" t="inlineStr">
        <is>
          <t>Cooling Tower</t>
        </is>
      </c>
      <c r="E705" s="5" t="inlineStr">
        <is>
          <t>Cooling Tower Cell 2</t>
        </is>
      </c>
      <c r="F705" s="5" t="inlineStr">
        <is>
          <t>2024-12-01 08:00</t>
        </is>
      </c>
      <c r="G705" s="11" t="n">
        <v>4112.55</v>
      </c>
      <c r="H705" s="5" t="inlineStr">
        <is>
          <t>m3</t>
        </is>
      </c>
      <c r="I705" s="5" t="inlineStr">
        <is>
          <t>cumulative</t>
        </is>
      </c>
      <c r="J705" s="5" t="inlineStr">
        <is>
          <t>KL</t>
        </is>
      </c>
      <c r="K705" s="5" t="inlineStr"/>
      <c r="L705" s="7">
        <f>IFERROR(IF(F705&lt;F704,"NEGATIVE",ROUND(F705-F704,2)),"")</f>
        <v/>
      </c>
    </row>
    <row r="706" ht="22" customHeight="1">
      <c r="B706" s="8" t="inlineStr">
        <is>
          <t>R00702</t>
        </is>
      </c>
      <c r="C706" s="8" t="inlineStr">
        <is>
          <t>MTR-CTW-004</t>
        </is>
      </c>
      <c r="D706" s="8" t="inlineStr">
        <is>
          <t>Cooling Tower</t>
        </is>
      </c>
      <c r="E706" s="8" t="inlineStr">
        <is>
          <t>Cooling Tower Cell 2</t>
        </is>
      </c>
      <c r="F706" s="8" t="inlineStr">
        <is>
          <t>2024-12-02 08:00</t>
        </is>
      </c>
      <c r="G706" s="12" t="n">
        <v>4147.06</v>
      </c>
      <c r="H706" s="8" t="inlineStr">
        <is>
          <t>m3</t>
        </is>
      </c>
      <c r="I706" s="8" t="inlineStr">
        <is>
          <t>cumulative</t>
        </is>
      </c>
      <c r="J706" s="8" t="inlineStr">
        <is>
          <t>KL</t>
        </is>
      </c>
      <c r="K706" s="8" t="inlineStr"/>
      <c r="L706" s="10">
        <f>IFERROR(IF(F706&lt;F705,"NEGATIVE",ROUND(F706-F705,2)),"")</f>
        <v/>
      </c>
    </row>
    <row r="707" ht="22" customHeight="1">
      <c r="B707" s="5" t="inlineStr">
        <is>
          <t>R00703</t>
        </is>
      </c>
      <c r="C707" s="5" t="inlineStr">
        <is>
          <t>MTR-CTW-004</t>
        </is>
      </c>
      <c r="D707" s="5" t="inlineStr">
        <is>
          <t>Cooling Tower</t>
        </is>
      </c>
      <c r="E707" s="5" t="inlineStr">
        <is>
          <t>Cooling Tower Cell 2</t>
        </is>
      </c>
      <c r="F707" s="5" t="inlineStr">
        <is>
          <t>2024-12-03 08:00</t>
        </is>
      </c>
      <c r="G707" s="11" t="n">
        <v>4185.04</v>
      </c>
      <c r="H707" s="5" t="inlineStr">
        <is>
          <t>m3</t>
        </is>
      </c>
      <c r="I707" s="5" t="inlineStr">
        <is>
          <t>cumulative</t>
        </is>
      </c>
      <c r="J707" s="5" t="inlineStr">
        <is>
          <t>IJ</t>
        </is>
      </c>
      <c r="K707" s="5" t="inlineStr"/>
      <c r="L707" s="7">
        <f>IFERROR(IF(F707&lt;F706,"NEGATIVE",ROUND(F707-F706,2)),"")</f>
        <v/>
      </c>
    </row>
    <row r="708" ht="22" customHeight="1">
      <c r="B708" s="8" t="inlineStr">
        <is>
          <t>R00704</t>
        </is>
      </c>
      <c r="C708" s="8" t="inlineStr">
        <is>
          <t>MTR-CTW-004</t>
        </is>
      </c>
      <c r="D708" s="8" t="inlineStr">
        <is>
          <t>Cooling Tower</t>
        </is>
      </c>
      <c r="E708" s="8" t="inlineStr">
        <is>
          <t>Cooling Tower Cell 2</t>
        </is>
      </c>
      <c r="F708" s="8" t="inlineStr">
        <is>
          <t>2024-12-04 08:00</t>
        </is>
      </c>
      <c r="G708" s="12" t="n">
        <v>4225.2</v>
      </c>
      <c r="H708" s="8" t="inlineStr">
        <is>
          <t>m3</t>
        </is>
      </c>
      <c r="I708" s="8" t="inlineStr">
        <is>
          <t>cumulative</t>
        </is>
      </c>
      <c r="J708" s="8" t="inlineStr">
        <is>
          <t>EF</t>
        </is>
      </c>
      <c r="K708" s="8" t="inlineStr"/>
      <c r="L708" s="10">
        <f>IFERROR(IF(F708&lt;F707,"NEGATIVE",ROUND(F708-F707,2)),"")</f>
        <v/>
      </c>
    </row>
    <row r="709" ht="22" customHeight="1">
      <c r="B709" s="5" t="inlineStr">
        <is>
          <t>R00705</t>
        </is>
      </c>
      <c r="C709" s="5" t="inlineStr">
        <is>
          <t>MTR-CTW-004</t>
        </is>
      </c>
      <c r="D709" s="5" t="inlineStr">
        <is>
          <t>Cooling Tower</t>
        </is>
      </c>
      <c r="E709" s="5" t="inlineStr">
        <is>
          <t>Cooling Tower Cell 2</t>
        </is>
      </c>
      <c r="F709" s="5" t="inlineStr">
        <is>
          <t>2024-12-05 08:00</t>
        </is>
      </c>
      <c r="G709" s="11" t="n">
        <v>4267.67</v>
      </c>
      <c r="H709" s="5" t="inlineStr">
        <is>
          <t>m3</t>
        </is>
      </c>
      <c r="I709" s="5" t="inlineStr">
        <is>
          <t>cumulative</t>
        </is>
      </c>
      <c r="J709" s="5" t="inlineStr">
        <is>
          <t>IJ</t>
        </is>
      </c>
      <c r="K709" s="5" t="inlineStr"/>
      <c r="L709" s="7">
        <f>IFERROR(IF(F709&lt;F708,"NEGATIVE",ROUND(F709-F708,2)),"")</f>
        <v/>
      </c>
    </row>
    <row r="710" ht="22" customHeight="1">
      <c r="B710" s="8" t="inlineStr">
        <is>
          <t>R00706</t>
        </is>
      </c>
      <c r="C710" s="8" t="inlineStr">
        <is>
          <t>MTR-CTW-004</t>
        </is>
      </c>
      <c r="D710" s="8" t="inlineStr">
        <is>
          <t>Cooling Tower</t>
        </is>
      </c>
      <c r="E710" s="8" t="inlineStr">
        <is>
          <t>Cooling Tower Cell 2</t>
        </is>
      </c>
      <c r="F710" s="8" t="inlineStr">
        <is>
          <t>2024-12-06 08:00</t>
        </is>
      </c>
      <c r="G710" s="12" t="n">
        <v>4311.07</v>
      </c>
      <c r="H710" s="8" t="inlineStr">
        <is>
          <t>m3</t>
        </is>
      </c>
      <c r="I710" s="8" t="inlineStr">
        <is>
          <t>cumulative</t>
        </is>
      </c>
      <c r="J710" s="8" t="inlineStr">
        <is>
          <t>EF</t>
        </is>
      </c>
      <c r="K710" s="8" t="inlineStr"/>
      <c r="L710" s="10">
        <f>IFERROR(IF(F710&lt;F709,"NEGATIVE",ROUND(F710-F709,2)),"")</f>
        <v/>
      </c>
    </row>
    <row r="711" ht="22" customHeight="1">
      <c r="B711" s="5" t="inlineStr">
        <is>
          <t>R00707</t>
        </is>
      </c>
      <c r="C711" s="5" t="inlineStr">
        <is>
          <t>MTR-CTW-004</t>
        </is>
      </c>
      <c r="D711" s="5" t="inlineStr">
        <is>
          <t>Cooling Tower</t>
        </is>
      </c>
      <c r="E711" s="5" t="inlineStr">
        <is>
          <t>Cooling Tower Cell 2</t>
        </is>
      </c>
      <c r="F711" s="5" t="inlineStr">
        <is>
          <t>2024-12-07 08:00</t>
        </is>
      </c>
      <c r="G711" s="11" t="n">
        <v>4338.18</v>
      </c>
      <c r="H711" s="5" t="inlineStr">
        <is>
          <t>m3</t>
        </is>
      </c>
      <c r="I711" s="5" t="inlineStr">
        <is>
          <t>cumulative</t>
        </is>
      </c>
      <c r="J711" s="5" t="inlineStr">
        <is>
          <t>AB</t>
        </is>
      </c>
      <c r="K711" s="5" t="inlineStr"/>
      <c r="L711" s="7">
        <f>IFERROR(IF(F711&lt;F710,"NEGATIVE",ROUND(F711-F710,2)),"")</f>
        <v/>
      </c>
    </row>
    <row r="712" ht="22" customHeight="1">
      <c r="B712" s="8" t="inlineStr">
        <is>
          <t>R00708</t>
        </is>
      </c>
      <c r="C712" s="8" t="inlineStr">
        <is>
          <t>MTR-CTW-004</t>
        </is>
      </c>
      <c r="D712" s="8" t="inlineStr">
        <is>
          <t>Cooling Tower</t>
        </is>
      </c>
      <c r="E712" s="8" t="inlineStr">
        <is>
          <t>Cooling Tower Cell 2</t>
        </is>
      </c>
      <c r="F712" s="8" t="inlineStr">
        <is>
          <t>2024-12-08 08:00</t>
        </is>
      </c>
      <c r="G712" s="12" t="n">
        <v>4357.25</v>
      </c>
      <c r="H712" s="8" t="inlineStr">
        <is>
          <t>m3</t>
        </is>
      </c>
      <c r="I712" s="8" t="inlineStr">
        <is>
          <t>cumulative</t>
        </is>
      </c>
      <c r="J712" s="8" t="inlineStr">
        <is>
          <t>EF</t>
        </is>
      </c>
      <c r="K712" s="8" t="inlineStr"/>
      <c r="L712" s="10">
        <f>IFERROR(IF(F712&lt;F711,"NEGATIVE",ROUND(F712-F711,2)),"")</f>
        <v/>
      </c>
    </row>
    <row r="713" ht="22" customHeight="1">
      <c r="B713" s="5" t="inlineStr">
        <is>
          <t>R00709</t>
        </is>
      </c>
      <c r="C713" s="5" t="inlineStr">
        <is>
          <t>MTR-CTW-004</t>
        </is>
      </c>
      <c r="D713" s="5" t="inlineStr">
        <is>
          <t>Cooling Tower</t>
        </is>
      </c>
      <c r="E713" s="5" t="inlineStr">
        <is>
          <t>Cooling Tower Cell 2</t>
        </is>
      </c>
      <c r="F713" s="5" t="inlineStr">
        <is>
          <t>2024-12-09 08:00</t>
        </is>
      </c>
      <c r="G713" s="11" t="n">
        <v>4399.49</v>
      </c>
      <c r="H713" s="5" t="inlineStr">
        <is>
          <t>m3</t>
        </is>
      </c>
      <c r="I713" s="5" t="inlineStr">
        <is>
          <t>cumulative</t>
        </is>
      </c>
      <c r="J713" s="5" t="inlineStr">
        <is>
          <t>CD</t>
        </is>
      </c>
      <c r="K713" s="5" t="inlineStr"/>
      <c r="L713" s="7">
        <f>IFERROR(IF(F713&lt;F712,"NEGATIVE",ROUND(F713-F712,2)),"")</f>
        <v/>
      </c>
    </row>
    <row r="714" ht="22" customHeight="1">
      <c r="B714" s="8" t="inlineStr">
        <is>
          <t>R00710</t>
        </is>
      </c>
      <c r="C714" s="8" t="inlineStr">
        <is>
          <t>MTR-CTW-004</t>
        </is>
      </c>
      <c r="D714" s="8" t="inlineStr">
        <is>
          <t>Cooling Tower</t>
        </is>
      </c>
      <c r="E714" s="8" t="inlineStr">
        <is>
          <t>Cooling Tower Cell 2</t>
        </is>
      </c>
      <c r="F714" s="8" t="inlineStr">
        <is>
          <t>2024-12-10 08:00</t>
        </is>
      </c>
      <c r="G714" s="12" t="n">
        <v>4438.61</v>
      </c>
      <c r="H714" s="8" t="inlineStr">
        <is>
          <t>m3</t>
        </is>
      </c>
      <c r="I714" s="8" t="inlineStr">
        <is>
          <t>cumulative</t>
        </is>
      </c>
      <c r="J714" s="8" t="inlineStr">
        <is>
          <t>EF</t>
        </is>
      </c>
      <c r="K714" s="8" t="inlineStr"/>
      <c r="L714" s="10">
        <f>IFERROR(IF(F714&lt;F713,"NEGATIVE",ROUND(F714-F713,2)),"")</f>
        <v/>
      </c>
    </row>
    <row r="715" ht="22" customHeight="1">
      <c r="B715" s="5" t="inlineStr">
        <is>
          <t>R00711</t>
        </is>
      </c>
      <c r="C715" s="5" t="inlineStr">
        <is>
          <t>MTR-CTW-004</t>
        </is>
      </c>
      <c r="D715" s="5" t="inlineStr">
        <is>
          <t>Cooling Tower</t>
        </is>
      </c>
      <c r="E715" s="5" t="inlineStr">
        <is>
          <t>Cooling Tower Cell 2</t>
        </is>
      </c>
      <c r="F715" s="5" t="inlineStr">
        <is>
          <t>2024-12-11 08:00</t>
        </is>
      </c>
      <c r="G715" s="11" t="n">
        <v>4475.79</v>
      </c>
      <c r="H715" s="5" t="inlineStr">
        <is>
          <t>m3</t>
        </is>
      </c>
      <c r="I715" s="5" t="inlineStr">
        <is>
          <t>cumulative</t>
        </is>
      </c>
      <c r="J715" s="5" t="inlineStr">
        <is>
          <t>AB</t>
        </is>
      </c>
      <c r="K715" s="5" t="inlineStr"/>
      <c r="L715" s="7">
        <f>IFERROR(IF(F715&lt;F714,"NEGATIVE",ROUND(F715-F714,2)),"")</f>
        <v/>
      </c>
    </row>
    <row r="716" ht="22" customHeight="1">
      <c r="B716" s="8" t="inlineStr">
        <is>
          <t>R00712</t>
        </is>
      </c>
      <c r="C716" s="8" t="inlineStr">
        <is>
          <t>MTR-CTW-004</t>
        </is>
      </c>
      <c r="D716" s="8" t="inlineStr">
        <is>
          <t>Cooling Tower</t>
        </is>
      </c>
      <c r="E716" s="8" t="inlineStr">
        <is>
          <t>Cooling Tower Cell 2</t>
        </is>
      </c>
      <c r="F716" s="8" t="inlineStr">
        <is>
          <t>2024-12-12 08:00</t>
        </is>
      </c>
      <c r="G716" s="12" t="n">
        <v>4517.88</v>
      </c>
      <c r="H716" s="8" t="inlineStr">
        <is>
          <t>m3</t>
        </is>
      </c>
      <c r="I716" s="8" t="inlineStr">
        <is>
          <t>cumulative</t>
        </is>
      </c>
      <c r="J716" s="8" t="inlineStr">
        <is>
          <t>IJ</t>
        </is>
      </c>
      <c r="K716" s="8" t="inlineStr"/>
      <c r="L716" s="10">
        <f>IFERROR(IF(F716&lt;F715,"NEGATIVE",ROUND(F716-F715,2)),"")</f>
        <v/>
      </c>
    </row>
    <row r="717" ht="22" customHeight="1">
      <c r="B717" s="5" t="inlineStr">
        <is>
          <t>R00713</t>
        </is>
      </c>
      <c r="C717" s="5" t="inlineStr">
        <is>
          <t>MTR-CTW-004</t>
        </is>
      </c>
      <c r="D717" s="5" t="inlineStr">
        <is>
          <t>Cooling Tower</t>
        </is>
      </c>
      <c r="E717" s="5" t="inlineStr">
        <is>
          <t>Cooling Tower Cell 2</t>
        </is>
      </c>
      <c r="F717" s="5" t="inlineStr">
        <is>
          <t>2024-12-13 08:00</t>
        </is>
      </c>
      <c r="G717" s="11" t="n">
        <v>4551.74</v>
      </c>
      <c r="H717" s="5" t="inlineStr">
        <is>
          <t>m3</t>
        </is>
      </c>
      <c r="I717" s="5" t="inlineStr">
        <is>
          <t>cumulative</t>
        </is>
      </c>
      <c r="J717" s="5" t="inlineStr">
        <is>
          <t>IJ</t>
        </is>
      </c>
      <c r="K717" s="5" t="inlineStr"/>
      <c r="L717" s="7">
        <f>IFERROR(IF(F717&lt;F716,"NEGATIVE",ROUND(F717-F716,2)),"")</f>
        <v/>
      </c>
    </row>
    <row r="718" ht="22" customHeight="1">
      <c r="B718" s="8" t="inlineStr">
        <is>
          <t>R00714</t>
        </is>
      </c>
      <c r="C718" s="8" t="inlineStr">
        <is>
          <t>MTR-CTW-004</t>
        </is>
      </c>
      <c r="D718" s="8" t="inlineStr">
        <is>
          <t>Cooling Tower</t>
        </is>
      </c>
      <c r="E718" s="8" t="inlineStr">
        <is>
          <t>Cooling Tower Cell 2</t>
        </is>
      </c>
      <c r="F718" s="8" t="inlineStr">
        <is>
          <t>2024-12-14 08:00</t>
        </is>
      </c>
      <c r="G718" s="12" t="n">
        <v>4584.69</v>
      </c>
      <c r="H718" s="8" t="inlineStr">
        <is>
          <t>m3</t>
        </is>
      </c>
      <c r="I718" s="8" t="inlineStr">
        <is>
          <t>cumulative</t>
        </is>
      </c>
      <c r="J718" s="8" t="inlineStr">
        <is>
          <t>EF</t>
        </is>
      </c>
      <c r="K718" s="8" t="inlineStr"/>
      <c r="L718" s="10">
        <f>IFERROR(IF(F718&lt;F717,"NEGATIVE",ROUND(F718-F717,2)),"")</f>
        <v/>
      </c>
    </row>
    <row r="719" ht="22" customHeight="1">
      <c r="B719" s="5" t="inlineStr">
        <is>
          <t>R00715</t>
        </is>
      </c>
      <c r="C719" s="5" t="inlineStr">
        <is>
          <t>MTR-CTW-004</t>
        </is>
      </c>
      <c r="D719" s="5" t="inlineStr">
        <is>
          <t>Cooling Tower</t>
        </is>
      </c>
      <c r="E719" s="5" t="inlineStr">
        <is>
          <t>Cooling Tower Cell 2</t>
        </is>
      </c>
      <c r="F719" s="5" t="inlineStr">
        <is>
          <t>2024-12-15 08:00</t>
        </is>
      </c>
      <c r="G719" s="11" t="n">
        <v>4606.31</v>
      </c>
      <c r="H719" s="5" t="inlineStr">
        <is>
          <t>m3</t>
        </is>
      </c>
      <c r="I719" s="5" t="inlineStr">
        <is>
          <t>cumulative</t>
        </is>
      </c>
      <c r="J719" s="5" t="inlineStr">
        <is>
          <t>GH</t>
        </is>
      </c>
      <c r="K719" s="5" t="inlineStr"/>
      <c r="L719" s="7">
        <f>IFERROR(IF(F719&lt;F718,"NEGATIVE",ROUND(F719-F718,2)),"")</f>
        <v/>
      </c>
    </row>
    <row r="720" ht="22" customHeight="1">
      <c r="B720" s="8" t="inlineStr">
        <is>
          <t>R00716</t>
        </is>
      </c>
      <c r="C720" s="8" t="inlineStr">
        <is>
          <t>MTR-CTW-004</t>
        </is>
      </c>
      <c r="D720" s="8" t="inlineStr">
        <is>
          <t>Cooling Tower</t>
        </is>
      </c>
      <c r="E720" s="8" t="inlineStr">
        <is>
          <t>Cooling Tower Cell 2</t>
        </is>
      </c>
      <c r="F720" s="8" t="inlineStr">
        <is>
          <t>2024-12-16 08:00</t>
        </is>
      </c>
      <c r="G720" s="12" t="n">
        <v>4644.81</v>
      </c>
      <c r="H720" s="8" t="inlineStr">
        <is>
          <t>m3</t>
        </is>
      </c>
      <c r="I720" s="8" t="inlineStr">
        <is>
          <t>cumulative</t>
        </is>
      </c>
      <c r="J720" s="8" t="inlineStr">
        <is>
          <t>AB</t>
        </is>
      </c>
      <c r="K720" s="8" t="inlineStr"/>
      <c r="L720" s="10">
        <f>IFERROR(IF(F720&lt;F719,"NEGATIVE",ROUND(F720-F719,2)),"")</f>
        <v/>
      </c>
    </row>
    <row r="721" ht="22" customHeight="1">
      <c r="B721" s="5" t="inlineStr">
        <is>
          <t>R00717</t>
        </is>
      </c>
      <c r="C721" s="5" t="inlineStr">
        <is>
          <t>MTR-CTW-004</t>
        </is>
      </c>
      <c r="D721" s="5" t="inlineStr">
        <is>
          <t>Cooling Tower</t>
        </is>
      </c>
      <c r="E721" s="5" t="inlineStr">
        <is>
          <t>Cooling Tower Cell 2</t>
        </is>
      </c>
      <c r="F721" s="5" t="inlineStr">
        <is>
          <t>2024-12-17 08:00</t>
        </is>
      </c>
      <c r="G721" s="11" t="n">
        <v>4681.11</v>
      </c>
      <c r="H721" s="5" t="inlineStr">
        <is>
          <t>m3</t>
        </is>
      </c>
      <c r="I721" s="5" t="inlineStr">
        <is>
          <t>cumulative</t>
        </is>
      </c>
      <c r="J721" s="5" t="inlineStr">
        <is>
          <t>AB</t>
        </is>
      </c>
      <c r="K721" s="5" t="inlineStr"/>
      <c r="L721" s="7">
        <f>IFERROR(IF(F721&lt;F720,"NEGATIVE",ROUND(F721-F720,2)),"")</f>
        <v/>
      </c>
    </row>
    <row r="722" ht="22" customHeight="1">
      <c r="B722" s="8" t="inlineStr">
        <is>
          <t>R00718</t>
        </is>
      </c>
      <c r="C722" s="8" t="inlineStr">
        <is>
          <t>MTR-CTW-004</t>
        </is>
      </c>
      <c r="D722" s="8" t="inlineStr">
        <is>
          <t>Cooling Tower</t>
        </is>
      </c>
      <c r="E722" s="8" t="inlineStr">
        <is>
          <t>Cooling Tower Cell 2</t>
        </is>
      </c>
      <c r="F722" s="8" t="inlineStr">
        <is>
          <t>2024-12-18 08:00</t>
        </is>
      </c>
      <c r="G722" s="12" t="n">
        <v>4721.91</v>
      </c>
      <c r="H722" s="8" t="inlineStr">
        <is>
          <t>m3</t>
        </is>
      </c>
      <c r="I722" s="8" t="inlineStr">
        <is>
          <t>cumulative</t>
        </is>
      </c>
      <c r="J722" s="8" t="inlineStr">
        <is>
          <t>CD</t>
        </is>
      </c>
      <c r="K722" s="8" t="inlineStr"/>
      <c r="L722" s="10">
        <f>IFERROR(IF(F722&lt;F721,"NEGATIVE",ROUND(F722-F721,2)),"")</f>
        <v/>
      </c>
    </row>
    <row r="723" ht="22" customHeight="1">
      <c r="B723" s="5" t="inlineStr">
        <is>
          <t>R00719</t>
        </is>
      </c>
      <c r="C723" s="5" t="inlineStr">
        <is>
          <t>MTR-CTW-004</t>
        </is>
      </c>
      <c r="D723" s="5" t="inlineStr">
        <is>
          <t>Cooling Tower</t>
        </is>
      </c>
      <c r="E723" s="5" t="inlineStr">
        <is>
          <t>Cooling Tower Cell 2</t>
        </is>
      </c>
      <c r="F723" s="5" t="inlineStr">
        <is>
          <t>2024-12-19 08:00</t>
        </is>
      </c>
      <c r="G723" s="11" t="n">
        <v>4755.68</v>
      </c>
      <c r="H723" s="5" t="inlineStr">
        <is>
          <t>m3</t>
        </is>
      </c>
      <c r="I723" s="5" t="inlineStr">
        <is>
          <t>cumulative</t>
        </is>
      </c>
      <c r="J723" s="5" t="inlineStr">
        <is>
          <t>KL</t>
        </is>
      </c>
      <c r="K723" s="5" t="inlineStr"/>
      <c r="L723" s="7">
        <f>IFERROR(IF(F723&lt;F722,"NEGATIVE",ROUND(F723-F722,2)),"")</f>
        <v/>
      </c>
    </row>
    <row r="724" ht="22" customHeight="1">
      <c r="B724" s="8" t="inlineStr">
        <is>
          <t>R00720</t>
        </is>
      </c>
      <c r="C724" s="8" t="inlineStr">
        <is>
          <t>MTR-CTW-004</t>
        </is>
      </c>
      <c r="D724" s="8" t="inlineStr">
        <is>
          <t>Cooling Tower</t>
        </is>
      </c>
      <c r="E724" s="8" t="inlineStr">
        <is>
          <t>Cooling Tower Cell 2</t>
        </is>
      </c>
      <c r="F724" s="8" t="inlineStr">
        <is>
          <t>2024-12-20 08:00</t>
        </is>
      </c>
      <c r="G724" s="12" t="n">
        <v>4795.99</v>
      </c>
      <c r="H724" s="8" t="inlineStr">
        <is>
          <t>m3</t>
        </is>
      </c>
      <c r="I724" s="8" t="inlineStr">
        <is>
          <t>cumulative</t>
        </is>
      </c>
      <c r="J724" s="8" t="inlineStr">
        <is>
          <t>AB</t>
        </is>
      </c>
      <c r="K724" s="8" t="inlineStr"/>
      <c r="L724" s="10">
        <f>IFERROR(IF(F724&lt;F723,"NEGATIVE",ROUND(F724-F723,2)),"")</f>
        <v/>
      </c>
    </row>
    <row r="725" ht="22" customHeight="1">
      <c r="B725" s="5" t="inlineStr">
        <is>
          <t>R00721</t>
        </is>
      </c>
      <c r="C725" s="5" t="inlineStr">
        <is>
          <t>MTR-CTW-004</t>
        </is>
      </c>
      <c r="D725" s="5" t="inlineStr">
        <is>
          <t>Cooling Tower</t>
        </is>
      </c>
      <c r="E725" s="5" t="inlineStr">
        <is>
          <t>Cooling Tower Cell 2</t>
        </is>
      </c>
      <c r="F725" s="5" t="inlineStr">
        <is>
          <t>2024-12-21 08:00</t>
        </is>
      </c>
      <c r="G725" s="11" t="n">
        <v>4830.9</v>
      </c>
      <c r="H725" s="5" t="inlineStr">
        <is>
          <t>m3</t>
        </is>
      </c>
      <c r="I725" s="5" t="inlineStr">
        <is>
          <t>cumulative</t>
        </is>
      </c>
      <c r="J725" s="5" t="inlineStr">
        <is>
          <t>AB</t>
        </is>
      </c>
      <c r="K725" s="5" t="inlineStr"/>
      <c r="L725" s="7">
        <f>IFERROR(IF(F725&lt;F724,"NEGATIVE",ROUND(F725-F724,2)),"")</f>
        <v/>
      </c>
    </row>
    <row r="726" ht="22" customHeight="1">
      <c r="B726" s="8" t="inlineStr">
        <is>
          <t>R00722</t>
        </is>
      </c>
      <c r="C726" s="8" t="inlineStr">
        <is>
          <t>MTR-CTW-004</t>
        </is>
      </c>
      <c r="D726" s="8" t="inlineStr">
        <is>
          <t>Cooling Tower</t>
        </is>
      </c>
      <c r="E726" s="8" t="inlineStr">
        <is>
          <t>Cooling Tower Cell 2</t>
        </is>
      </c>
      <c r="F726" s="8" t="inlineStr">
        <is>
          <t>2024-12-22 08:00</t>
        </is>
      </c>
      <c r="G726" s="12" t="n">
        <v>4852.1</v>
      </c>
      <c r="H726" s="8" t="inlineStr">
        <is>
          <t>m3</t>
        </is>
      </c>
      <c r="I726" s="8" t="inlineStr">
        <is>
          <t>cumulative</t>
        </is>
      </c>
      <c r="J726" s="8" t="inlineStr">
        <is>
          <t>CD</t>
        </is>
      </c>
      <c r="K726" s="8" t="inlineStr"/>
      <c r="L726" s="10">
        <f>IFERROR(IF(F726&lt;F725,"NEGATIVE",ROUND(F726-F725,2)),"")</f>
        <v/>
      </c>
    </row>
    <row r="727" ht="22" customHeight="1">
      <c r="B727" s="5" t="inlineStr">
        <is>
          <t>R00723</t>
        </is>
      </c>
      <c r="C727" s="5" t="inlineStr">
        <is>
          <t>MTR-CTW-004</t>
        </is>
      </c>
      <c r="D727" s="5" t="inlineStr">
        <is>
          <t>Cooling Tower</t>
        </is>
      </c>
      <c r="E727" s="5" t="inlineStr">
        <is>
          <t>Cooling Tower Cell 2</t>
        </is>
      </c>
      <c r="F727" s="5" t="inlineStr">
        <is>
          <t>2024-12-23 08:00</t>
        </is>
      </c>
      <c r="G727" s="11" t="n">
        <v>4887.38</v>
      </c>
      <c r="H727" s="5" t="inlineStr">
        <is>
          <t>m3</t>
        </is>
      </c>
      <c r="I727" s="5" t="inlineStr">
        <is>
          <t>cumulative</t>
        </is>
      </c>
      <c r="J727" s="5" t="inlineStr">
        <is>
          <t>EF</t>
        </is>
      </c>
      <c r="K727" s="5" t="inlineStr"/>
      <c r="L727" s="7">
        <f>IFERROR(IF(F727&lt;F726,"NEGATIVE",ROUND(F727-F726,2)),"")</f>
        <v/>
      </c>
    </row>
    <row r="728" ht="22" customHeight="1">
      <c r="B728" s="8" t="inlineStr">
        <is>
          <t>R00724</t>
        </is>
      </c>
      <c r="C728" s="8" t="inlineStr">
        <is>
          <t>MTR-CTW-004</t>
        </is>
      </c>
      <c r="D728" s="8" t="inlineStr">
        <is>
          <t>Cooling Tower</t>
        </is>
      </c>
      <c r="E728" s="8" t="inlineStr">
        <is>
          <t>Cooling Tower Cell 2</t>
        </is>
      </c>
      <c r="F728" s="8" t="inlineStr">
        <is>
          <t>2024-12-24 08:00</t>
        </is>
      </c>
      <c r="G728" s="12" t="n">
        <v>4925.78</v>
      </c>
      <c r="H728" s="8" t="inlineStr">
        <is>
          <t>m3</t>
        </is>
      </c>
      <c r="I728" s="8" t="inlineStr">
        <is>
          <t>cumulative</t>
        </is>
      </c>
      <c r="J728" s="8" t="inlineStr">
        <is>
          <t>EF</t>
        </is>
      </c>
      <c r="K728" s="8" t="inlineStr"/>
      <c r="L728" s="10">
        <f>IFERROR(IF(F728&lt;F727,"NEGATIVE",ROUND(F728-F727,2)),"")</f>
        <v/>
      </c>
    </row>
    <row r="729" ht="22" customHeight="1">
      <c r="B729" s="5" t="inlineStr">
        <is>
          <t>R00725</t>
        </is>
      </c>
      <c r="C729" s="5" t="inlineStr">
        <is>
          <t>MTR-CTW-004</t>
        </is>
      </c>
      <c r="D729" s="5" t="inlineStr">
        <is>
          <t>Cooling Tower</t>
        </is>
      </c>
      <c r="E729" s="5" t="inlineStr">
        <is>
          <t>Cooling Tower Cell 2</t>
        </is>
      </c>
      <c r="F729" s="5" t="inlineStr">
        <is>
          <t>2024-12-25 08:00</t>
        </is>
      </c>
      <c r="G729" s="11" t="n">
        <v>4969.1</v>
      </c>
      <c r="H729" s="5" t="inlineStr">
        <is>
          <t>m3</t>
        </is>
      </c>
      <c r="I729" s="5" t="inlineStr">
        <is>
          <t>cumulative</t>
        </is>
      </c>
      <c r="J729" s="5" t="inlineStr">
        <is>
          <t>KL</t>
        </is>
      </c>
      <c r="K729" s="5" t="inlineStr"/>
      <c r="L729" s="7">
        <f>IFERROR(IF(F729&lt;F728,"NEGATIVE",ROUND(F729-F728,2)),"")</f>
        <v/>
      </c>
    </row>
    <row r="730" ht="22" customHeight="1">
      <c r="B730" s="8" t="inlineStr">
        <is>
          <t>R00726</t>
        </is>
      </c>
      <c r="C730" s="8" t="inlineStr">
        <is>
          <t>MTR-CTW-004</t>
        </is>
      </c>
      <c r="D730" s="8" t="inlineStr">
        <is>
          <t>Cooling Tower</t>
        </is>
      </c>
      <c r="E730" s="8" t="inlineStr">
        <is>
          <t>Cooling Tower Cell 2</t>
        </is>
      </c>
      <c r="F730" s="8" t="inlineStr">
        <is>
          <t>2024-12-26 08:00</t>
        </is>
      </c>
      <c r="G730" s="12" t="n">
        <v>5007.75</v>
      </c>
      <c r="H730" s="8" t="inlineStr">
        <is>
          <t>m3</t>
        </is>
      </c>
      <c r="I730" s="8" t="inlineStr">
        <is>
          <t>cumulative</t>
        </is>
      </c>
      <c r="J730" s="8" t="inlineStr">
        <is>
          <t>KL</t>
        </is>
      </c>
      <c r="K730" s="8" t="inlineStr"/>
      <c r="L730" s="10">
        <f>IFERROR(IF(F730&lt;F729,"NEGATIVE",ROUND(F730-F729,2)),"")</f>
        <v/>
      </c>
    </row>
    <row r="731" ht="22" customHeight="1">
      <c r="B731" s="5" t="inlineStr">
        <is>
          <t>R00727</t>
        </is>
      </c>
      <c r="C731" s="5" t="inlineStr">
        <is>
          <t>MTR-CTW-004</t>
        </is>
      </c>
      <c r="D731" s="5" t="inlineStr">
        <is>
          <t>Cooling Tower</t>
        </is>
      </c>
      <c r="E731" s="5" t="inlineStr">
        <is>
          <t>Cooling Tower Cell 2</t>
        </is>
      </c>
      <c r="F731" s="5" t="inlineStr">
        <is>
          <t>2024-12-27 08:00</t>
        </is>
      </c>
      <c r="G731" s="11" t="n">
        <v>5041.57</v>
      </c>
      <c r="H731" s="5" t="inlineStr">
        <is>
          <t>m3</t>
        </is>
      </c>
      <c r="I731" s="5" t="inlineStr">
        <is>
          <t>cumulative</t>
        </is>
      </c>
      <c r="J731" s="5" t="inlineStr">
        <is>
          <t>KL</t>
        </is>
      </c>
      <c r="K731" s="5" t="inlineStr"/>
      <c r="L731" s="7">
        <f>IFERROR(IF(F731&lt;F730,"NEGATIVE",ROUND(F731-F730,2)),"")</f>
        <v/>
      </c>
    </row>
    <row r="732" ht="22" customHeight="1">
      <c r="B732" s="8" t="inlineStr">
        <is>
          <t>R00728</t>
        </is>
      </c>
      <c r="C732" s="8" t="inlineStr">
        <is>
          <t>MTR-CTW-004</t>
        </is>
      </c>
      <c r="D732" s="8" t="inlineStr">
        <is>
          <t>Cooling Tower</t>
        </is>
      </c>
      <c r="E732" s="8" t="inlineStr">
        <is>
          <t>Cooling Tower Cell 2</t>
        </is>
      </c>
      <c r="F732" s="8" t="inlineStr">
        <is>
          <t>2024-12-28 08:00</t>
        </is>
      </c>
      <c r="G732" s="12" t="n">
        <v>5069.49</v>
      </c>
      <c r="H732" s="8" t="inlineStr">
        <is>
          <t>m3</t>
        </is>
      </c>
      <c r="I732" s="8" t="inlineStr">
        <is>
          <t>cumulative</t>
        </is>
      </c>
      <c r="J732" s="8" t="inlineStr">
        <is>
          <t>IJ</t>
        </is>
      </c>
      <c r="K732" s="8" t="inlineStr"/>
      <c r="L732" s="10">
        <f>IFERROR(IF(F732&lt;F731,"NEGATIVE",ROUND(F732-F731,2)),"")</f>
        <v/>
      </c>
    </row>
    <row r="733" ht="22" customHeight="1">
      <c r="B733" s="5" t="inlineStr">
        <is>
          <t>R00729</t>
        </is>
      </c>
      <c r="C733" s="5" t="inlineStr">
        <is>
          <t>MTR-CTW-004</t>
        </is>
      </c>
      <c r="D733" s="5" t="inlineStr">
        <is>
          <t>Cooling Tower</t>
        </is>
      </c>
      <c r="E733" s="5" t="inlineStr">
        <is>
          <t>Cooling Tower Cell 2</t>
        </is>
      </c>
      <c r="F733" s="5" t="inlineStr">
        <is>
          <t>2024-12-29 08:00</t>
        </is>
      </c>
      <c r="G733" s="11" t="n">
        <v>5091.01</v>
      </c>
      <c r="H733" s="5" t="inlineStr">
        <is>
          <t>m3</t>
        </is>
      </c>
      <c r="I733" s="5" t="inlineStr">
        <is>
          <t>cumulative</t>
        </is>
      </c>
      <c r="J733" s="5" t="inlineStr">
        <is>
          <t>KL</t>
        </is>
      </c>
      <c r="K733" s="5" t="inlineStr"/>
      <c r="L733" s="7">
        <f>IFERROR(IF(F733&lt;F732,"NEGATIVE",ROUND(F733-F732,2)),"")</f>
        <v/>
      </c>
    </row>
    <row r="734" ht="22" customHeight="1">
      <c r="B734" s="8" t="inlineStr">
        <is>
          <t>R00730</t>
        </is>
      </c>
      <c r="C734" s="8" t="inlineStr">
        <is>
          <t>MTR-CTW-004</t>
        </is>
      </c>
      <c r="D734" s="8" t="inlineStr">
        <is>
          <t>Cooling Tower</t>
        </is>
      </c>
      <c r="E734" s="8" t="inlineStr">
        <is>
          <t>Cooling Tower Cell 2</t>
        </is>
      </c>
      <c r="F734" s="8" t="inlineStr">
        <is>
          <t>2024-12-30 08:00</t>
        </is>
      </c>
      <c r="G734" s="12" t="n">
        <v>5126.04</v>
      </c>
      <c r="H734" s="8" t="inlineStr">
        <is>
          <t>m3</t>
        </is>
      </c>
      <c r="I734" s="8" t="inlineStr">
        <is>
          <t>cumulative</t>
        </is>
      </c>
      <c r="J734" s="8" t="inlineStr">
        <is>
          <t>IJ</t>
        </is>
      </c>
      <c r="K734" s="8" t="inlineStr"/>
      <c r="L734" s="10">
        <f>IFERROR(IF(F734&lt;F733,"NEGATIVE",ROUND(F734-F733,2)),"")</f>
        <v/>
      </c>
    </row>
    <row r="735" ht="22" customHeight="1">
      <c r="B735" s="5" t="inlineStr">
        <is>
          <t>R00731</t>
        </is>
      </c>
      <c r="C735" s="5" t="inlineStr">
        <is>
          <t>MTR-CTW-004</t>
        </is>
      </c>
      <c r="D735" s="5" t="inlineStr">
        <is>
          <t>Cooling Tower</t>
        </is>
      </c>
      <c r="E735" s="5" t="inlineStr">
        <is>
          <t>Cooling Tower Cell 2</t>
        </is>
      </c>
      <c r="F735" s="5" t="inlineStr">
        <is>
          <t>2024-12-31 08:00</t>
        </is>
      </c>
      <c r="G735" s="11" t="n">
        <v>5160.45</v>
      </c>
      <c r="H735" s="5" t="inlineStr">
        <is>
          <t>m3</t>
        </is>
      </c>
      <c r="I735" s="5" t="inlineStr">
        <is>
          <t>cumulative</t>
        </is>
      </c>
      <c r="J735" s="5" t="inlineStr">
        <is>
          <t>KL</t>
        </is>
      </c>
      <c r="K735" s="5" t="inlineStr"/>
      <c r="L735" s="7">
        <f>IFERROR(IF(F735&lt;F734,"NEGATIVE",ROUND(F735-F734,2)),"")</f>
        <v/>
      </c>
    </row>
    <row r="736" ht="22" customHeight="1">
      <c r="B736" s="8" t="inlineStr">
        <is>
          <t>R00732</t>
        </is>
      </c>
      <c r="C736" s="8" t="inlineStr">
        <is>
          <t>MTR-DOM-006</t>
        </is>
      </c>
      <c r="D736" s="8" t="inlineStr">
        <is>
          <t>Utilities</t>
        </is>
      </c>
      <c r="E736" s="8" t="inlineStr">
        <is>
          <t>Domestic Supply</t>
        </is>
      </c>
      <c r="F736" s="8" t="inlineStr">
        <is>
          <t>2024-01-01 08:00</t>
        </is>
      </c>
      <c r="G736" s="12" t="n">
        <v>18269.71</v>
      </c>
      <c r="H736" s="8" t="inlineStr">
        <is>
          <t>m3</t>
        </is>
      </c>
      <c r="I736" s="8" t="inlineStr">
        <is>
          <t>cumulative</t>
        </is>
      </c>
      <c r="J736" s="8" t="inlineStr">
        <is>
          <t>AB</t>
        </is>
      </c>
      <c r="K736" s="8" t="inlineStr"/>
      <c r="L736" s="10" t="inlineStr"/>
    </row>
    <row r="737" ht="22" customHeight="1">
      <c r="B737" s="5" t="inlineStr">
        <is>
          <t>R00733</t>
        </is>
      </c>
      <c r="C737" s="5" t="inlineStr">
        <is>
          <t>MTR-DOM-006</t>
        </is>
      </c>
      <c r="D737" s="5" t="inlineStr">
        <is>
          <t>Utilities</t>
        </is>
      </c>
      <c r="E737" s="5" t="inlineStr">
        <is>
          <t>Domestic Supply</t>
        </is>
      </c>
      <c r="F737" s="5" t="inlineStr">
        <is>
          <t>2024-01-02 08:00</t>
        </is>
      </c>
      <c r="G737" s="11" t="n">
        <v>18279.02</v>
      </c>
      <c r="H737" s="5" t="inlineStr">
        <is>
          <t>m3</t>
        </is>
      </c>
      <c r="I737" s="5" t="inlineStr">
        <is>
          <t>cumulative</t>
        </is>
      </c>
      <c r="J737" s="5" t="inlineStr">
        <is>
          <t>EF</t>
        </is>
      </c>
      <c r="K737" s="5" t="inlineStr"/>
      <c r="L737" s="7">
        <f>IFERROR(IF(F737&lt;F736,"NEGATIVE",ROUND(F737-F736,2)),"")</f>
        <v/>
      </c>
    </row>
    <row r="738" ht="22" customHeight="1">
      <c r="B738" s="8" t="inlineStr">
        <is>
          <t>R00734</t>
        </is>
      </c>
      <c r="C738" s="8" t="inlineStr">
        <is>
          <t>MTR-DOM-006</t>
        </is>
      </c>
      <c r="D738" s="8" t="inlineStr">
        <is>
          <t>Utilities</t>
        </is>
      </c>
      <c r="E738" s="8" t="inlineStr">
        <is>
          <t>Domestic Supply</t>
        </is>
      </c>
      <c r="F738" s="8" t="inlineStr">
        <is>
          <t>2024-01-03 08:00</t>
        </is>
      </c>
      <c r="G738" s="12" t="n">
        <v>18287.34</v>
      </c>
      <c r="H738" s="8" t="inlineStr">
        <is>
          <t>m3</t>
        </is>
      </c>
      <c r="I738" s="8" t="inlineStr">
        <is>
          <t>cumulative</t>
        </is>
      </c>
      <c r="J738" s="8" t="inlineStr">
        <is>
          <t>GH</t>
        </is>
      </c>
      <c r="K738" s="8" t="inlineStr"/>
      <c r="L738" s="10">
        <f>IFERROR(IF(F738&lt;F737,"NEGATIVE",ROUND(F738-F737,2)),"")</f>
        <v/>
      </c>
    </row>
    <row r="739" ht="22" customHeight="1">
      <c r="B739" s="5" t="inlineStr">
        <is>
          <t>R00735</t>
        </is>
      </c>
      <c r="C739" s="5" t="inlineStr">
        <is>
          <t>MTR-DOM-006</t>
        </is>
      </c>
      <c r="D739" s="5" t="inlineStr">
        <is>
          <t>Utilities</t>
        </is>
      </c>
      <c r="E739" s="5" t="inlineStr">
        <is>
          <t>Domestic Supply</t>
        </is>
      </c>
      <c r="F739" s="5" t="inlineStr">
        <is>
          <t>2024-01-04 08:00</t>
        </is>
      </c>
      <c r="G739" s="11" t="n">
        <v>18297.72</v>
      </c>
      <c r="H739" s="5" t="inlineStr">
        <is>
          <t>m3</t>
        </is>
      </c>
      <c r="I739" s="5" t="inlineStr">
        <is>
          <t>cumulative</t>
        </is>
      </c>
      <c r="J739" s="5" t="inlineStr">
        <is>
          <t>IJ</t>
        </is>
      </c>
      <c r="K739" s="5" t="inlineStr"/>
      <c r="L739" s="7">
        <f>IFERROR(IF(F739&lt;F738,"NEGATIVE",ROUND(F739-F738,2)),"")</f>
        <v/>
      </c>
    </row>
    <row r="740" ht="22" customHeight="1">
      <c r="B740" s="8" t="inlineStr">
        <is>
          <t>R00736</t>
        </is>
      </c>
      <c r="C740" s="8" t="inlineStr">
        <is>
          <t>MTR-DOM-006</t>
        </is>
      </c>
      <c r="D740" s="8" t="inlineStr">
        <is>
          <t>Utilities</t>
        </is>
      </c>
      <c r="E740" s="8" t="inlineStr">
        <is>
          <t>Domestic Supply</t>
        </is>
      </c>
      <c r="F740" s="8" t="inlineStr">
        <is>
          <t>2024-01-05 08:00</t>
        </is>
      </c>
      <c r="G740" s="12" t="n">
        <v>18308.21</v>
      </c>
      <c r="H740" s="8" t="inlineStr">
        <is>
          <t>m3</t>
        </is>
      </c>
      <c r="I740" s="8" t="inlineStr">
        <is>
          <t>cumulative</t>
        </is>
      </c>
      <c r="J740" s="8" t="inlineStr">
        <is>
          <t>GH</t>
        </is>
      </c>
      <c r="K740" s="8" t="inlineStr"/>
      <c r="L740" s="10">
        <f>IFERROR(IF(F740&lt;F739,"NEGATIVE",ROUND(F740-F739,2)),"")</f>
        <v/>
      </c>
    </row>
    <row r="741" ht="22" customHeight="1">
      <c r="B741" s="5" t="inlineStr">
        <is>
          <t>R00737</t>
        </is>
      </c>
      <c r="C741" s="5" t="inlineStr">
        <is>
          <t>MTR-DOM-006</t>
        </is>
      </c>
      <c r="D741" s="5" t="inlineStr">
        <is>
          <t>Utilities</t>
        </is>
      </c>
      <c r="E741" s="5" t="inlineStr">
        <is>
          <t>Domestic Supply</t>
        </is>
      </c>
      <c r="F741" s="5" t="inlineStr">
        <is>
          <t>2024-01-06 08:00</t>
        </is>
      </c>
      <c r="G741" s="11" t="n">
        <v>18314.88</v>
      </c>
      <c r="H741" s="5" t="inlineStr">
        <is>
          <t>m3</t>
        </is>
      </c>
      <c r="I741" s="5" t="inlineStr">
        <is>
          <t>cumulative</t>
        </is>
      </c>
      <c r="J741" s="5" t="inlineStr">
        <is>
          <t>KL</t>
        </is>
      </c>
      <c r="K741" s="5" t="inlineStr"/>
      <c r="L741" s="7">
        <f>IFERROR(IF(F741&lt;F740,"NEGATIVE",ROUND(F741-F740,2)),"")</f>
        <v/>
      </c>
    </row>
    <row r="742" ht="22" customHeight="1">
      <c r="B742" s="8" t="inlineStr">
        <is>
          <t>R00738</t>
        </is>
      </c>
      <c r="C742" s="8" t="inlineStr">
        <is>
          <t>MTR-DOM-006</t>
        </is>
      </c>
      <c r="D742" s="8" t="inlineStr">
        <is>
          <t>Utilities</t>
        </is>
      </c>
      <c r="E742" s="8" t="inlineStr">
        <is>
          <t>Domestic Supply</t>
        </is>
      </c>
      <c r="F742" s="8" t="inlineStr">
        <is>
          <t>2024-01-07 08:00</t>
        </is>
      </c>
      <c r="G742" s="12" t="n">
        <v>18319.43</v>
      </c>
      <c r="H742" s="8" t="inlineStr">
        <is>
          <t>m3</t>
        </is>
      </c>
      <c r="I742" s="8" t="inlineStr">
        <is>
          <t>cumulative</t>
        </is>
      </c>
      <c r="J742" s="8" t="inlineStr">
        <is>
          <t>AB</t>
        </is>
      </c>
      <c r="K742" s="8" t="inlineStr"/>
      <c r="L742" s="10">
        <f>IFERROR(IF(F742&lt;F741,"NEGATIVE",ROUND(F742-F741,2)),"")</f>
        <v/>
      </c>
    </row>
    <row r="743" ht="22" customHeight="1">
      <c r="B743" s="5" t="inlineStr">
        <is>
          <t>R00739</t>
        </is>
      </c>
      <c r="C743" s="5" t="inlineStr">
        <is>
          <t>MTR-DOM-006</t>
        </is>
      </c>
      <c r="D743" s="5" t="inlineStr">
        <is>
          <t>Utilities</t>
        </is>
      </c>
      <c r="E743" s="5" t="inlineStr">
        <is>
          <t>Domestic Supply</t>
        </is>
      </c>
      <c r="F743" s="5" t="inlineStr">
        <is>
          <t>2024-01-08 08:00</t>
        </is>
      </c>
      <c r="G743" s="11" t="n">
        <v>18328.58</v>
      </c>
      <c r="H743" s="5" t="inlineStr">
        <is>
          <t>m3</t>
        </is>
      </c>
      <c r="I743" s="5" t="inlineStr">
        <is>
          <t>cumulative</t>
        </is>
      </c>
      <c r="J743" s="5" t="inlineStr">
        <is>
          <t>KL</t>
        </is>
      </c>
      <c r="K743" s="5" t="inlineStr"/>
      <c r="L743" s="7">
        <f>IFERROR(IF(F743&lt;F742,"NEGATIVE",ROUND(F743-F742,2)),"")</f>
        <v/>
      </c>
    </row>
    <row r="744" ht="22" customHeight="1">
      <c r="B744" s="8" t="inlineStr">
        <is>
          <t>R00740</t>
        </is>
      </c>
      <c r="C744" s="8" t="inlineStr">
        <is>
          <t>MTR-DOM-006</t>
        </is>
      </c>
      <c r="D744" s="8" t="inlineStr">
        <is>
          <t>Utilities</t>
        </is>
      </c>
      <c r="E744" s="8" t="inlineStr">
        <is>
          <t>Domestic Supply</t>
        </is>
      </c>
      <c r="F744" s="8" t="inlineStr">
        <is>
          <t>2024-01-09 08:00</t>
        </is>
      </c>
      <c r="G744" s="12" t="n">
        <v>18337.64</v>
      </c>
      <c r="H744" s="8" t="inlineStr">
        <is>
          <t>m3</t>
        </is>
      </c>
      <c r="I744" s="8" t="inlineStr">
        <is>
          <t>cumulative</t>
        </is>
      </c>
      <c r="J744" s="8" t="inlineStr">
        <is>
          <t>CD</t>
        </is>
      </c>
      <c r="K744" s="8" t="inlineStr"/>
      <c r="L744" s="10">
        <f>IFERROR(IF(F744&lt;F743,"NEGATIVE",ROUND(F744-F743,2)),"")</f>
        <v/>
      </c>
    </row>
    <row r="745" ht="22" customHeight="1">
      <c r="B745" s="5" t="inlineStr">
        <is>
          <t>R00741</t>
        </is>
      </c>
      <c r="C745" s="5" t="inlineStr">
        <is>
          <t>MTR-DOM-006</t>
        </is>
      </c>
      <c r="D745" s="5" t="inlineStr">
        <is>
          <t>Utilities</t>
        </is>
      </c>
      <c r="E745" s="5" t="inlineStr">
        <is>
          <t>Domestic Supply</t>
        </is>
      </c>
      <c r="F745" s="5" t="inlineStr">
        <is>
          <t>2024-01-10 08:00</t>
        </is>
      </c>
      <c r="G745" s="11" t="n">
        <v>18346.75</v>
      </c>
      <c r="H745" s="5" t="inlineStr">
        <is>
          <t>m3</t>
        </is>
      </c>
      <c r="I745" s="5" t="inlineStr">
        <is>
          <t>cumulative</t>
        </is>
      </c>
      <c r="J745" s="5" t="inlineStr">
        <is>
          <t>GH</t>
        </is>
      </c>
      <c r="K745" s="5" t="inlineStr"/>
      <c r="L745" s="7">
        <f>IFERROR(IF(F745&lt;F744,"NEGATIVE",ROUND(F745-F744,2)),"")</f>
        <v/>
      </c>
    </row>
    <row r="746" ht="22" customHeight="1">
      <c r="B746" s="8" t="inlineStr">
        <is>
          <t>R00742</t>
        </is>
      </c>
      <c r="C746" s="8" t="inlineStr">
        <is>
          <t>MTR-DOM-006</t>
        </is>
      </c>
      <c r="D746" s="8" t="inlineStr">
        <is>
          <t>Utilities</t>
        </is>
      </c>
      <c r="E746" s="8" t="inlineStr">
        <is>
          <t>Domestic Supply</t>
        </is>
      </c>
      <c r="F746" s="8" t="inlineStr">
        <is>
          <t>2024-01-11 08:00</t>
        </is>
      </c>
      <c r="G746" s="12" t="n">
        <v>18355.75</v>
      </c>
      <c r="H746" s="8" t="inlineStr">
        <is>
          <t>m3</t>
        </is>
      </c>
      <c r="I746" s="8" t="inlineStr">
        <is>
          <t>cumulative</t>
        </is>
      </c>
      <c r="J746" s="8" t="inlineStr">
        <is>
          <t>EF</t>
        </is>
      </c>
      <c r="K746" s="8" t="inlineStr"/>
      <c r="L746" s="10">
        <f>IFERROR(IF(F746&lt;F745,"NEGATIVE",ROUND(F746-F745,2)),"")</f>
        <v/>
      </c>
    </row>
    <row r="747" ht="22" customHeight="1">
      <c r="B747" s="5" t="inlineStr">
        <is>
          <t>R00743</t>
        </is>
      </c>
      <c r="C747" s="5" t="inlineStr">
        <is>
          <t>MTR-DOM-006</t>
        </is>
      </c>
      <c r="D747" s="5" t="inlineStr">
        <is>
          <t>Utilities</t>
        </is>
      </c>
      <c r="E747" s="5" t="inlineStr">
        <is>
          <t>Domestic Supply</t>
        </is>
      </c>
      <c r="F747" s="5" t="inlineStr">
        <is>
          <t>2024-01-12 08:00</t>
        </is>
      </c>
      <c r="G747" s="11" t="n">
        <v>18366.25</v>
      </c>
      <c r="H747" s="5" t="inlineStr">
        <is>
          <t>m3</t>
        </is>
      </c>
      <c r="I747" s="5" t="inlineStr">
        <is>
          <t>cumulative</t>
        </is>
      </c>
      <c r="J747" s="5" t="inlineStr">
        <is>
          <t>EF</t>
        </is>
      </c>
      <c r="K747" s="5" t="inlineStr"/>
      <c r="L747" s="7">
        <f>IFERROR(IF(F747&lt;F746,"NEGATIVE",ROUND(F747-F746,2)),"")</f>
        <v/>
      </c>
    </row>
    <row r="748" ht="22" customHeight="1">
      <c r="B748" s="8" t="inlineStr">
        <is>
          <t>R00744</t>
        </is>
      </c>
      <c r="C748" s="8" t="inlineStr">
        <is>
          <t>MTR-DOM-006</t>
        </is>
      </c>
      <c r="D748" s="8" t="inlineStr">
        <is>
          <t>Utilities</t>
        </is>
      </c>
      <c r="E748" s="8" t="inlineStr">
        <is>
          <t>Domestic Supply</t>
        </is>
      </c>
      <c r="F748" s="8" t="inlineStr">
        <is>
          <t>2024-01-13 08:00</t>
        </is>
      </c>
      <c r="G748" s="12" t="n">
        <v>18373.5</v>
      </c>
      <c r="H748" s="8" t="inlineStr">
        <is>
          <t>m3</t>
        </is>
      </c>
      <c r="I748" s="8" t="inlineStr">
        <is>
          <t>cumulative</t>
        </is>
      </c>
      <c r="J748" s="8" t="inlineStr">
        <is>
          <t>AB</t>
        </is>
      </c>
      <c r="K748" s="8" t="inlineStr"/>
      <c r="L748" s="10">
        <f>IFERROR(IF(F748&lt;F747,"NEGATIVE",ROUND(F748-F747,2)),"")</f>
        <v/>
      </c>
    </row>
    <row r="749" ht="22" customHeight="1">
      <c r="B749" s="5" t="inlineStr">
        <is>
          <t>R00745</t>
        </is>
      </c>
      <c r="C749" s="5" t="inlineStr">
        <is>
          <t>MTR-DOM-006</t>
        </is>
      </c>
      <c r="D749" s="5" t="inlineStr">
        <is>
          <t>Utilities</t>
        </is>
      </c>
      <c r="E749" s="5" t="inlineStr">
        <is>
          <t>Domestic Supply</t>
        </is>
      </c>
      <c r="F749" s="5" t="inlineStr">
        <is>
          <t>2024-01-14 08:00</t>
        </is>
      </c>
      <c r="G749" s="11" t="n">
        <v>18378.92</v>
      </c>
      <c r="H749" s="5" t="inlineStr">
        <is>
          <t>m3</t>
        </is>
      </c>
      <c r="I749" s="5" t="inlineStr">
        <is>
          <t>cumulative</t>
        </is>
      </c>
      <c r="J749" s="5" t="inlineStr">
        <is>
          <t>IJ</t>
        </is>
      </c>
      <c r="K749" s="5" t="inlineStr"/>
      <c r="L749" s="7">
        <f>IFERROR(IF(F749&lt;F748,"NEGATIVE",ROUND(F749-F748,2)),"")</f>
        <v/>
      </c>
    </row>
    <row r="750" ht="22" customHeight="1">
      <c r="B750" s="8" t="inlineStr">
        <is>
          <t>R00746</t>
        </is>
      </c>
      <c r="C750" s="8" t="inlineStr">
        <is>
          <t>MTR-DOM-006</t>
        </is>
      </c>
      <c r="D750" s="8" t="inlineStr">
        <is>
          <t>Utilities</t>
        </is>
      </c>
      <c r="E750" s="8" t="inlineStr">
        <is>
          <t>Domestic Supply</t>
        </is>
      </c>
      <c r="F750" s="8" t="inlineStr">
        <is>
          <t>2024-01-15 08:00</t>
        </is>
      </c>
      <c r="G750" s="12" t="n">
        <v>18389.09</v>
      </c>
      <c r="H750" s="8" t="inlineStr">
        <is>
          <t>m3</t>
        </is>
      </c>
      <c r="I750" s="8" t="inlineStr">
        <is>
          <t>cumulative</t>
        </is>
      </c>
      <c r="J750" s="8" t="inlineStr">
        <is>
          <t>KL</t>
        </is>
      </c>
      <c r="K750" s="8" t="inlineStr"/>
      <c r="L750" s="10">
        <f>IFERROR(IF(F750&lt;F749,"NEGATIVE",ROUND(F750-F749,2)),"")</f>
        <v/>
      </c>
    </row>
    <row r="751" ht="22" customHeight="1">
      <c r="B751" s="5" t="inlineStr">
        <is>
          <t>R00747</t>
        </is>
      </c>
      <c r="C751" s="5" t="inlineStr">
        <is>
          <t>MTR-DOM-006</t>
        </is>
      </c>
      <c r="D751" s="5" t="inlineStr">
        <is>
          <t>Utilities</t>
        </is>
      </c>
      <c r="E751" s="5" t="inlineStr">
        <is>
          <t>Domestic Supply</t>
        </is>
      </c>
      <c r="F751" s="5" t="inlineStr">
        <is>
          <t>2024-01-16 08:00</t>
        </is>
      </c>
      <c r="G751" s="11" t="n">
        <v>18397.3</v>
      </c>
      <c r="H751" s="5" t="inlineStr">
        <is>
          <t>m3</t>
        </is>
      </c>
      <c r="I751" s="5" t="inlineStr">
        <is>
          <t>cumulative</t>
        </is>
      </c>
      <c r="J751" s="5" t="inlineStr">
        <is>
          <t>AB</t>
        </is>
      </c>
      <c r="K751" s="5" t="inlineStr"/>
      <c r="L751" s="7">
        <f>IFERROR(IF(F751&lt;F750,"NEGATIVE",ROUND(F751-F750,2)),"")</f>
        <v/>
      </c>
    </row>
    <row r="752" ht="22" customHeight="1">
      <c r="B752" s="8" t="inlineStr">
        <is>
          <t>R00748</t>
        </is>
      </c>
      <c r="C752" s="8" t="inlineStr">
        <is>
          <t>MTR-DOM-006</t>
        </is>
      </c>
      <c r="D752" s="8" t="inlineStr">
        <is>
          <t>Utilities</t>
        </is>
      </c>
      <c r="E752" s="8" t="inlineStr">
        <is>
          <t>Domestic Supply</t>
        </is>
      </c>
      <c r="F752" s="8" t="inlineStr">
        <is>
          <t>2024-01-17 08:00</t>
        </is>
      </c>
      <c r="G752" s="12" t="n">
        <v>18405.53</v>
      </c>
      <c r="H752" s="8" t="inlineStr">
        <is>
          <t>m3</t>
        </is>
      </c>
      <c r="I752" s="8" t="inlineStr">
        <is>
          <t>cumulative</t>
        </is>
      </c>
      <c r="J752" s="8" t="inlineStr">
        <is>
          <t>CD</t>
        </is>
      </c>
      <c r="K752" s="8" t="inlineStr"/>
      <c r="L752" s="10">
        <f>IFERROR(IF(F752&lt;F751,"NEGATIVE",ROUND(F752-F751,2)),"")</f>
        <v/>
      </c>
    </row>
    <row r="753" ht="22" customHeight="1">
      <c r="B753" s="5" t="inlineStr">
        <is>
          <t>R00749</t>
        </is>
      </c>
      <c r="C753" s="5" t="inlineStr">
        <is>
          <t>MTR-DOM-006</t>
        </is>
      </c>
      <c r="D753" s="5" t="inlineStr">
        <is>
          <t>Utilities</t>
        </is>
      </c>
      <c r="E753" s="5" t="inlineStr">
        <is>
          <t>Domestic Supply</t>
        </is>
      </c>
      <c r="F753" s="5" t="inlineStr">
        <is>
          <t>2024-01-18 08:00</t>
        </is>
      </c>
      <c r="G753" s="11" t="n">
        <v>18414.1</v>
      </c>
      <c r="H753" s="5" t="inlineStr">
        <is>
          <t>m3</t>
        </is>
      </c>
      <c r="I753" s="5" t="inlineStr">
        <is>
          <t>cumulative</t>
        </is>
      </c>
      <c r="J753" s="5" t="inlineStr">
        <is>
          <t>AB</t>
        </is>
      </c>
      <c r="K753" s="5" t="inlineStr"/>
      <c r="L753" s="7">
        <f>IFERROR(IF(F753&lt;F752,"NEGATIVE",ROUND(F753-F752,2)),"")</f>
        <v/>
      </c>
    </row>
    <row r="754" ht="22" customHeight="1">
      <c r="B754" s="8" t="inlineStr">
        <is>
          <t>R00750</t>
        </is>
      </c>
      <c r="C754" s="8" t="inlineStr">
        <is>
          <t>MTR-DOM-006</t>
        </is>
      </c>
      <c r="D754" s="8" t="inlineStr">
        <is>
          <t>Utilities</t>
        </is>
      </c>
      <c r="E754" s="8" t="inlineStr">
        <is>
          <t>Domestic Supply</t>
        </is>
      </c>
      <c r="F754" s="8" t="inlineStr">
        <is>
          <t>2024-01-19 08:00</t>
        </is>
      </c>
      <c r="G754" s="12" t="n">
        <v>18424.2</v>
      </c>
      <c r="H754" s="8" t="inlineStr">
        <is>
          <t>m3</t>
        </is>
      </c>
      <c r="I754" s="8" t="inlineStr">
        <is>
          <t>cumulative</t>
        </is>
      </c>
      <c r="J754" s="8" t="inlineStr">
        <is>
          <t>AB</t>
        </is>
      </c>
      <c r="K754" s="8" t="inlineStr"/>
      <c r="L754" s="10">
        <f>IFERROR(IF(F754&lt;F753,"NEGATIVE",ROUND(F754-F753,2)),"")</f>
        <v/>
      </c>
    </row>
    <row r="755" ht="22" customHeight="1">
      <c r="B755" s="5" t="inlineStr">
        <is>
          <t>R00751</t>
        </is>
      </c>
      <c r="C755" s="5" t="inlineStr">
        <is>
          <t>MTR-DOM-006</t>
        </is>
      </c>
      <c r="D755" s="5" t="inlineStr">
        <is>
          <t>Utilities</t>
        </is>
      </c>
      <c r="E755" s="5" t="inlineStr">
        <is>
          <t>Domestic Supply</t>
        </is>
      </c>
      <c r="F755" s="5" t="inlineStr">
        <is>
          <t>2024-01-20 08:00</t>
        </is>
      </c>
      <c r="G755" s="11" t="n">
        <v>18430.93</v>
      </c>
      <c r="H755" s="5" t="inlineStr">
        <is>
          <t>m3</t>
        </is>
      </c>
      <c r="I755" s="5" t="inlineStr">
        <is>
          <t>cumulative</t>
        </is>
      </c>
      <c r="J755" s="5" t="inlineStr">
        <is>
          <t>KL</t>
        </is>
      </c>
      <c r="K755" s="5" t="inlineStr"/>
      <c r="L755" s="7">
        <f>IFERROR(IF(F755&lt;F754,"NEGATIVE",ROUND(F755-F754,2)),"")</f>
        <v/>
      </c>
    </row>
    <row r="756" ht="22" customHeight="1">
      <c r="B756" s="8" t="inlineStr">
        <is>
          <t>R00752</t>
        </is>
      </c>
      <c r="C756" s="8" t="inlineStr">
        <is>
          <t>MTR-DOM-006</t>
        </is>
      </c>
      <c r="D756" s="8" t="inlineStr">
        <is>
          <t>Utilities</t>
        </is>
      </c>
      <c r="E756" s="8" t="inlineStr">
        <is>
          <t>Domestic Supply</t>
        </is>
      </c>
      <c r="F756" s="8" t="inlineStr">
        <is>
          <t>2024-01-21 08:00</t>
        </is>
      </c>
      <c r="G756" s="12" t="n">
        <v>18435.7</v>
      </c>
      <c r="H756" s="8" t="inlineStr">
        <is>
          <t>m3</t>
        </is>
      </c>
      <c r="I756" s="8" t="inlineStr">
        <is>
          <t>cumulative</t>
        </is>
      </c>
      <c r="J756" s="8" t="inlineStr">
        <is>
          <t>GH</t>
        </is>
      </c>
      <c r="K756" s="8" t="inlineStr"/>
      <c r="L756" s="10">
        <f>IFERROR(IF(F756&lt;F755,"NEGATIVE",ROUND(F756-F755,2)),"")</f>
        <v/>
      </c>
    </row>
    <row r="757" ht="22" customHeight="1">
      <c r="B757" s="5" t="inlineStr">
        <is>
          <t>R00753</t>
        </is>
      </c>
      <c r="C757" s="5" t="inlineStr">
        <is>
          <t>MTR-DOM-006</t>
        </is>
      </c>
      <c r="D757" s="5" t="inlineStr">
        <is>
          <t>Utilities</t>
        </is>
      </c>
      <c r="E757" s="5" t="inlineStr">
        <is>
          <t>Domestic Supply</t>
        </is>
      </c>
      <c r="F757" s="5" t="inlineStr">
        <is>
          <t>2024-01-22 08:00</t>
        </is>
      </c>
      <c r="G757" s="11" t="n">
        <v>18444.35</v>
      </c>
      <c r="H757" s="5" t="inlineStr">
        <is>
          <t>m3</t>
        </is>
      </c>
      <c r="I757" s="5" t="inlineStr">
        <is>
          <t>cumulative</t>
        </is>
      </c>
      <c r="J757" s="5" t="inlineStr">
        <is>
          <t>AB</t>
        </is>
      </c>
      <c r="K757" s="5" t="inlineStr"/>
      <c r="L757" s="7">
        <f>IFERROR(IF(F757&lt;F756,"NEGATIVE",ROUND(F757-F756,2)),"")</f>
        <v/>
      </c>
    </row>
    <row r="758" ht="22" customHeight="1">
      <c r="B758" s="8" t="inlineStr">
        <is>
          <t>R00754</t>
        </is>
      </c>
      <c r="C758" s="8" t="inlineStr">
        <is>
          <t>MTR-DOM-006</t>
        </is>
      </c>
      <c r="D758" s="8" t="inlineStr">
        <is>
          <t>Utilities</t>
        </is>
      </c>
      <c r="E758" s="8" t="inlineStr">
        <is>
          <t>Domestic Supply</t>
        </is>
      </c>
      <c r="F758" s="8" t="inlineStr">
        <is>
          <t>2024-01-23 08:00</t>
        </is>
      </c>
      <c r="G758" s="12" t="n">
        <v>18452.61</v>
      </c>
      <c r="H758" s="8" t="inlineStr">
        <is>
          <t>m3</t>
        </is>
      </c>
      <c r="I758" s="8" t="inlineStr">
        <is>
          <t>cumulative</t>
        </is>
      </c>
      <c r="J758" s="8" t="inlineStr">
        <is>
          <t>CD</t>
        </is>
      </c>
      <c r="K758" s="8" t="inlineStr"/>
      <c r="L758" s="10">
        <f>IFERROR(IF(F758&lt;F757,"NEGATIVE",ROUND(F758-F757,2)),"")</f>
        <v/>
      </c>
    </row>
    <row r="759" ht="22" customHeight="1">
      <c r="B759" s="5" t="inlineStr">
        <is>
          <t>R00755</t>
        </is>
      </c>
      <c r="C759" s="5" t="inlineStr">
        <is>
          <t>MTR-DOM-006</t>
        </is>
      </c>
      <c r="D759" s="5" t="inlineStr">
        <is>
          <t>Utilities</t>
        </is>
      </c>
      <c r="E759" s="5" t="inlineStr">
        <is>
          <t>Domestic Supply</t>
        </is>
      </c>
      <c r="F759" s="5" t="inlineStr">
        <is>
          <t>2024-01-24 08:00</t>
        </is>
      </c>
      <c r="G759" s="11" t="n">
        <v>18461.83</v>
      </c>
      <c r="H759" s="5" t="inlineStr">
        <is>
          <t>m3</t>
        </is>
      </c>
      <c r="I759" s="5" t="inlineStr">
        <is>
          <t>cumulative</t>
        </is>
      </c>
      <c r="J759" s="5" t="inlineStr">
        <is>
          <t>IJ</t>
        </is>
      </c>
      <c r="K759" s="5" t="inlineStr"/>
      <c r="L759" s="7">
        <f>IFERROR(IF(F759&lt;F758,"NEGATIVE",ROUND(F759-F758,2)),"")</f>
        <v/>
      </c>
    </row>
    <row r="760" ht="22" customHeight="1">
      <c r="B760" s="8" t="inlineStr">
        <is>
          <t>R00756</t>
        </is>
      </c>
      <c r="C760" s="8" t="inlineStr">
        <is>
          <t>MTR-DOM-006</t>
        </is>
      </c>
      <c r="D760" s="8" t="inlineStr">
        <is>
          <t>Utilities</t>
        </is>
      </c>
      <c r="E760" s="8" t="inlineStr">
        <is>
          <t>Domestic Supply</t>
        </is>
      </c>
      <c r="F760" s="8" t="inlineStr">
        <is>
          <t>2024-01-25 08:00</t>
        </is>
      </c>
      <c r="G760" s="12" t="n">
        <v>18470.71</v>
      </c>
      <c r="H760" s="8" t="inlineStr">
        <is>
          <t>m3</t>
        </is>
      </c>
      <c r="I760" s="8" t="inlineStr">
        <is>
          <t>cumulative</t>
        </is>
      </c>
      <c r="J760" s="8" t="inlineStr">
        <is>
          <t>EF</t>
        </is>
      </c>
      <c r="K760" s="8" t="inlineStr"/>
      <c r="L760" s="10">
        <f>IFERROR(IF(F760&lt;F759,"NEGATIVE",ROUND(F760-F759,2)),"")</f>
        <v/>
      </c>
    </row>
    <row r="761" ht="22" customHeight="1">
      <c r="B761" s="5" t="inlineStr">
        <is>
          <t>R00757</t>
        </is>
      </c>
      <c r="C761" s="5" t="inlineStr">
        <is>
          <t>MTR-DOM-006</t>
        </is>
      </c>
      <c r="D761" s="5" t="inlineStr">
        <is>
          <t>Utilities</t>
        </is>
      </c>
      <c r="E761" s="5" t="inlineStr">
        <is>
          <t>Domestic Supply</t>
        </is>
      </c>
      <c r="F761" s="5" t="inlineStr">
        <is>
          <t>2024-01-26 08:00</t>
        </is>
      </c>
      <c r="G761" s="11" t="n">
        <v>18481.39</v>
      </c>
      <c r="H761" s="5" t="inlineStr">
        <is>
          <t>m3</t>
        </is>
      </c>
      <c r="I761" s="5" t="inlineStr">
        <is>
          <t>cumulative</t>
        </is>
      </c>
      <c r="J761" s="5" t="inlineStr">
        <is>
          <t>AB</t>
        </is>
      </c>
      <c r="K761" s="5" t="inlineStr"/>
      <c r="L761" s="7">
        <f>IFERROR(IF(F761&lt;F760,"NEGATIVE",ROUND(F761-F760,2)),"")</f>
        <v/>
      </c>
    </row>
    <row r="762" ht="22" customHeight="1">
      <c r="B762" s="8" t="inlineStr">
        <is>
          <t>R00758</t>
        </is>
      </c>
      <c r="C762" s="8" t="inlineStr">
        <is>
          <t>MTR-DOM-006</t>
        </is>
      </c>
      <c r="D762" s="8" t="inlineStr">
        <is>
          <t>Utilities</t>
        </is>
      </c>
      <c r="E762" s="8" t="inlineStr">
        <is>
          <t>Domestic Supply</t>
        </is>
      </c>
      <c r="F762" s="8" t="inlineStr">
        <is>
          <t>2024-01-27 08:00</t>
        </is>
      </c>
      <c r="G762" s="12" t="n">
        <v>18489.77</v>
      </c>
      <c r="H762" s="8" t="inlineStr">
        <is>
          <t>m3</t>
        </is>
      </c>
      <c r="I762" s="8" t="inlineStr">
        <is>
          <t>cumulative</t>
        </is>
      </c>
      <c r="J762" s="8" t="inlineStr">
        <is>
          <t>EF</t>
        </is>
      </c>
      <c r="K762" s="8" t="inlineStr"/>
      <c r="L762" s="10">
        <f>IFERROR(IF(F762&lt;F761,"NEGATIVE",ROUND(F762-F761,2)),"")</f>
        <v/>
      </c>
    </row>
    <row r="763" ht="22" customHeight="1">
      <c r="B763" s="5" t="inlineStr">
        <is>
          <t>R00759</t>
        </is>
      </c>
      <c r="C763" s="5" t="inlineStr">
        <is>
          <t>MTR-DOM-006</t>
        </is>
      </c>
      <c r="D763" s="5" t="inlineStr">
        <is>
          <t>Utilities</t>
        </is>
      </c>
      <c r="E763" s="5" t="inlineStr">
        <is>
          <t>Domestic Supply</t>
        </is>
      </c>
      <c r="F763" s="5" t="inlineStr">
        <is>
          <t>2024-01-28 08:00</t>
        </is>
      </c>
      <c r="G763" s="11" t="n">
        <v>18494.29</v>
      </c>
      <c r="H763" s="5" t="inlineStr">
        <is>
          <t>m3</t>
        </is>
      </c>
      <c r="I763" s="5" t="inlineStr">
        <is>
          <t>cumulative</t>
        </is>
      </c>
      <c r="J763" s="5" t="inlineStr">
        <is>
          <t>EF</t>
        </is>
      </c>
      <c r="K763" s="5" t="inlineStr"/>
      <c r="L763" s="7">
        <f>IFERROR(IF(F763&lt;F762,"NEGATIVE",ROUND(F763-F762,2)),"")</f>
        <v/>
      </c>
    </row>
    <row r="764" ht="22" customHeight="1">
      <c r="B764" s="8" t="inlineStr">
        <is>
          <t>R00760</t>
        </is>
      </c>
      <c r="C764" s="8" t="inlineStr">
        <is>
          <t>MTR-DOM-006</t>
        </is>
      </c>
      <c r="D764" s="8" t="inlineStr">
        <is>
          <t>Utilities</t>
        </is>
      </c>
      <c r="E764" s="8" t="inlineStr">
        <is>
          <t>Domestic Supply</t>
        </is>
      </c>
      <c r="F764" s="8" t="inlineStr">
        <is>
          <t>2024-01-29 08:00</t>
        </is>
      </c>
      <c r="G764" s="12" t="n">
        <v>18502.33</v>
      </c>
      <c r="H764" s="8" t="inlineStr">
        <is>
          <t>m3</t>
        </is>
      </c>
      <c r="I764" s="8" t="inlineStr">
        <is>
          <t>cumulative</t>
        </is>
      </c>
      <c r="J764" s="8" t="inlineStr">
        <is>
          <t>CD</t>
        </is>
      </c>
      <c r="K764" s="8" t="inlineStr"/>
      <c r="L764" s="10">
        <f>IFERROR(IF(F764&lt;F763,"NEGATIVE",ROUND(F764-F763,2)),"")</f>
        <v/>
      </c>
    </row>
    <row r="765" ht="22" customHeight="1">
      <c r="B765" s="5" t="inlineStr">
        <is>
          <t>R00761</t>
        </is>
      </c>
      <c r="C765" s="5" t="inlineStr">
        <is>
          <t>MTR-DOM-006</t>
        </is>
      </c>
      <c r="D765" s="5" t="inlineStr">
        <is>
          <t>Utilities</t>
        </is>
      </c>
      <c r="E765" s="5" t="inlineStr">
        <is>
          <t>Domestic Supply</t>
        </is>
      </c>
      <c r="F765" s="5" t="inlineStr">
        <is>
          <t>2024-01-30 08:00</t>
        </is>
      </c>
      <c r="G765" s="11" t="n">
        <v>18512.93</v>
      </c>
      <c r="H765" s="5" t="inlineStr">
        <is>
          <t>m3</t>
        </is>
      </c>
      <c r="I765" s="5" t="inlineStr">
        <is>
          <t>cumulative</t>
        </is>
      </c>
      <c r="J765" s="5" t="inlineStr">
        <is>
          <t>IJ</t>
        </is>
      </c>
      <c r="K765" s="5" t="inlineStr"/>
      <c r="L765" s="7">
        <f>IFERROR(IF(F765&lt;F764,"NEGATIVE",ROUND(F765-F764,2)),"")</f>
        <v/>
      </c>
    </row>
    <row r="766" ht="22" customHeight="1">
      <c r="B766" s="8" t="inlineStr">
        <is>
          <t>R00762</t>
        </is>
      </c>
      <c r="C766" s="8" t="inlineStr">
        <is>
          <t>MTR-DOM-006</t>
        </is>
      </c>
      <c r="D766" s="8" t="inlineStr">
        <is>
          <t>Utilities</t>
        </is>
      </c>
      <c r="E766" s="8" t="inlineStr">
        <is>
          <t>Domestic Supply</t>
        </is>
      </c>
      <c r="F766" s="8" t="inlineStr">
        <is>
          <t>2024-01-31 08:00</t>
        </is>
      </c>
      <c r="G766" s="12" t="n">
        <v>18522.9</v>
      </c>
      <c r="H766" s="8" t="inlineStr">
        <is>
          <t>m3</t>
        </is>
      </c>
      <c r="I766" s="8" t="inlineStr">
        <is>
          <t>cumulative</t>
        </is>
      </c>
      <c r="J766" s="8" t="inlineStr">
        <is>
          <t>KL</t>
        </is>
      </c>
      <c r="K766" s="8" t="inlineStr"/>
      <c r="L766" s="10">
        <f>IFERROR(IF(F766&lt;F765,"NEGATIVE",ROUND(F766-F765,2)),"")</f>
        <v/>
      </c>
    </row>
    <row r="767" ht="22" customHeight="1">
      <c r="B767" s="5" t="inlineStr">
        <is>
          <t>R00763</t>
        </is>
      </c>
      <c r="C767" s="5" t="inlineStr">
        <is>
          <t>MTR-DOM-006</t>
        </is>
      </c>
      <c r="D767" s="5" t="inlineStr">
        <is>
          <t>Utilities</t>
        </is>
      </c>
      <c r="E767" s="5" t="inlineStr">
        <is>
          <t>Domestic Supply</t>
        </is>
      </c>
      <c r="F767" s="5" t="inlineStr">
        <is>
          <t>2024-02-01 08:00</t>
        </is>
      </c>
      <c r="G767" s="11" t="n">
        <v>18533.75</v>
      </c>
      <c r="H767" s="5" t="inlineStr">
        <is>
          <t>m3</t>
        </is>
      </c>
      <c r="I767" s="5" t="inlineStr">
        <is>
          <t>cumulative</t>
        </is>
      </c>
      <c r="J767" s="5" t="inlineStr">
        <is>
          <t>AB</t>
        </is>
      </c>
      <c r="K767" s="5" t="inlineStr"/>
      <c r="L767" s="7">
        <f>IFERROR(IF(F767&lt;F766,"NEGATIVE",ROUND(F767-F766,2)),"")</f>
        <v/>
      </c>
    </row>
    <row r="768" ht="22" customHeight="1">
      <c r="B768" s="8" t="inlineStr">
        <is>
          <t>R00764</t>
        </is>
      </c>
      <c r="C768" s="8" t="inlineStr">
        <is>
          <t>MTR-DOM-006</t>
        </is>
      </c>
      <c r="D768" s="8" t="inlineStr">
        <is>
          <t>Utilities</t>
        </is>
      </c>
      <c r="E768" s="8" t="inlineStr">
        <is>
          <t>Domestic Supply</t>
        </is>
      </c>
      <c r="F768" s="8" t="inlineStr">
        <is>
          <t>2024-02-02 08:00</t>
        </is>
      </c>
      <c r="G768" s="12" t="n">
        <v>18542.34</v>
      </c>
      <c r="H768" s="8" t="inlineStr">
        <is>
          <t>m3</t>
        </is>
      </c>
      <c r="I768" s="8" t="inlineStr">
        <is>
          <t>cumulative</t>
        </is>
      </c>
      <c r="J768" s="8" t="inlineStr">
        <is>
          <t>AB</t>
        </is>
      </c>
      <c r="K768" s="8" t="inlineStr"/>
      <c r="L768" s="10">
        <f>IFERROR(IF(F768&lt;F767,"NEGATIVE",ROUND(F768-F767,2)),"")</f>
        <v/>
      </c>
    </row>
    <row r="769" ht="22" customHeight="1">
      <c r="B769" s="5" t="inlineStr">
        <is>
          <t>R00765</t>
        </is>
      </c>
      <c r="C769" s="5" t="inlineStr">
        <is>
          <t>MTR-DOM-006</t>
        </is>
      </c>
      <c r="D769" s="5" t="inlineStr">
        <is>
          <t>Utilities</t>
        </is>
      </c>
      <c r="E769" s="5" t="inlineStr">
        <is>
          <t>Domestic Supply</t>
        </is>
      </c>
      <c r="F769" s="5" t="inlineStr">
        <is>
          <t>2024-02-03 08:00</t>
        </is>
      </c>
      <c r="G769" s="11" t="n">
        <v>18549.7</v>
      </c>
      <c r="H769" s="5" t="inlineStr">
        <is>
          <t>m3</t>
        </is>
      </c>
      <c r="I769" s="5" t="inlineStr">
        <is>
          <t>cumulative</t>
        </is>
      </c>
      <c r="J769" s="5" t="inlineStr">
        <is>
          <t>AB</t>
        </is>
      </c>
      <c r="K769" s="5" t="inlineStr"/>
      <c r="L769" s="7">
        <f>IFERROR(IF(F769&lt;F768,"NEGATIVE",ROUND(F769-F768,2)),"")</f>
        <v/>
      </c>
    </row>
    <row r="770" ht="22" customHeight="1">
      <c r="B770" s="8" t="inlineStr">
        <is>
          <t>R00766</t>
        </is>
      </c>
      <c r="C770" s="8" t="inlineStr">
        <is>
          <t>MTR-DOM-006</t>
        </is>
      </c>
      <c r="D770" s="8" t="inlineStr">
        <is>
          <t>Utilities</t>
        </is>
      </c>
      <c r="E770" s="8" t="inlineStr">
        <is>
          <t>Domestic Supply</t>
        </is>
      </c>
      <c r="F770" s="8" t="inlineStr">
        <is>
          <t>2024-02-04 08:00</t>
        </is>
      </c>
      <c r="G770" s="12" t="n">
        <v>18554.31</v>
      </c>
      <c r="H770" s="8" t="inlineStr">
        <is>
          <t>m3</t>
        </is>
      </c>
      <c r="I770" s="8" t="inlineStr">
        <is>
          <t>cumulative</t>
        </is>
      </c>
      <c r="J770" s="8" t="inlineStr">
        <is>
          <t>EF</t>
        </is>
      </c>
      <c r="K770" s="8" t="inlineStr"/>
      <c r="L770" s="10">
        <f>IFERROR(IF(F770&lt;F769,"NEGATIVE",ROUND(F770-F769,2)),"")</f>
        <v/>
      </c>
    </row>
    <row r="771" ht="22" customHeight="1">
      <c r="B771" s="5" t="inlineStr">
        <is>
          <t>R00767</t>
        </is>
      </c>
      <c r="C771" s="5" t="inlineStr">
        <is>
          <t>MTR-DOM-006</t>
        </is>
      </c>
      <c r="D771" s="5" t="inlineStr">
        <is>
          <t>Utilities</t>
        </is>
      </c>
      <c r="E771" s="5" t="inlineStr">
        <is>
          <t>Domestic Supply</t>
        </is>
      </c>
      <c r="F771" s="5" t="inlineStr">
        <is>
          <t>2024-02-05 08:00</t>
        </is>
      </c>
      <c r="G771" s="11" t="n">
        <v>18563.14</v>
      </c>
      <c r="H771" s="5" t="inlineStr">
        <is>
          <t>m3</t>
        </is>
      </c>
      <c r="I771" s="5" t="inlineStr">
        <is>
          <t>cumulative</t>
        </is>
      </c>
      <c r="J771" s="5" t="inlineStr">
        <is>
          <t>AB</t>
        </is>
      </c>
      <c r="K771" s="5" t="inlineStr"/>
      <c r="L771" s="7">
        <f>IFERROR(IF(F771&lt;F770,"NEGATIVE",ROUND(F771-F770,2)),"")</f>
        <v/>
      </c>
    </row>
    <row r="772" ht="22" customHeight="1">
      <c r="B772" s="8" t="inlineStr">
        <is>
          <t>R00768</t>
        </is>
      </c>
      <c r="C772" s="8" t="inlineStr">
        <is>
          <t>MTR-DOM-006</t>
        </is>
      </c>
      <c r="D772" s="8" t="inlineStr">
        <is>
          <t>Utilities</t>
        </is>
      </c>
      <c r="E772" s="8" t="inlineStr">
        <is>
          <t>Domestic Supply</t>
        </is>
      </c>
      <c r="F772" s="8" t="inlineStr">
        <is>
          <t>2024-02-06 08:00</t>
        </is>
      </c>
      <c r="G772" s="12" t="n">
        <v>18574.18</v>
      </c>
      <c r="H772" s="8" t="inlineStr">
        <is>
          <t>m3</t>
        </is>
      </c>
      <c r="I772" s="8" t="inlineStr">
        <is>
          <t>cumulative</t>
        </is>
      </c>
      <c r="J772" s="8" t="inlineStr">
        <is>
          <t>EF</t>
        </is>
      </c>
      <c r="K772" s="8" t="inlineStr"/>
      <c r="L772" s="10">
        <f>IFERROR(IF(F772&lt;F771,"NEGATIVE",ROUND(F772-F771,2)),"")</f>
        <v/>
      </c>
    </row>
    <row r="773" ht="22" customHeight="1">
      <c r="B773" s="5" t="inlineStr">
        <is>
          <t>R00769</t>
        </is>
      </c>
      <c r="C773" s="5" t="inlineStr">
        <is>
          <t>MTR-DOM-006</t>
        </is>
      </c>
      <c r="D773" s="5" t="inlineStr">
        <is>
          <t>Utilities</t>
        </is>
      </c>
      <c r="E773" s="5" t="inlineStr">
        <is>
          <t>Domestic Supply</t>
        </is>
      </c>
      <c r="F773" s="5" t="inlineStr">
        <is>
          <t>2024-02-07 08:00</t>
        </is>
      </c>
      <c r="G773" s="11" t="n">
        <v>18583.32</v>
      </c>
      <c r="H773" s="5" t="inlineStr">
        <is>
          <t>m3</t>
        </is>
      </c>
      <c r="I773" s="5" t="inlineStr">
        <is>
          <t>cumulative</t>
        </is>
      </c>
      <c r="J773" s="5" t="inlineStr">
        <is>
          <t>CD</t>
        </is>
      </c>
      <c r="K773" s="5" t="inlineStr"/>
      <c r="L773" s="7">
        <f>IFERROR(IF(F773&lt;F772,"NEGATIVE",ROUND(F773-F772,2)),"")</f>
        <v/>
      </c>
    </row>
    <row r="774" ht="22" customHeight="1">
      <c r="B774" s="8" t="inlineStr">
        <is>
          <t>R00770</t>
        </is>
      </c>
      <c r="C774" s="8" t="inlineStr">
        <is>
          <t>MTR-DOM-006</t>
        </is>
      </c>
      <c r="D774" s="8" t="inlineStr">
        <is>
          <t>Utilities</t>
        </is>
      </c>
      <c r="E774" s="8" t="inlineStr">
        <is>
          <t>Domestic Supply</t>
        </is>
      </c>
      <c r="F774" s="8" t="inlineStr">
        <is>
          <t>2024-02-08 08:00</t>
        </is>
      </c>
      <c r="G774" s="12" t="n">
        <v>18592.48</v>
      </c>
      <c r="H774" s="8" t="inlineStr">
        <is>
          <t>m3</t>
        </is>
      </c>
      <c r="I774" s="8" t="inlineStr">
        <is>
          <t>cumulative</t>
        </is>
      </c>
      <c r="J774" s="8" t="inlineStr">
        <is>
          <t>CD</t>
        </is>
      </c>
      <c r="K774" s="8" t="inlineStr"/>
      <c r="L774" s="10">
        <f>IFERROR(IF(F774&lt;F773,"NEGATIVE",ROUND(F774-F773,2)),"")</f>
        <v/>
      </c>
    </row>
    <row r="775" ht="22" customHeight="1">
      <c r="B775" s="5" t="inlineStr">
        <is>
          <t>R00771</t>
        </is>
      </c>
      <c r="C775" s="5" t="inlineStr">
        <is>
          <t>MTR-DOM-006</t>
        </is>
      </c>
      <c r="D775" s="5" t="inlineStr">
        <is>
          <t>Utilities</t>
        </is>
      </c>
      <c r="E775" s="5" t="inlineStr">
        <is>
          <t>Domestic Supply</t>
        </is>
      </c>
      <c r="F775" s="5" t="inlineStr">
        <is>
          <t>2024-02-09 08:00</t>
        </is>
      </c>
      <c r="G775" s="11" t="n">
        <v>18601.25</v>
      </c>
      <c r="H775" s="5" t="inlineStr">
        <is>
          <t>m3</t>
        </is>
      </c>
      <c r="I775" s="5" t="inlineStr">
        <is>
          <t>cumulative</t>
        </is>
      </c>
      <c r="J775" s="5" t="inlineStr">
        <is>
          <t>AB</t>
        </is>
      </c>
      <c r="K775" s="5" t="inlineStr"/>
      <c r="L775" s="7">
        <f>IFERROR(IF(F775&lt;F774,"NEGATIVE",ROUND(F775-F774,2)),"")</f>
        <v/>
      </c>
    </row>
    <row r="776" ht="22" customHeight="1">
      <c r="B776" s="8" t="inlineStr">
        <is>
          <t>R00772</t>
        </is>
      </c>
      <c r="C776" s="8" t="inlineStr">
        <is>
          <t>MTR-DOM-006</t>
        </is>
      </c>
      <c r="D776" s="8" t="inlineStr">
        <is>
          <t>Utilities</t>
        </is>
      </c>
      <c r="E776" s="8" t="inlineStr">
        <is>
          <t>Domestic Supply</t>
        </is>
      </c>
      <c r="F776" s="8" t="inlineStr">
        <is>
          <t>2024-02-10 08:00</t>
        </is>
      </c>
      <c r="G776" s="12" t="n">
        <v>18608.01</v>
      </c>
      <c r="H776" s="8" t="inlineStr">
        <is>
          <t>m3</t>
        </is>
      </c>
      <c r="I776" s="8" t="inlineStr">
        <is>
          <t>cumulative</t>
        </is>
      </c>
      <c r="J776" s="8" t="inlineStr">
        <is>
          <t>CD</t>
        </is>
      </c>
      <c r="K776" s="8" t="inlineStr"/>
      <c r="L776" s="10">
        <f>IFERROR(IF(F776&lt;F775,"NEGATIVE",ROUND(F776-F775,2)),"")</f>
        <v/>
      </c>
    </row>
    <row r="777" ht="22" customHeight="1">
      <c r="B777" s="5" t="inlineStr">
        <is>
          <t>R00773</t>
        </is>
      </c>
      <c r="C777" s="5" t="inlineStr">
        <is>
          <t>MTR-DOM-006</t>
        </is>
      </c>
      <c r="D777" s="5" t="inlineStr">
        <is>
          <t>Utilities</t>
        </is>
      </c>
      <c r="E777" s="5" t="inlineStr">
        <is>
          <t>Domestic Supply</t>
        </is>
      </c>
      <c r="F777" s="5" t="inlineStr">
        <is>
          <t>2024-02-11 08:00</t>
        </is>
      </c>
      <c r="G777" s="11" t="n">
        <v>18612.96</v>
      </c>
      <c r="H777" s="5" t="inlineStr">
        <is>
          <t>m3</t>
        </is>
      </c>
      <c r="I777" s="5" t="inlineStr">
        <is>
          <t>cumulative</t>
        </is>
      </c>
      <c r="J777" s="5" t="inlineStr">
        <is>
          <t>CD</t>
        </is>
      </c>
      <c r="K777" s="5" t="inlineStr"/>
      <c r="L777" s="7">
        <f>IFERROR(IF(F777&lt;F776,"NEGATIVE",ROUND(F777-F776,2)),"")</f>
        <v/>
      </c>
    </row>
    <row r="778" ht="22" customHeight="1">
      <c r="B778" s="8" t="inlineStr">
        <is>
          <t>R00774</t>
        </is>
      </c>
      <c r="C778" s="8" t="inlineStr">
        <is>
          <t>MTR-DOM-006</t>
        </is>
      </c>
      <c r="D778" s="8" t="inlineStr">
        <is>
          <t>Utilities</t>
        </is>
      </c>
      <c r="E778" s="8" t="inlineStr">
        <is>
          <t>Domestic Supply</t>
        </is>
      </c>
      <c r="F778" s="8" t="inlineStr">
        <is>
          <t>2024-02-12 08:00</t>
        </is>
      </c>
      <c r="G778" s="12" t="n">
        <v>18622.86</v>
      </c>
      <c r="H778" s="8" t="inlineStr">
        <is>
          <t>m3</t>
        </is>
      </c>
      <c r="I778" s="8" t="inlineStr">
        <is>
          <t>cumulative</t>
        </is>
      </c>
      <c r="J778" s="8" t="inlineStr">
        <is>
          <t>AB</t>
        </is>
      </c>
      <c r="K778" s="8" t="inlineStr"/>
      <c r="L778" s="10">
        <f>IFERROR(IF(F778&lt;F777,"NEGATIVE",ROUND(F778-F777,2)),"")</f>
        <v/>
      </c>
    </row>
    <row r="779" ht="22" customHeight="1">
      <c r="B779" s="5" t="inlineStr">
        <is>
          <t>R00775</t>
        </is>
      </c>
      <c r="C779" s="5" t="inlineStr">
        <is>
          <t>MTR-DOM-006</t>
        </is>
      </c>
      <c r="D779" s="5" t="inlineStr">
        <is>
          <t>Utilities</t>
        </is>
      </c>
      <c r="E779" s="5" t="inlineStr">
        <is>
          <t>Domestic Supply</t>
        </is>
      </c>
      <c r="F779" s="5" t="inlineStr">
        <is>
          <t>2024-02-13 08:00</t>
        </is>
      </c>
      <c r="G779" s="11" t="n">
        <v>18633.56</v>
      </c>
      <c r="H779" s="5" t="inlineStr">
        <is>
          <t>m3</t>
        </is>
      </c>
      <c r="I779" s="5" t="inlineStr">
        <is>
          <t>cumulative</t>
        </is>
      </c>
      <c r="J779" s="5" t="inlineStr">
        <is>
          <t>IJ</t>
        </is>
      </c>
      <c r="K779" s="5" t="inlineStr"/>
      <c r="L779" s="7">
        <f>IFERROR(IF(F779&lt;F778,"NEGATIVE",ROUND(F779-F778,2)),"")</f>
        <v/>
      </c>
    </row>
    <row r="780" ht="22" customHeight="1">
      <c r="B780" s="8" t="inlineStr">
        <is>
          <t>R00776</t>
        </is>
      </c>
      <c r="C780" s="8" t="inlineStr">
        <is>
          <t>MTR-DOM-006</t>
        </is>
      </c>
      <c r="D780" s="8" t="inlineStr">
        <is>
          <t>Utilities</t>
        </is>
      </c>
      <c r="E780" s="8" t="inlineStr">
        <is>
          <t>Domestic Supply</t>
        </is>
      </c>
      <c r="F780" s="8" t="inlineStr">
        <is>
          <t>2024-02-14 08:00</t>
        </is>
      </c>
      <c r="G780" s="12" t="n">
        <v>18643.25</v>
      </c>
      <c r="H780" s="8" t="inlineStr">
        <is>
          <t>m3</t>
        </is>
      </c>
      <c r="I780" s="8" t="inlineStr">
        <is>
          <t>cumulative</t>
        </is>
      </c>
      <c r="J780" s="8" t="inlineStr">
        <is>
          <t>CD</t>
        </is>
      </c>
      <c r="K780" s="8" t="inlineStr"/>
      <c r="L780" s="10">
        <f>IFERROR(IF(F780&lt;F779,"NEGATIVE",ROUND(F780-F779,2)),"")</f>
        <v/>
      </c>
    </row>
    <row r="781" ht="22" customHeight="1">
      <c r="B781" s="5" t="inlineStr">
        <is>
          <t>R00777</t>
        </is>
      </c>
      <c r="C781" s="5" t="inlineStr">
        <is>
          <t>MTR-DOM-006</t>
        </is>
      </c>
      <c r="D781" s="5" t="inlineStr">
        <is>
          <t>Utilities</t>
        </is>
      </c>
      <c r="E781" s="5" t="inlineStr">
        <is>
          <t>Domestic Supply</t>
        </is>
      </c>
      <c r="F781" s="5" t="inlineStr">
        <is>
          <t>2024-02-15 08:00</t>
        </is>
      </c>
      <c r="G781" s="11" t="n">
        <v>18652.64</v>
      </c>
      <c r="H781" s="5" t="inlineStr">
        <is>
          <t>m3</t>
        </is>
      </c>
      <c r="I781" s="5" t="inlineStr">
        <is>
          <t>cumulative</t>
        </is>
      </c>
      <c r="J781" s="5" t="inlineStr">
        <is>
          <t>CD</t>
        </is>
      </c>
      <c r="K781" s="5" t="inlineStr"/>
      <c r="L781" s="7">
        <f>IFERROR(IF(F781&lt;F780,"NEGATIVE",ROUND(F781-F780,2)),"")</f>
        <v/>
      </c>
    </row>
    <row r="782" ht="22" customHeight="1">
      <c r="B782" s="8" t="inlineStr">
        <is>
          <t>R00778</t>
        </is>
      </c>
      <c r="C782" s="8" t="inlineStr">
        <is>
          <t>MTR-DOM-006</t>
        </is>
      </c>
      <c r="D782" s="8" t="inlineStr">
        <is>
          <t>Utilities</t>
        </is>
      </c>
      <c r="E782" s="8" t="inlineStr">
        <is>
          <t>Domestic Supply</t>
        </is>
      </c>
      <c r="F782" s="8" t="inlineStr">
        <is>
          <t>2024-02-16 08:00</t>
        </is>
      </c>
      <c r="G782" s="12" t="n">
        <v>18663.68</v>
      </c>
      <c r="H782" s="8" t="inlineStr">
        <is>
          <t>m3</t>
        </is>
      </c>
      <c r="I782" s="8" t="inlineStr">
        <is>
          <t>cumulative</t>
        </is>
      </c>
      <c r="J782" s="8" t="inlineStr">
        <is>
          <t>AB</t>
        </is>
      </c>
      <c r="K782" s="8" t="inlineStr"/>
      <c r="L782" s="10">
        <f>IFERROR(IF(F782&lt;F781,"NEGATIVE",ROUND(F782-F781,2)),"")</f>
        <v/>
      </c>
    </row>
    <row r="783" ht="22" customHeight="1">
      <c r="B783" s="5" t="inlineStr">
        <is>
          <t>R00779</t>
        </is>
      </c>
      <c r="C783" s="5" t="inlineStr">
        <is>
          <t>MTR-DOM-006</t>
        </is>
      </c>
      <c r="D783" s="5" t="inlineStr">
        <is>
          <t>Utilities</t>
        </is>
      </c>
      <c r="E783" s="5" t="inlineStr">
        <is>
          <t>Domestic Supply</t>
        </is>
      </c>
      <c r="F783" s="5" t="inlineStr">
        <is>
          <t>2024-02-17 08:00</t>
        </is>
      </c>
      <c r="G783" s="11" t="n">
        <v>18671.67</v>
      </c>
      <c r="H783" s="5" t="inlineStr">
        <is>
          <t>m3</t>
        </is>
      </c>
      <c r="I783" s="5" t="inlineStr">
        <is>
          <t>cumulative</t>
        </is>
      </c>
      <c r="J783" s="5" t="inlineStr">
        <is>
          <t>IJ</t>
        </is>
      </c>
      <c r="K783" s="5" t="inlineStr"/>
      <c r="L783" s="7">
        <f>IFERROR(IF(F783&lt;F782,"NEGATIVE",ROUND(F783-F782,2)),"")</f>
        <v/>
      </c>
    </row>
    <row r="784" ht="22" customHeight="1">
      <c r="B784" s="8" t="inlineStr">
        <is>
          <t>R00780</t>
        </is>
      </c>
      <c r="C784" s="8" t="inlineStr">
        <is>
          <t>MTR-DOM-006</t>
        </is>
      </c>
      <c r="D784" s="8" t="inlineStr">
        <is>
          <t>Utilities</t>
        </is>
      </c>
      <c r="E784" s="8" t="inlineStr">
        <is>
          <t>Domestic Supply</t>
        </is>
      </c>
      <c r="F784" s="8" t="inlineStr">
        <is>
          <t>2024-02-18 08:00</t>
        </is>
      </c>
      <c r="G784" s="12" t="n">
        <v>18676.26</v>
      </c>
      <c r="H784" s="8" t="inlineStr">
        <is>
          <t>m3</t>
        </is>
      </c>
      <c r="I784" s="8" t="inlineStr">
        <is>
          <t>cumulative</t>
        </is>
      </c>
      <c r="J784" s="8" t="inlineStr">
        <is>
          <t>GH</t>
        </is>
      </c>
      <c r="K784" s="8" t="inlineStr"/>
      <c r="L784" s="10">
        <f>IFERROR(IF(F784&lt;F783,"NEGATIVE",ROUND(F784-F783,2)),"")</f>
        <v/>
      </c>
    </row>
    <row r="785" ht="22" customHeight="1">
      <c r="B785" s="5" t="inlineStr">
        <is>
          <t>R00781</t>
        </is>
      </c>
      <c r="C785" s="5" t="inlineStr">
        <is>
          <t>MTR-DOM-006</t>
        </is>
      </c>
      <c r="D785" s="5" t="inlineStr">
        <is>
          <t>Utilities</t>
        </is>
      </c>
      <c r="E785" s="5" t="inlineStr">
        <is>
          <t>Domestic Supply</t>
        </is>
      </c>
      <c r="F785" s="5" t="inlineStr">
        <is>
          <t>2024-02-19 08:00</t>
        </is>
      </c>
      <c r="G785" s="11" t="n">
        <v>18685.06</v>
      </c>
      <c r="H785" s="5" t="inlineStr">
        <is>
          <t>m3</t>
        </is>
      </c>
      <c r="I785" s="5" t="inlineStr">
        <is>
          <t>cumulative</t>
        </is>
      </c>
      <c r="J785" s="5" t="inlineStr">
        <is>
          <t>EF</t>
        </is>
      </c>
      <c r="K785" s="5" t="inlineStr"/>
      <c r="L785" s="7">
        <f>IFERROR(IF(F785&lt;F784,"NEGATIVE",ROUND(F785-F784,2)),"")</f>
        <v/>
      </c>
    </row>
    <row r="786" ht="22" customHeight="1">
      <c r="B786" s="8" t="inlineStr">
        <is>
          <t>R00782</t>
        </is>
      </c>
      <c r="C786" s="8" t="inlineStr">
        <is>
          <t>MTR-DOM-006</t>
        </is>
      </c>
      <c r="D786" s="8" t="inlineStr">
        <is>
          <t>Utilities</t>
        </is>
      </c>
      <c r="E786" s="8" t="inlineStr">
        <is>
          <t>Domestic Supply</t>
        </is>
      </c>
      <c r="F786" s="8" t="inlineStr">
        <is>
          <t>2024-02-20 08:00</t>
        </is>
      </c>
      <c r="G786" s="12" t="n">
        <v>18694.71</v>
      </c>
      <c r="H786" s="8" t="inlineStr">
        <is>
          <t>m3</t>
        </is>
      </c>
      <c r="I786" s="8" t="inlineStr">
        <is>
          <t>cumulative</t>
        </is>
      </c>
      <c r="J786" s="8" t="inlineStr">
        <is>
          <t>KL</t>
        </is>
      </c>
      <c r="K786" s="8" t="inlineStr"/>
      <c r="L786" s="10">
        <f>IFERROR(IF(F786&lt;F785,"NEGATIVE",ROUND(F786-F785,2)),"")</f>
        <v/>
      </c>
    </row>
    <row r="787" ht="22" customHeight="1">
      <c r="B787" s="5" t="inlineStr">
        <is>
          <t>R00783</t>
        </is>
      </c>
      <c r="C787" s="5" t="inlineStr">
        <is>
          <t>MTR-DOM-006</t>
        </is>
      </c>
      <c r="D787" s="5" t="inlineStr">
        <is>
          <t>Utilities</t>
        </is>
      </c>
      <c r="E787" s="5" t="inlineStr">
        <is>
          <t>Domestic Supply</t>
        </is>
      </c>
      <c r="F787" s="5" t="inlineStr">
        <is>
          <t>2024-02-21 08:00</t>
        </is>
      </c>
      <c r="G787" s="11" t="n">
        <v>18705.43</v>
      </c>
      <c r="H787" s="5" t="inlineStr">
        <is>
          <t>m3</t>
        </is>
      </c>
      <c r="I787" s="5" t="inlineStr">
        <is>
          <t>cumulative</t>
        </is>
      </c>
      <c r="J787" s="5" t="inlineStr">
        <is>
          <t>IJ</t>
        </is>
      </c>
      <c r="K787" s="5" t="inlineStr"/>
      <c r="L787" s="7">
        <f>IFERROR(IF(F787&lt;F786,"NEGATIVE",ROUND(F787-F786,2)),"")</f>
        <v/>
      </c>
    </row>
    <row r="788" ht="22" customHeight="1">
      <c r="B788" s="8" t="inlineStr">
        <is>
          <t>R00784</t>
        </is>
      </c>
      <c r="C788" s="8" t="inlineStr">
        <is>
          <t>MTR-DOM-006</t>
        </is>
      </c>
      <c r="D788" s="8" t="inlineStr">
        <is>
          <t>Utilities</t>
        </is>
      </c>
      <c r="E788" s="8" t="inlineStr">
        <is>
          <t>Domestic Supply</t>
        </is>
      </c>
      <c r="F788" s="8" t="inlineStr">
        <is>
          <t>2024-02-22 08:00</t>
        </is>
      </c>
      <c r="G788" s="12" t="n">
        <v>18715.47</v>
      </c>
      <c r="H788" s="8" t="inlineStr">
        <is>
          <t>m3</t>
        </is>
      </c>
      <c r="I788" s="8" t="inlineStr">
        <is>
          <t>cumulative</t>
        </is>
      </c>
      <c r="J788" s="8" t="inlineStr">
        <is>
          <t>KL</t>
        </is>
      </c>
      <c r="K788" s="8" t="inlineStr"/>
      <c r="L788" s="10">
        <f>IFERROR(IF(F788&lt;F787,"NEGATIVE",ROUND(F788-F787,2)),"")</f>
        <v/>
      </c>
    </row>
    <row r="789" ht="22" customHeight="1">
      <c r="B789" s="5" t="inlineStr">
        <is>
          <t>R00785</t>
        </is>
      </c>
      <c r="C789" s="5" t="inlineStr">
        <is>
          <t>MTR-DOM-006</t>
        </is>
      </c>
      <c r="D789" s="5" t="inlineStr">
        <is>
          <t>Utilities</t>
        </is>
      </c>
      <c r="E789" s="5" t="inlineStr">
        <is>
          <t>Domestic Supply</t>
        </is>
      </c>
      <c r="F789" s="5" t="inlineStr">
        <is>
          <t>2024-02-23 08:00</t>
        </is>
      </c>
      <c r="G789" s="11" t="n">
        <v>18724.32</v>
      </c>
      <c r="H789" s="5" t="inlineStr">
        <is>
          <t>m3</t>
        </is>
      </c>
      <c r="I789" s="5" t="inlineStr">
        <is>
          <t>cumulative</t>
        </is>
      </c>
      <c r="J789" s="5" t="inlineStr">
        <is>
          <t>IJ</t>
        </is>
      </c>
      <c r="K789" s="5" t="inlineStr"/>
      <c r="L789" s="7">
        <f>IFERROR(IF(F789&lt;F788,"NEGATIVE",ROUND(F789-F788,2)),"")</f>
        <v/>
      </c>
    </row>
    <row r="790" ht="22" customHeight="1">
      <c r="B790" s="8" t="inlineStr">
        <is>
          <t>R00786</t>
        </is>
      </c>
      <c r="C790" s="8" t="inlineStr">
        <is>
          <t>MTR-DOM-006</t>
        </is>
      </c>
      <c r="D790" s="8" t="inlineStr">
        <is>
          <t>Utilities</t>
        </is>
      </c>
      <c r="E790" s="8" t="inlineStr">
        <is>
          <t>Domestic Supply</t>
        </is>
      </c>
      <c r="F790" s="8" t="inlineStr">
        <is>
          <t>2024-02-24 08:00</t>
        </is>
      </c>
      <c r="G790" s="12" t="n">
        <v>18732.87</v>
      </c>
      <c r="H790" s="8" t="inlineStr">
        <is>
          <t>m3</t>
        </is>
      </c>
      <c r="I790" s="8" t="inlineStr">
        <is>
          <t>cumulative</t>
        </is>
      </c>
      <c r="J790" s="8" t="inlineStr">
        <is>
          <t>EF</t>
        </is>
      </c>
      <c r="K790" s="8" t="inlineStr"/>
      <c r="L790" s="10">
        <f>IFERROR(IF(F790&lt;F789,"NEGATIVE",ROUND(F790-F789,2)),"")</f>
        <v/>
      </c>
    </row>
    <row r="791" ht="22" customHeight="1">
      <c r="B791" s="5" t="inlineStr">
        <is>
          <t>R00787</t>
        </is>
      </c>
      <c r="C791" s="5" t="inlineStr">
        <is>
          <t>MTR-DOM-006</t>
        </is>
      </c>
      <c r="D791" s="5" t="inlineStr">
        <is>
          <t>Utilities</t>
        </is>
      </c>
      <c r="E791" s="5" t="inlineStr">
        <is>
          <t>Domestic Supply</t>
        </is>
      </c>
      <c r="F791" s="5" t="inlineStr">
        <is>
          <t>2024-02-25 08:00</t>
        </is>
      </c>
      <c r="G791" s="11" t="n">
        <v>18738.18</v>
      </c>
      <c r="H791" s="5" t="inlineStr">
        <is>
          <t>m3</t>
        </is>
      </c>
      <c r="I791" s="5" t="inlineStr">
        <is>
          <t>cumulative</t>
        </is>
      </c>
      <c r="J791" s="5" t="inlineStr">
        <is>
          <t>GH</t>
        </is>
      </c>
      <c r="K791" s="5" t="inlineStr"/>
      <c r="L791" s="7">
        <f>IFERROR(IF(F791&lt;F790,"NEGATIVE",ROUND(F791-F790,2)),"")</f>
        <v/>
      </c>
    </row>
    <row r="792" ht="22" customHeight="1">
      <c r="B792" s="8" t="inlineStr">
        <is>
          <t>R00788</t>
        </is>
      </c>
      <c r="C792" s="8" t="inlineStr">
        <is>
          <t>MTR-DOM-006</t>
        </is>
      </c>
      <c r="D792" s="8" t="inlineStr">
        <is>
          <t>Utilities</t>
        </is>
      </c>
      <c r="E792" s="8" t="inlineStr">
        <is>
          <t>Domestic Supply</t>
        </is>
      </c>
      <c r="F792" s="8" t="inlineStr">
        <is>
          <t>2024-02-26 08:00</t>
        </is>
      </c>
      <c r="G792" s="12" t="n">
        <v>18747.73</v>
      </c>
      <c r="H792" s="8" t="inlineStr">
        <is>
          <t>m3</t>
        </is>
      </c>
      <c r="I792" s="8" t="inlineStr">
        <is>
          <t>cumulative</t>
        </is>
      </c>
      <c r="J792" s="8" t="inlineStr">
        <is>
          <t>KL</t>
        </is>
      </c>
      <c r="K792" s="8" t="inlineStr"/>
      <c r="L792" s="10">
        <f>IFERROR(IF(F792&lt;F791,"NEGATIVE",ROUND(F792-F791,2)),"")</f>
        <v/>
      </c>
    </row>
    <row r="793" ht="22" customHeight="1">
      <c r="B793" s="5" t="inlineStr">
        <is>
          <t>R00789</t>
        </is>
      </c>
      <c r="C793" s="5" t="inlineStr">
        <is>
          <t>MTR-DOM-006</t>
        </is>
      </c>
      <c r="D793" s="5" t="inlineStr">
        <is>
          <t>Utilities</t>
        </is>
      </c>
      <c r="E793" s="5" t="inlineStr">
        <is>
          <t>Domestic Supply</t>
        </is>
      </c>
      <c r="F793" s="5" t="inlineStr">
        <is>
          <t>2024-02-27 08:00</t>
        </is>
      </c>
      <c r="G793" s="11" t="n">
        <v>18757.11</v>
      </c>
      <c r="H793" s="5" t="inlineStr">
        <is>
          <t>m3</t>
        </is>
      </c>
      <c r="I793" s="5" t="inlineStr">
        <is>
          <t>cumulative</t>
        </is>
      </c>
      <c r="J793" s="5" t="inlineStr">
        <is>
          <t>AB</t>
        </is>
      </c>
      <c r="K793" s="5" t="inlineStr"/>
      <c r="L793" s="7">
        <f>IFERROR(IF(F793&lt;F792,"NEGATIVE",ROUND(F793-F792,2)),"")</f>
        <v/>
      </c>
    </row>
    <row r="794" ht="22" customHeight="1">
      <c r="B794" s="8" t="inlineStr">
        <is>
          <t>R00790</t>
        </is>
      </c>
      <c r="C794" s="8" t="inlineStr">
        <is>
          <t>MTR-DOM-006</t>
        </is>
      </c>
      <c r="D794" s="8" t="inlineStr">
        <is>
          <t>Utilities</t>
        </is>
      </c>
      <c r="E794" s="8" t="inlineStr">
        <is>
          <t>Domestic Supply</t>
        </is>
      </c>
      <c r="F794" s="8" t="inlineStr">
        <is>
          <t>2024-02-28 08:00</t>
        </is>
      </c>
      <c r="G794" s="12" t="n">
        <v>18767.01</v>
      </c>
      <c r="H794" s="8" t="inlineStr">
        <is>
          <t>m3</t>
        </is>
      </c>
      <c r="I794" s="8" t="inlineStr">
        <is>
          <t>cumulative</t>
        </is>
      </c>
      <c r="J794" s="8" t="inlineStr">
        <is>
          <t>IJ</t>
        </is>
      </c>
      <c r="K794" s="8" t="inlineStr"/>
      <c r="L794" s="10">
        <f>IFERROR(IF(F794&lt;F793,"NEGATIVE",ROUND(F794-F793,2)),"")</f>
        <v/>
      </c>
    </row>
    <row r="795" ht="22" customHeight="1">
      <c r="B795" s="5" t="inlineStr">
        <is>
          <t>R00791</t>
        </is>
      </c>
      <c r="C795" s="5" t="inlineStr">
        <is>
          <t>MTR-DOM-006</t>
        </is>
      </c>
      <c r="D795" s="5" t="inlineStr">
        <is>
          <t>Utilities</t>
        </is>
      </c>
      <c r="E795" s="5" t="inlineStr">
        <is>
          <t>Domestic Supply</t>
        </is>
      </c>
      <c r="F795" s="5" t="inlineStr">
        <is>
          <t>2024-02-29 08:00</t>
        </is>
      </c>
      <c r="G795" s="11" t="n">
        <v>18777.6</v>
      </c>
      <c r="H795" s="5" t="inlineStr">
        <is>
          <t>m3</t>
        </is>
      </c>
      <c r="I795" s="5" t="inlineStr">
        <is>
          <t>cumulative</t>
        </is>
      </c>
      <c r="J795" s="5" t="inlineStr">
        <is>
          <t>AB</t>
        </is>
      </c>
      <c r="K795" s="5" t="inlineStr"/>
      <c r="L795" s="7">
        <f>IFERROR(IF(F795&lt;F794,"NEGATIVE",ROUND(F795-F794,2)),"")</f>
        <v/>
      </c>
    </row>
    <row r="796" ht="22" customHeight="1">
      <c r="B796" s="8" t="inlineStr">
        <is>
          <t>R00792</t>
        </is>
      </c>
      <c r="C796" s="8" t="inlineStr">
        <is>
          <t>MTR-DOM-006</t>
        </is>
      </c>
      <c r="D796" s="8" t="inlineStr">
        <is>
          <t>Utilities</t>
        </is>
      </c>
      <c r="E796" s="8" t="inlineStr">
        <is>
          <t>Domestic Supply</t>
        </is>
      </c>
      <c r="F796" s="8" t="inlineStr">
        <is>
          <t>2024-03-01 08:00</t>
        </is>
      </c>
      <c r="G796" s="12" t="n">
        <v>18787.77</v>
      </c>
      <c r="H796" s="8" t="inlineStr">
        <is>
          <t>m3</t>
        </is>
      </c>
      <c r="I796" s="8" t="inlineStr">
        <is>
          <t>cumulative</t>
        </is>
      </c>
      <c r="J796" s="8" t="inlineStr">
        <is>
          <t>EF</t>
        </is>
      </c>
      <c r="K796" s="8" t="inlineStr"/>
      <c r="L796" s="10">
        <f>IFERROR(IF(F796&lt;F795,"NEGATIVE",ROUND(F796-F795,2)),"")</f>
        <v/>
      </c>
    </row>
    <row r="797" ht="22" customHeight="1">
      <c r="B797" s="5" t="inlineStr">
        <is>
          <t>R00793</t>
        </is>
      </c>
      <c r="C797" s="5" t="inlineStr">
        <is>
          <t>MTR-DOM-006</t>
        </is>
      </c>
      <c r="D797" s="5" t="inlineStr">
        <is>
          <t>Utilities</t>
        </is>
      </c>
      <c r="E797" s="5" t="inlineStr">
        <is>
          <t>Domestic Supply</t>
        </is>
      </c>
      <c r="F797" s="5" t="inlineStr">
        <is>
          <t>2024-03-02 08:00</t>
        </is>
      </c>
      <c r="G797" s="11" t="n">
        <v>18795.11</v>
      </c>
      <c r="H797" s="5" t="inlineStr">
        <is>
          <t>m3</t>
        </is>
      </c>
      <c r="I797" s="5" t="inlineStr">
        <is>
          <t>cumulative</t>
        </is>
      </c>
      <c r="J797" s="5" t="inlineStr">
        <is>
          <t>CD</t>
        </is>
      </c>
      <c r="K797" s="5" t="inlineStr"/>
      <c r="L797" s="7">
        <f>IFERROR(IF(F797&lt;F796,"NEGATIVE",ROUND(F797-F796,2)),"")</f>
        <v/>
      </c>
    </row>
    <row r="798" ht="22" customHeight="1">
      <c r="B798" s="8" t="inlineStr">
        <is>
          <t>R00794</t>
        </is>
      </c>
      <c r="C798" s="8" t="inlineStr">
        <is>
          <t>MTR-DOM-006</t>
        </is>
      </c>
      <c r="D798" s="8" t="inlineStr">
        <is>
          <t>Utilities</t>
        </is>
      </c>
      <c r="E798" s="8" t="inlineStr">
        <is>
          <t>Domestic Supply</t>
        </is>
      </c>
      <c r="F798" s="8" t="inlineStr">
        <is>
          <t>2024-03-03 08:00</t>
        </is>
      </c>
      <c r="G798" s="12" t="n">
        <v>18800.05</v>
      </c>
      <c r="H798" s="8" t="inlineStr">
        <is>
          <t>m3</t>
        </is>
      </c>
      <c r="I798" s="8" t="inlineStr">
        <is>
          <t>cumulative</t>
        </is>
      </c>
      <c r="J798" s="8" t="inlineStr">
        <is>
          <t>KL</t>
        </is>
      </c>
      <c r="K798" s="8" t="inlineStr"/>
      <c r="L798" s="10">
        <f>IFERROR(IF(F798&lt;F797,"NEGATIVE",ROUND(F798-F797,2)),"")</f>
        <v/>
      </c>
    </row>
    <row r="799" ht="22" customHeight="1">
      <c r="B799" s="5" t="inlineStr">
        <is>
          <t>R00795</t>
        </is>
      </c>
      <c r="C799" s="5" t="inlineStr">
        <is>
          <t>MTR-DOM-006</t>
        </is>
      </c>
      <c r="D799" s="5" t="inlineStr">
        <is>
          <t>Utilities</t>
        </is>
      </c>
      <c r="E799" s="5" t="inlineStr">
        <is>
          <t>Domestic Supply</t>
        </is>
      </c>
      <c r="F799" s="5" t="inlineStr">
        <is>
          <t>2024-03-04 08:00</t>
        </is>
      </c>
      <c r="G799" s="11" t="n">
        <v>18808.87</v>
      </c>
      <c r="H799" s="5" t="inlineStr">
        <is>
          <t>m3</t>
        </is>
      </c>
      <c r="I799" s="5" t="inlineStr">
        <is>
          <t>cumulative</t>
        </is>
      </c>
      <c r="J799" s="5" t="inlineStr">
        <is>
          <t>AB</t>
        </is>
      </c>
      <c r="K799" s="5" t="inlineStr"/>
      <c r="L799" s="7">
        <f>IFERROR(IF(F799&lt;F798,"NEGATIVE",ROUND(F799-F798,2)),"")</f>
        <v/>
      </c>
    </row>
    <row r="800" ht="22" customHeight="1">
      <c r="B800" s="8" t="inlineStr">
        <is>
          <t>R00796</t>
        </is>
      </c>
      <c r="C800" s="8" t="inlineStr">
        <is>
          <t>MTR-DOM-006</t>
        </is>
      </c>
      <c r="D800" s="8" t="inlineStr">
        <is>
          <t>Utilities</t>
        </is>
      </c>
      <c r="E800" s="8" t="inlineStr">
        <is>
          <t>Domestic Supply</t>
        </is>
      </c>
      <c r="F800" s="8" t="inlineStr">
        <is>
          <t>2024-03-05 08:00</t>
        </is>
      </c>
      <c r="G800" s="12" t="n">
        <v>18818.59</v>
      </c>
      <c r="H800" s="8" t="inlineStr">
        <is>
          <t>m3</t>
        </is>
      </c>
      <c r="I800" s="8" t="inlineStr">
        <is>
          <t>cumulative</t>
        </is>
      </c>
      <c r="J800" s="8" t="inlineStr">
        <is>
          <t>AB</t>
        </is>
      </c>
      <c r="K800" s="8" t="inlineStr"/>
      <c r="L800" s="10">
        <f>IFERROR(IF(F800&lt;F799,"NEGATIVE",ROUND(F800-F799,2)),"")</f>
        <v/>
      </c>
    </row>
    <row r="801" ht="22" customHeight="1">
      <c r="B801" s="5" t="inlineStr">
        <is>
          <t>R00797</t>
        </is>
      </c>
      <c r="C801" s="5" t="inlineStr">
        <is>
          <t>MTR-DOM-006</t>
        </is>
      </c>
      <c r="D801" s="5" t="inlineStr">
        <is>
          <t>Utilities</t>
        </is>
      </c>
      <c r="E801" s="5" t="inlineStr">
        <is>
          <t>Domestic Supply</t>
        </is>
      </c>
      <c r="F801" s="5" t="inlineStr">
        <is>
          <t>2024-03-06 08:00</t>
        </is>
      </c>
      <c r="G801" s="11" t="n">
        <v>18828.93</v>
      </c>
      <c r="H801" s="5" t="inlineStr">
        <is>
          <t>m3</t>
        </is>
      </c>
      <c r="I801" s="5" t="inlineStr">
        <is>
          <t>cumulative</t>
        </is>
      </c>
      <c r="J801" s="5" t="inlineStr">
        <is>
          <t>IJ</t>
        </is>
      </c>
      <c r="K801" s="5" t="inlineStr"/>
      <c r="L801" s="7">
        <f>IFERROR(IF(F801&lt;F800,"NEGATIVE",ROUND(F801-F800,2)),"")</f>
        <v/>
      </c>
    </row>
    <row r="802" ht="22" customHeight="1">
      <c r="B802" s="8" t="inlineStr">
        <is>
          <t>R00798</t>
        </is>
      </c>
      <c r="C802" s="8" t="inlineStr">
        <is>
          <t>MTR-DOM-006</t>
        </is>
      </c>
      <c r="D802" s="8" t="inlineStr">
        <is>
          <t>Utilities</t>
        </is>
      </c>
      <c r="E802" s="8" t="inlineStr">
        <is>
          <t>Domestic Supply</t>
        </is>
      </c>
      <c r="F802" s="8" t="inlineStr">
        <is>
          <t>2024-03-07 08:00</t>
        </is>
      </c>
      <c r="G802" s="12" t="n">
        <v>18839.28</v>
      </c>
      <c r="H802" s="8" t="inlineStr">
        <is>
          <t>m3</t>
        </is>
      </c>
      <c r="I802" s="8" t="inlineStr">
        <is>
          <t>cumulative</t>
        </is>
      </c>
      <c r="J802" s="8" t="inlineStr">
        <is>
          <t>KL</t>
        </is>
      </c>
      <c r="K802" s="8" t="inlineStr"/>
      <c r="L802" s="10">
        <f>IFERROR(IF(F802&lt;F801,"NEGATIVE",ROUND(F802-F801,2)),"")</f>
        <v/>
      </c>
    </row>
    <row r="803" ht="22" customHeight="1">
      <c r="B803" s="5" t="inlineStr">
        <is>
          <t>R00799</t>
        </is>
      </c>
      <c r="C803" s="5" t="inlineStr">
        <is>
          <t>MTR-DOM-006</t>
        </is>
      </c>
      <c r="D803" s="5" t="inlineStr">
        <is>
          <t>Utilities</t>
        </is>
      </c>
      <c r="E803" s="5" t="inlineStr">
        <is>
          <t>Domestic Supply</t>
        </is>
      </c>
      <c r="F803" s="5" t="inlineStr">
        <is>
          <t>2024-03-08 08:00</t>
        </is>
      </c>
      <c r="G803" s="11" t="n">
        <v>18849.02</v>
      </c>
      <c r="H803" s="5" t="inlineStr">
        <is>
          <t>m3</t>
        </is>
      </c>
      <c r="I803" s="5" t="inlineStr">
        <is>
          <t>cumulative</t>
        </is>
      </c>
      <c r="J803" s="5" t="inlineStr">
        <is>
          <t>KL</t>
        </is>
      </c>
      <c r="K803" s="5" t="inlineStr"/>
      <c r="L803" s="7">
        <f>IFERROR(IF(F803&lt;F802,"NEGATIVE",ROUND(F803-F802,2)),"")</f>
        <v/>
      </c>
    </row>
    <row r="804" ht="22" customHeight="1">
      <c r="B804" s="8" t="inlineStr">
        <is>
          <t>R00800</t>
        </is>
      </c>
      <c r="C804" s="8" t="inlineStr">
        <is>
          <t>MTR-DOM-006</t>
        </is>
      </c>
      <c r="D804" s="8" t="inlineStr">
        <is>
          <t>Utilities</t>
        </is>
      </c>
      <c r="E804" s="8" t="inlineStr">
        <is>
          <t>Domestic Supply</t>
        </is>
      </c>
      <c r="F804" s="8" t="inlineStr">
        <is>
          <t>2024-03-09 08:00</t>
        </is>
      </c>
      <c r="G804" s="12" t="n">
        <v>18857.83</v>
      </c>
      <c r="H804" s="8" t="inlineStr">
        <is>
          <t>m3</t>
        </is>
      </c>
      <c r="I804" s="8" t="inlineStr">
        <is>
          <t>cumulative</t>
        </is>
      </c>
      <c r="J804" s="8" t="inlineStr">
        <is>
          <t>KL</t>
        </is>
      </c>
      <c r="K804" s="8" t="inlineStr"/>
      <c r="L804" s="10">
        <f>IFERROR(IF(F804&lt;F803,"NEGATIVE",ROUND(F804-F803,2)),"")</f>
        <v/>
      </c>
    </row>
    <row r="805" ht="22" customHeight="1">
      <c r="B805" s="5" t="inlineStr">
        <is>
          <t>R00801</t>
        </is>
      </c>
      <c r="C805" s="5" t="inlineStr">
        <is>
          <t>MTR-DOM-006</t>
        </is>
      </c>
      <c r="D805" s="5" t="inlineStr">
        <is>
          <t>Utilities</t>
        </is>
      </c>
      <c r="E805" s="5" t="inlineStr">
        <is>
          <t>Domestic Supply</t>
        </is>
      </c>
      <c r="F805" s="5" t="inlineStr">
        <is>
          <t>2024-03-10 08:00</t>
        </is>
      </c>
      <c r="G805" s="11" t="n">
        <v>18863.54</v>
      </c>
      <c r="H805" s="5" t="inlineStr">
        <is>
          <t>m3</t>
        </is>
      </c>
      <c r="I805" s="5" t="inlineStr">
        <is>
          <t>cumulative</t>
        </is>
      </c>
      <c r="J805" s="5" t="inlineStr">
        <is>
          <t>IJ</t>
        </is>
      </c>
      <c r="K805" s="5" t="inlineStr"/>
      <c r="L805" s="7">
        <f>IFERROR(IF(F805&lt;F804,"NEGATIVE",ROUND(F805-F804,2)),"")</f>
        <v/>
      </c>
    </row>
    <row r="806" ht="22" customHeight="1">
      <c r="B806" s="8" t="inlineStr">
        <is>
          <t>R00802</t>
        </is>
      </c>
      <c r="C806" s="8" t="inlineStr">
        <is>
          <t>MTR-DOM-006</t>
        </is>
      </c>
      <c r="D806" s="8" t="inlineStr">
        <is>
          <t>Utilities</t>
        </is>
      </c>
      <c r="E806" s="8" t="inlineStr">
        <is>
          <t>Domestic Supply</t>
        </is>
      </c>
      <c r="F806" s="8" t="inlineStr">
        <is>
          <t>2024-03-11 08:00</t>
        </is>
      </c>
      <c r="G806" s="12" t="n">
        <v>18873.68</v>
      </c>
      <c r="H806" s="8" t="inlineStr">
        <is>
          <t>m3</t>
        </is>
      </c>
      <c r="I806" s="8" t="inlineStr">
        <is>
          <t>cumulative</t>
        </is>
      </c>
      <c r="J806" s="8" t="inlineStr">
        <is>
          <t>GH</t>
        </is>
      </c>
      <c r="K806" s="8" t="inlineStr"/>
      <c r="L806" s="10">
        <f>IFERROR(IF(F806&lt;F805,"NEGATIVE",ROUND(F806-F805,2)),"")</f>
        <v/>
      </c>
    </row>
    <row r="807" ht="22" customHeight="1">
      <c r="B807" s="5" t="inlineStr">
        <is>
          <t>R00803</t>
        </is>
      </c>
      <c r="C807" s="5" t="inlineStr">
        <is>
          <t>MTR-DOM-006</t>
        </is>
      </c>
      <c r="D807" s="5" t="inlineStr">
        <is>
          <t>Utilities</t>
        </is>
      </c>
      <c r="E807" s="5" t="inlineStr">
        <is>
          <t>Domestic Supply</t>
        </is>
      </c>
      <c r="F807" s="5" t="inlineStr">
        <is>
          <t>2024-03-12 08:00</t>
        </is>
      </c>
      <c r="G807" s="11" t="n">
        <v>18883.96</v>
      </c>
      <c r="H807" s="5" t="inlineStr">
        <is>
          <t>m3</t>
        </is>
      </c>
      <c r="I807" s="5" t="inlineStr">
        <is>
          <t>cumulative</t>
        </is>
      </c>
      <c r="J807" s="5" t="inlineStr">
        <is>
          <t>AB</t>
        </is>
      </c>
      <c r="K807" s="5" t="inlineStr"/>
      <c r="L807" s="7">
        <f>IFERROR(IF(F807&lt;F806,"NEGATIVE",ROUND(F807-F806,2)),"")</f>
        <v/>
      </c>
    </row>
    <row r="808" ht="22" customHeight="1">
      <c r="B808" s="8" t="inlineStr">
        <is>
          <t>R00804</t>
        </is>
      </c>
      <c r="C808" s="8" t="inlineStr">
        <is>
          <t>MTR-DOM-006</t>
        </is>
      </c>
      <c r="D808" s="8" t="inlineStr">
        <is>
          <t>Utilities</t>
        </is>
      </c>
      <c r="E808" s="8" t="inlineStr">
        <is>
          <t>Domestic Supply</t>
        </is>
      </c>
      <c r="F808" s="8" t="inlineStr">
        <is>
          <t>2024-03-13 08:00</t>
        </is>
      </c>
      <c r="G808" s="12" t="n">
        <v>18893.02</v>
      </c>
      <c r="H808" s="8" t="inlineStr">
        <is>
          <t>m3</t>
        </is>
      </c>
      <c r="I808" s="8" t="inlineStr">
        <is>
          <t>cumulative</t>
        </is>
      </c>
      <c r="J808" s="8" t="inlineStr">
        <is>
          <t>IJ</t>
        </is>
      </c>
      <c r="K808" s="8" t="inlineStr"/>
      <c r="L808" s="10">
        <f>IFERROR(IF(F808&lt;F807,"NEGATIVE",ROUND(F808-F807,2)),"")</f>
        <v/>
      </c>
    </row>
    <row r="809" ht="22" customHeight="1">
      <c r="B809" s="5" t="inlineStr">
        <is>
          <t>R00805</t>
        </is>
      </c>
      <c r="C809" s="5" t="inlineStr">
        <is>
          <t>MTR-DOM-006</t>
        </is>
      </c>
      <c r="D809" s="5" t="inlineStr">
        <is>
          <t>Utilities</t>
        </is>
      </c>
      <c r="E809" s="5" t="inlineStr">
        <is>
          <t>Domestic Supply</t>
        </is>
      </c>
      <c r="F809" s="5" t="inlineStr">
        <is>
          <t>2024-03-14 08:00</t>
        </is>
      </c>
      <c r="G809" s="11" t="n">
        <v>18902.77</v>
      </c>
      <c r="H809" s="5" t="inlineStr">
        <is>
          <t>m3</t>
        </is>
      </c>
      <c r="I809" s="5" t="inlineStr">
        <is>
          <t>cumulative</t>
        </is>
      </c>
      <c r="J809" s="5" t="inlineStr">
        <is>
          <t>GH</t>
        </is>
      </c>
      <c r="K809" s="5" t="inlineStr"/>
      <c r="L809" s="7">
        <f>IFERROR(IF(F809&lt;F808,"NEGATIVE",ROUND(F809-F808,2)),"")</f>
        <v/>
      </c>
    </row>
    <row r="810" ht="22" customHeight="1">
      <c r="B810" s="8" t="inlineStr">
        <is>
          <t>R00806</t>
        </is>
      </c>
      <c r="C810" s="8" t="inlineStr">
        <is>
          <t>MTR-DOM-006</t>
        </is>
      </c>
      <c r="D810" s="8" t="inlineStr">
        <is>
          <t>Utilities</t>
        </is>
      </c>
      <c r="E810" s="8" t="inlineStr">
        <is>
          <t>Domestic Supply</t>
        </is>
      </c>
      <c r="F810" s="8" t="inlineStr">
        <is>
          <t>2024-03-15 08:00</t>
        </is>
      </c>
      <c r="G810" s="12" t="n">
        <v>18911.63</v>
      </c>
      <c r="H810" s="8" t="inlineStr">
        <is>
          <t>m3</t>
        </is>
      </c>
      <c r="I810" s="8" t="inlineStr">
        <is>
          <t>cumulative</t>
        </is>
      </c>
      <c r="J810" s="8" t="inlineStr">
        <is>
          <t>GH</t>
        </is>
      </c>
      <c r="K810" s="8" t="inlineStr"/>
      <c r="L810" s="10">
        <f>IFERROR(IF(F810&lt;F809,"NEGATIVE",ROUND(F810-F809,2)),"")</f>
        <v/>
      </c>
    </row>
    <row r="811" ht="22" customHeight="1">
      <c r="B811" s="5" t="inlineStr">
        <is>
          <t>R00807</t>
        </is>
      </c>
      <c r="C811" s="5" t="inlineStr">
        <is>
          <t>MTR-DOM-006</t>
        </is>
      </c>
      <c r="D811" s="5" t="inlineStr">
        <is>
          <t>Utilities</t>
        </is>
      </c>
      <c r="E811" s="5" t="inlineStr">
        <is>
          <t>Domestic Supply</t>
        </is>
      </c>
      <c r="F811" s="5" t="inlineStr">
        <is>
          <t>2024-03-16 08:00</t>
        </is>
      </c>
      <c r="G811" s="11" t="n">
        <v>18920.04</v>
      </c>
      <c r="H811" s="5" t="inlineStr">
        <is>
          <t>m3</t>
        </is>
      </c>
      <c r="I811" s="5" t="inlineStr">
        <is>
          <t>cumulative</t>
        </is>
      </c>
      <c r="J811" s="5" t="inlineStr">
        <is>
          <t>AB</t>
        </is>
      </c>
      <c r="K811" s="5" t="inlineStr"/>
      <c r="L811" s="7">
        <f>IFERROR(IF(F811&lt;F810,"NEGATIVE",ROUND(F811-F810,2)),"")</f>
        <v/>
      </c>
    </row>
    <row r="812" ht="22" customHeight="1">
      <c r="B812" s="8" t="inlineStr">
        <is>
          <t>R00808</t>
        </is>
      </c>
      <c r="C812" s="8" t="inlineStr">
        <is>
          <t>MTR-DOM-006</t>
        </is>
      </c>
      <c r="D812" s="8" t="inlineStr">
        <is>
          <t>Utilities</t>
        </is>
      </c>
      <c r="E812" s="8" t="inlineStr">
        <is>
          <t>Domestic Supply</t>
        </is>
      </c>
      <c r="F812" s="8" t="inlineStr">
        <is>
          <t>2024-03-17 08:00</t>
        </is>
      </c>
      <c r="G812" s="12" t="n">
        <v>18925.76</v>
      </c>
      <c r="H812" s="8" t="inlineStr">
        <is>
          <t>m3</t>
        </is>
      </c>
      <c r="I812" s="8" t="inlineStr">
        <is>
          <t>cumulative</t>
        </is>
      </c>
      <c r="J812" s="8" t="inlineStr">
        <is>
          <t>KL</t>
        </is>
      </c>
      <c r="K812" s="8" t="inlineStr"/>
      <c r="L812" s="10">
        <f>IFERROR(IF(F812&lt;F811,"NEGATIVE",ROUND(F812-F811,2)),"")</f>
        <v/>
      </c>
    </row>
    <row r="813" ht="22" customHeight="1">
      <c r="B813" s="5" t="inlineStr">
        <is>
          <t>R00809</t>
        </is>
      </c>
      <c r="C813" s="5" t="inlineStr">
        <is>
          <t>MTR-DOM-006</t>
        </is>
      </c>
      <c r="D813" s="5" t="inlineStr">
        <is>
          <t>Utilities</t>
        </is>
      </c>
      <c r="E813" s="5" t="inlineStr">
        <is>
          <t>Domestic Supply</t>
        </is>
      </c>
      <c r="F813" s="5" t="inlineStr">
        <is>
          <t>2024-03-18 08:00</t>
        </is>
      </c>
      <c r="G813" s="11" t="n">
        <v>18935.77</v>
      </c>
      <c r="H813" s="5" t="inlineStr">
        <is>
          <t>m3</t>
        </is>
      </c>
      <c r="I813" s="5" t="inlineStr">
        <is>
          <t>cumulative</t>
        </is>
      </c>
      <c r="J813" s="5" t="inlineStr">
        <is>
          <t>KL</t>
        </is>
      </c>
      <c r="K813" s="5" t="inlineStr"/>
      <c r="L813" s="7">
        <f>IFERROR(IF(F813&lt;F812,"NEGATIVE",ROUND(F813-F812,2)),"")</f>
        <v/>
      </c>
    </row>
    <row r="814" ht="22" customHeight="1">
      <c r="B814" s="8" t="inlineStr">
        <is>
          <t>R00810</t>
        </is>
      </c>
      <c r="C814" s="8" t="inlineStr">
        <is>
          <t>MTR-DOM-006</t>
        </is>
      </c>
      <c r="D814" s="8" t="inlineStr">
        <is>
          <t>Utilities</t>
        </is>
      </c>
      <c r="E814" s="8" t="inlineStr">
        <is>
          <t>Domestic Supply</t>
        </is>
      </c>
      <c r="F814" s="8" t="inlineStr">
        <is>
          <t>2024-03-19 08:00</t>
        </is>
      </c>
      <c r="G814" s="12" t="n">
        <v>18945.81</v>
      </c>
      <c r="H814" s="8" t="inlineStr">
        <is>
          <t>m3</t>
        </is>
      </c>
      <c r="I814" s="8" t="inlineStr">
        <is>
          <t>cumulative</t>
        </is>
      </c>
      <c r="J814" s="8" t="inlineStr">
        <is>
          <t>CD</t>
        </is>
      </c>
      <c r="K814" s="8" t="inlineStr"/>
      <c r="L814" s="10">
        <f>IFERROR(IF(F814&lt;F813,"NEGATIVE",ROUND(F814-F813,2)),"")</f>
        <v/>
      </c>
    </row>
    <row r="815" ht="22" customHeight="1">
      <c r="B815" s="5" t="inlineStr">
        <is>
          <t>R00811</t>
        </is>
      </c>
      <c r="C815" s="5" t="inlineStr">
        <is>
          <t>MTR-DOM-006</t>
        </is>
      </c>
      <c r="D815" s="5" t="inlineStr">
        <is>
          <t>Utilities</t>
        </is>
      </c>
      <c r="E815" s="5" t="inlineStr">
        <is>
          <t>Domestic Supply</t>
        </is>
      </c>
      <c r="F815" s="5" t="inlineStr">
        <is>
          <t>2024-03-20 08:00</t>
        </is>
      </c>
      <c r="G815" s="11" t="n">
        <v>18956.84</v>
      </c>
      <c r="H815" s="5" t="inlineStr">
        <is>
          <t>m3</t>
        </is>
      </c>
      <c r="I815" s="5" t="inlineStr">
        <is>
          <t>cumulative</t>
        </is>
      </c>
      <c r="J815" s="5" t="inlineStr">
        <is>
          <t>IJ</t>
        </is>
      </c>
      <c r="K815" s="5" t="inlineStr"/>
      <c r="L815" s="7">
        <f>IFERROR(IF(F815&lt;F814,"NEGATIVE",ROUND(F815-F814,2)),"")</f>
        <v/>
      </c>
    </row>
    <row r="816" ht="22" customHeight="1">
      <c r="B816" s="8" t="inlineStr">
        <is>
          <t>R00812</t>
        </is>
      </c>
      <c r="C816" s="8" t="inlineStr">
        <is>
          <t>MTR-DOM-006</t>
        </is>
      </c>
      <c r="D816" s="8" t="inlineStr">
        <is>
          <t>Utilities</t>
        </is>
      </c>
      <c r="E816" s="8" t="inlineStr">
        <is>
          <t>Domestic Supply</t>
        </is>
      </c>
      <c r="F816" s="8" t="inlineStr">
        <is>
          <t>2024-03-21 08:00</t>
        </is>
      </c>
      <c r="G816" s="12" t="n">
        <v>18967.97</v>
      </c>
      <c r="H816" s="8" t="inlineStr">
        <is>
          <t>m3</t>
        </is>
      </c>
      <c r="I816" s="8" t="inlineStr">
        <is>
          <t>cumulative</t>
        </is>
      </c>
      <c r="J816" s="8" t="inlineStr">
        <is>
          <t>KL</t>
        </is>
      </c>
      <c r="K816" s="8" t="inlineStr"/>
      <c r="L816" s="10">
        <f>IFERROR(IF(F816&lt;F815,"NEGATIVE",ROUND(F816-F815,2)),"")</f>
        <v/>
      </c>
    </row>
    <row r="817" ht="22" customHeight="1">
      <c r="B817" s="5" t="inlineStr">
        <is>
          <t>R00813</t>
        </is>
      </c>
      <c r="C817" s="5" t="inlineStr">
        <is>
          <t>MTR-DOM-006</t>
        </is>
      </c>
      <c r="D817" s="5" t="inlineStr">
        <is>
          <t>Utilities</t>
        </is>
      </c>
      <c r="E817" s="5" t="inlineStr">
        <is>
          <t>Domestic Supply</t>
        </is>
      </c>
      <c r="F817" s="5" t="inlineStr">
        <is>
          <t>2024-03-22 08:00</t>
        </is>
      </c>
      <c r="G817" s="11" t="n">
        <v>18978.87</v>
      </c>
      <c r="H817" s="5" t="inlineStr">
        <is>
          <t>m3</t>
        </is>
      </c>
      <c r="I817" s="5" t="inlineStr">
        <is>
          <t>cumulative</t>
        </is>
      </c>
      <c r="J817" s="5" t="inlineStr">
        <is>
          <t>KL</t>
        </is>
      </c>
      <c r="K817" s="5" t="inlineStr"/>
      <c r="L817" s="7">
        <f>IFERROR(IF(F817&lt;F816,"NEGATIVE",ROUND(F817-F816,2)),"")</f>
        <v/>
      </c>
    </row>
    <row r="818" ht="22" customHeight="1">
      <c r="B818" s="8" t="inlineStr">
        <is>
          <t>R00814</t>
        </is>
      </c>
      <c r="C818" s="8" t="inlineStr">
        <is>
          <t>MTR-DOM-006</t>
        </is>
      </c>
      <c r="D818" s="8" t="inlineStr">
        <is>
          <t>Utilities</t>
        </is>
      </c>
      <c r="E818" s="8" t="inlineStr">
        <is>
          <t>Domestic Supply</t>
        </is>
      </c>
      <c r="F818" s="8" t="inlineStr">
        <is>
          <t>2024-03-23 08:00</t>
        </is>
      </c>
      <c r="G818" s="12" t="n">
        <v>18986.01</v>
      </c>
      <c r="H818" s="8" t="inlineStr">
        <is>
          <t>m3</t>
        </is>
      </c>
      <c r="I818" s="8" t="inlineStr">
        <is>
          <t>cumulative</t>
        </is>
      </c>
      <c r="J818" s="8" t="inlineStr">
        <is>
          <t>GH</t>
        </is>
      </c>
      <c r="K818" s="8" t="inlineStr"/>
      <c r="L818" s="10">
        <f>IFERROR(IF(F818&lt;F817,"NEGATIVE",ROUND(F818-F817,2)),"")</f>
        <v/>
      </c>
    </row>
    <row r="819" ht="22" customHeight="1">
      <c r="B819" s="5" t="inlineStr">
        <is>
          <t>R00815</t>
        </is>
      </c>
      <c r="C819" s="5" t="inlineStr">
        <is>
          <t>MTR-DOM-006</t>
        </is>
      </c>
      <c r="D819" s="5" t="inlineStr">
        <is>
          <t>Utilities</t>
        </is>
      </c>
      <c r="E819" s="5" t="inlineStr">
        <is>
          <t>Domestic Supply</t>
        </is>
      </c>
      <c r="F819" s="5" t="inlineStr">
        <is>
          <t>2024-03-24 08:00</t>
        </is>
      </c>
      <c r="G819" s="11" t="n">
        <v>18991.1</v>
      </c>
      <c r="H819" s="5" t="inlineStr">
        <is>
          <t>m3</t>
        </is>
      </c>
      <c r="I819" s="5" t="inlineStr">
        <is>
          <t>cumulative</t>
        </is>
      </c>
      <c r="J819" s="5" t="inlineStr">
        <is>
          <t>AB</t>
        </is>
      </c>
      <c r="K819" s="5" t="inlineStr"/>
      <c r="L819" s="7">
        <f>IFERROR(IF(F819&lt;F818,"NEGATIVE",ROUND(F819-F818,2)),"")</f>
        <v/>
      </c>
    </row>
    <row r="820" ht="22" customHeight="1">
      <c r="B820" s="8" t="inlineStr">
        <is>
          <t>R00816</t>
        </is>
      </c>
      <c r="C820" s="8" t="inlineStr">
        <is>
          <t>MTR-DOM-006</t>
        </is>
      </c>
      <c r="D820" s="8" t="inlineStr">
        <is>
          <t>Utilities</t>
        </is>
      </c>
      <c r="E820" s="8" t="inlineStr">
        <is>
          <t>Domestic Supply</t>
        </is>
      </c>
      <c r="F820" s="8" t="inlineStr">
        <is>
          <t>2024-03-25 08:00</t>
        </is>
      </c>
      <c r="G820" s="12" t="n">
        <v>19001.47</v>
      </c>
      <c r="H820" s="8" t="inlineStr">
        <is>
          <t>m3</t>
        </is>
      </c>
      <c r="I820" s="8" t="inlineStr">
        <is>
          <t>cumulative</t>
        </is>
      </c>
      <c r="J820" s="8" t="inlineStr">
        <is>
          <t>CD</t>
        </is>
      </c>
      <c r="K820" s="8" t="inlineStr"/>
      <c r="L820" s="10">
        <f>IFERROR(IF(F820&lt;F819,"NEGATIVE",ROUND(F820-F819,2)),"")</f>
        <v/>
      </c>
    </row>
    <row r="821" ht="22" customHeight="1">
      <c r="B821" s="5" t="inlineStr">
        <is>
          <t>R00817</t>
        </is>
      </c>
      <c r="C821" s="5" t="inlineStr">
        <is>
          <t>MTR-DOM-006</t>
        </is>
      </c>
      <c r="D821" s="5" t="inlineStr">
        <is>
          <t>Utilities</t>
        </is>
      </c>
      <c r="E821" s="5" t="inlineStr">
        <is>
          <t>Domestic Supply</t>
        </is>
      </c>
      <c r="F821" s="5" t="inlineStr">
        <is>
          <t>2024-03-26 08:00</t>
        </is>
      </c>
      <c r="G821" s="11" t="n">
        <v>19010.48</v>
      </c>
      <c r="H821" s="5" t="inlineStr">
        <is>
          <t>m3</t>
        </is>
      </c>
      <c r="I821" s="5" t="inlineStr">
        <is>
          <t>cumulative</t>
        </is>
      </c>
      <c r="J821" s="5" t="inlineStr">
        <is>
          <t>EF</t>
        </is>
      </c>
      <c r="K821" s="5" t="inlineStr"/>
      <c r="L821" s="7">
        <f>IFERROR(IF(F821&lt;F820,"NEGATIVE",ROUND(F821-F820,2)),"")</f>
        <v/>
      </c>
    </row>
    <row r="822" ht="22" customHeight="1">
      <c r="B822" s="8" t="inlineStr">
        <is>
          <t>R00818</t>
        </is>
      </c>
      <c r="C822" s="8" t="inlineStr">
        <is>
          <t>MTR-DOM-006</t>
        </is>
      </c>
      <c r="D822" s="8" t="inlineStr">
        <is>
          <t>Utilities</t>
        </is>
      </c>
      <c r="E822" s="8" t="inlineStr">
        <is>
          <t>Domestic Supply</t>
        </is>
      </c>
      <c r="F822" s="8" t="inlineStr">
        <is>
          <t>2024-03-27 08:00</t>
        </is>
      </c>
      <c r="G822" s="12" t="n">
        <v>19021.04</v>
      </c>
      <c r="H822" s="8" t="inlineStr">
        <is>
          <t>m3</t>
        </is>
      </c>
      <c r="I822" s="8" t="inlineStr">
        <is>
          <t>cumulative</t>
        </is>
      </c>
      <c r="J822" s="8" t="inlineStr">
        <is>
          <t>CD</t>
        </is>
      </c>
      <c r="K822" s="8" t="inlineStr"/>
      <c r="L822" s="10">
        <f>IFERROR(IF(F822&lt;F821,"NEGATIVE",ROUND(F822-F821,2)),"")</f>
        <v/>
      </c>
    </row>
    <row r="823" ht="22" customHeight="1">
      <c r="B823" s="5" t="inlineStr">
        <is>
          <t>R00819</t>
        </is>
      </c>
      <c r="C823" s="5" t="inlineStr">
        <is>
          <t>MTR-DOM-006</t>
        </is>
      </c>
      <c r="D823" s="5" t="inlineStr">
        <is>
          <t>Utilities</t>
        </is>
      </c>
      <c r="E823" s="5" t="inlineStr">
        <is>
          <t>Domestic Supply</t>
        </is>
      </c>
      <c r="F823" s="5" t="inlineStr">
        <is>
          <t>2024-03-28 08:00</t>
        </is>
      </c>
      <c r="G823" s="11" t="n">
        <v>19031.47</v>
      </c>
      <c r="H823" s="5" t="inlineStr">
        <is>
          <t>m3</t>
        </is>
      </c>
      <c r="I823" s="5" t="inlineStr">
        <is>
          <t>cumulative</t>
        </is>
      </c>
      <c r="J823" s="5" t="inlineStr">
        <is>
          <t>GH</t>
        </is>
      </c>
      <c r="K823" s="5" t="inlineStr"/>
      <c r="L823" s="7">
        <f>IFERROR(IF(F823&lt;F822,"NEGATIVE",ROUND(F823-F822,2)),"")</f>
        <v/>
      </c>
    </row>
    <row r="824" ht="22" customHeight="1">
      <c r="B824" s="8" t="inlineStr">
        <is>
          <t>R00820</t>
        </is>
      </c>
      <c r="C824" s="8" t="inlineStr">
        <is>
          <t>MTR-DOM-006</t>
        </is>
      </c>
      <c r="D824" s="8" t="inlineStr">
        <is>
          <t>Utilities</t>
        </is>
      </c>
      <c r="E824" s="8" t="inlineStr">
        <is>
          <t>Domestic Supply</t>
        </is>
      </c>
      <c r="F824" s="8" t="inlineStr">
        <is>
          <t>2024-03-29 08:00</t>
        </is>
      </c>
      <c r="G824" s="12" t="n">
        <v>19042.95</v>
      </c>
      <c r="H824" s="8" t="inlineStr">
        <is>
          <t>m3</t>
        </is>
      </c>
      <c r="I824" s="8" t="inlineStr">
        <is>
          <t>cumulative</t>
        </is>
      </c>
      <c r="J824" s="8" t="inlineStr">
        <is>
          <t>EF</t>
        </is>
      </c>
      <c r="K824" s="8" t="inlineStr"/>
      <c r="L824" s="10">
        <f>IFERROR(IF(F824&lt;F823,"NEGATIVE",ROUND(F824-F823,2)),"")</f>
        <v/>
      </c>
    </row>
    <row r="825" ht="22" customHeight="1">
      <c r="B825" s="5" t="inlineStr">
        <is>
          <t>R00821</t>
        </is>
      </c>
      <c r="C825" s="5" t="inlineStr">
        <is>
          <t>MTR-DOM-006</t>
        </is>
      </c>
      <c r="D825" s="5" t="inlineStr">
        <is>
          <t>Utilities</t>
        </is>
      </c>
      <c r="E825" s="5" t="inlineStr">
        <is>
          <t>Domestic Supply</t>
        </is>
      </c>
      <c r="F825" s="5" t="inlineStr">
        <is>
          <t>2024-03-30 08:00</t>
        </is>
      </c>
      <c r="G825" s="11" t="n">
        <v>19051.23</v>
      </c>
      <c r="H825" s="5" t="inlineStr">
        <is>
          <t>m3</t>
        </is>
      </c>
      <c r="I825" s="5" t="inlineStr">
        <is>
          <t>cumulative</t>
        </is>
      </c>
      <c r="J825" s="5" t="inlineStr">
        <is>
          <t>IJ</t>
        </is>
      </c>
      <c r="K825" s="5" t="inlineStr"/>
      <c r="L825" s="7">
        <f>IFERROR(IF(F825&lt;F824,"NEGATIVE",ROUND(F825-F824,2)),"")</f>
        <v/>
      </c>
    </row>
    <row r="826" ht="22" customHeight="1">
      <c r="B826" s="8" t="inlineStr">
        <is>
          <t>R00822</t>
        </is>
      </c>
      <c r="C826" s="8" t="inlineStr">
        <is>
          <t>MTR-DOM-006</t>
        </is>
      </c>
      <c r="D826" s="8" t="inlineStr">
        <is>
          <t>Utilities</t>
        </is>
      </c>
      <c r="E826" s="8" t="inlineStr">
        <is>
          <t>Domestic Supply</t>
        </is>
      </c>
      <c r="F826" s="8" t="inlineStr">
        <is>
          <t>2024-03-31 08:00</t>
        </is>
      </c>
      <c r="G826" s="12" t="n">
        <v>19057.12</v>
      </c>
      <c r="H826" s="8" t="inlineStr">
        <is>
          <t>m3</t>
        </is>
      </c>
      <c r="I826" s="8" t="inlineStr">
        <is>
          <t>cumulative</t>
        </is>
      </c>
      <c r="J826" s="8" t="inlineStr">
        <is>
          <t>KL</t>
        </is>
      </c>
      <c r="K826" s="8" t="inlineStr"/>
      <c r="L826" s="10">
        <f>IFERROR(IF(F826&lt;F825,"NEGATIVE",ROUND(F826-F825,2)),"")</f>
        <v/>
      </c>
    </row>
    <row r="827" ht="22" customHeight="1">
      <c r="B827" s="5" t="inlineStr">
        <is>
          <t>R00823</t>
        </is>
      </c>
      <c r="C827" s="5" t="inlineStr">
        <is>
          <t>MTR-DOM-006</t>
        </is>
      </c>
      <c r="D827" s="5" t="inlineStr">
        <is>
          <t>Utilities</t>
        </is>
      </c>
      <c r="E827" s="5" t="inlineStr">
        <is>
          <t>Domestic Supply</t>
        </is>
      </c>
      <c r="F827" s="5" t="inlineStr">
        <is>
          <t>2024-04-01 08:00</t>
        </is>
      </c>
      <c r="G827" s="11" t="n">
        <v>19068.21</v>
      </c>
      <c r="H827" s="5" t="inlineStr">
        <is>
          <t>m3</t>
        </is>
      </c>
      <c r="I827" s="5" t="inlineStr">
        <is>
          <t>cumulative</t>
        </is>
      </c>
      <c r="J827" s="5" t="inlineStr">
        <is>
          <t>KL</t>
        </is>
      </c>
      <c r="K827" s="5" t="inlineStr"/>
      <c r="L827" s="7">
        <f>IFERROR(IF(F827&lt;F826,"NEGATIVE",ROUND(F827-F826,2)),"")</f>
        <v/>
      </c>
    </row>
    <row r="828" ht="22" customHeight="1">
      <c r="B828" s="8" t="inlineStr">
        <is>
          <t>R00824</t>
        </is>
      </c>
      <c r="C828" s="8" t="inlineStr">
        <is>
          <t>MTR-DOM-006</t>
        </is>
      </c>
      <c r="D828" s="8" t="inlineStr">
        <is>
          <t>Utilities</t>
        </is>
      </c>
      <c r="E828" s="8" t="inlineStr">
        <is>
          <t>Domestic Supply</t>
        </is>
      </c>
      <c r="F828" s="8" t="inlineStr">
        <is>
          <t>2024-04-02 08:00</t>
        </is>
      </c>
      <c r="G828" s="12" t="n">
        <v>19077.37</v>
      </c>
      <c r="H828" s="8" t="inlineStr">
        <is>
          <t>m3</t>
        </is>
      </c>
      <c r="I828" s="8" t="inlineStr">
        <is>
          <t>cumulative</t>
        </is>
      </c>
      <c r="J828" s="8" t="inlineStr">
        <is>
          <t>EF</t>
        </is>
      </c>
      <c r="K828" s="8" t="inlineStr"/>
      <c r="L828" s="10">
        <f>IFERROR(IF(F828&lt;F827,"NEGATIVE",ROUND(F828-F827,2)),"")</f>
        <v/>
      </c>
    </row>
    <row r="829" ht="22" customHeight="1">
      <c r="B829" s="5" t="inlineStr">
        <is>
          <t>R00825</t>
        </is>
      </c>
      <c r="C829" s="5" t="inlineStr">
        <is>
          <t>MTR-DOM-006</t>
        </is>
      </c>
      <c r="D829" s="5" t="inlineStr">
        <is>
          <t>Utilities</t>
        </is>
      </c>
      <c r="E829" s="5" t="inlineStr">
        <is>
          <t>Domestic Supply</t>
        </is>
      </c>
      <c r="F829" s="5" t="inlineStr">
        <is>
          <t>2024-04-03 08:00</t>
        </is>
      </c>
      <c r="G829" s="11" t="n">
        <v>19088.95</v>
      </c>
      <c r="H829" s="5" t="inlineStr">
        <is>
          <t>m3</t>
        </is>
      </c>
      <c r="I829" s="5" t="inlineStr">
        <is>
          <t>cumulative</t>
        </is>
      </c>
      <c r="J829" s="5" t="inlineStr">
        <is>
          <t>GH</t>
        </is>
      </c>
      <c r="K829" s="5" t="inlineStr"/>
      <c r="L829" s="7">
        <f>IFERROR(IF(F829&lt;F828,"NEGATIVE",ROUND(F829-F828,2)),"")</f>
        <v/>
      </c>
    </row>
    <row r="830" ht="22" customHeight="1">
      <c r="B830" s="8" t="inlineStr">
        <is>
          <t>R00826</t>
        </is>
      </c>
      <c r="C830" s="8" t="inlineStr">
        <is>
          <t>MTR-DOM-006</t>
        </is>
      </c>
      <c r="D830" s="8" t="inlineStr">
        <is>
          <t>Utilities</t>
        </is>
      </c>
      <c r="E830" s="8" t="inlineStr">
        <is>
          <t>Domestic Supply</t>
        </is>
      </c>
      <c r="F830" s="8" t="inlineStr">
        <is>
          <t>2024-04-04 08:00</t>
        </is>
      </c>
      <c r="G830" s="12" t="n">
        <v>19100.36</v>
      </c>
      <c r="H830" s="8" t="inlineStr">
        <is>
          <t>m3</t>
        </is>
      </c>
      <c r="I830" s="8" t="inlineStr">
        <is>
          <t>cumulative</t>
        </is>
      </c>
      <c r="J830" s="8" t="inlineStr">
        <is>
          <t>KL</t>
        </is>
      </c>
      <c r="K830" s="8" t="inlineStr"/>
      <c r="L830" s="10">
        <f>IFERROR(IF(F830&lt;F829,"NEGATIVE",ROUND(F830-F829,2)),"")</f>
        <v/>
      </c>
    </row>
    <row r="831" ht="22" customHeight="1">
      <c r="B831" s="5" t="inlineStr">
        <is>
          <t>R00827</t>
        </is>
      </c>
      <c r="C831" s="5" t="inlineStr">
        <is>
          <t>MTR-DOM-006</t>
        </is>
      </c>
      <c r="D831" s="5" t="inlineStr">
        <is>
          <t>Utilities</t>
        </is>
      </c>
      <c r="E831" s="5" t="inlineStr">
        <is>
          <t>Domestic Supply</t>
        </is>
      </c>
      <c r="F831" s="5" t="inlineStr">
        <is>
          <t>2024-04-05 08:00</t>
        </is>
      </c>
      <c r="G831" s="11" t="n">
        <v>19111.19</v>
      </c>
      <c r="H831" s="5" t="inlineStr">
        <is>
          <t>m3</t>
        </is>
      </c>
      <c r="I831" s="5" t="inlineStr">
        <is>
          <t>cumulative</t>
        </is>
      </c>
      <c r="J831" s="5" t="inlineStr">
        <is>
          <t>KL</t>
        </is>
      </c>
      <c r="K831" s="5" t="inlineStr"/>
      <c r="L831" s="7">
        <f>IFERROR(IF(F831&lt;F830,"NEGATIVE",ROUND(F831-F830,2)),"")</f>
        <v/>
      </c>
    </row>
    <row r="832" ht="22" customHeight="1">
      <c r="B832" s="8" t="inlineStr">
        <is>
          <t>R00828</t>
        </is>
      </c>
      <c r="C832" s="8" t="inlineStr">
        <is>
          <t>MTR-DOM-006</t>
        </is>
      </c>
      <c r="D832" s="8" t="inlineStr">
        <is>
          <t>Utilities</t>
        </is>
      </c>
      <c r="E832" s="8" t="inlineStr">
        <is>
          <t>Domestic Supply</t>
        </is>
      </c>
      <c r="F832" s="8" t="inlineStr">
        <is>
          <t>2024-04-06 08:00</t>
        </is>
      </c>
      <c r="G832" s="12" t="n">
        <v>19119.1</v>
      </c>
      <c r="H832" s="8" t="inlineStr">
        <is>
          <t>m3</t>
        </is>
      </c>
      <c r="I832" s="8" t="inlineStr">
        <is>
          <t>cumulative</t>
        </is>
      </c>
      <c r="J832" s="8" t="inlineStr">
        <is>
          <t>IJ</t>
        </is>
      </c>
      <c r="K832" s="8" t="inlineStr"/>
      <c r="L832" s="10">
        <f>IFERROR(IF(F832&lt;F831,"NEGATIVE",ROUND(F832-F831,2)),"")</f>
        <v/>
      </c>
    </row>
    <row r="833" ht="22" customHeight="1">
      <c r="B833" s="5" t="inlineStr">
        <is>
          <t>R00829</t>
        </is>
      </c>
      <c r="C833" s="5" t="inlineStr">
        <is>
          <t>MTR-DOM-006</t>
        </is>
      </c>
      <c r="D833" s="5" t="inlineStr">
        <is>
          <t>Utilities</t>
        </is>
      </c>
      <c r="E833" s="5" t="inlineStr">
        <is>
          <t>Domestic Supply</t>
        </is>
      </c>
      <c r="F833" s="5" t="inlineStr">
        <is>
          <t>2024-04-07 08:00</t>
        </is>
      </c>
      <c r="G833" s="11" t="n">
        <v>19124.18</v>
      </c>
      <c r="H833" s="5" t="inlineStr">
        <is>
          <t>m3</t>
        </is>
      </c>
      <c r="I833" s="5" t="inlineStr">
        <is>
          <t>cumulative</t>
        </is>
      </c>
      <c r="J833" s="5" t="inlineStr">
        <is>
          <t>GH</t>
        </is>
      </c>
      <c r="K833" s="5" t="inlineStr"/>
      <c r="L833" s="7">
        <f>IFERROR(IF(F833&lt;F832,"NEGATIVE",ROUND(F833-F832,2)),"")</f>
        <v/>
      </c>
    </row>
    <row r="834" ht="22" customHeight="1">
      <c r="B834" s="8" t="inlineStr">
        <is>
          <t>R00830</t>
        </is>
      </c>
      <c r="C834" s="8" t="inlineStr">
        <is>
          <t>MTR-DOM-006</t>
        </is>
      </c>
      <c r="D834" s="8" t="inlineStr">
        <is>
          <t>Utilities</t>
        </is>
      </c>
      <c r="E834" s="8" t="inlineStr">
        <is>
          <t>Domestic Supply</t>
        </is>
      </c>
      <c r="F834" s="8" t="inlineStr">
        <is>
          <t>2024-04-08 08:00</t>
        </is>
      </c>
      <c r="G834" s="12" t="n">
        <v>19134.23</v>
      </c>
      <c r="H834" s="8" t="inlineStr">
        <is>
          <t>m3</t>
        </is>
      </c>
      <c r="I834" s="8" t="inlineStr">
        <is>
          <t>cumulative</t>
        </is>
      </c>
      <c r="J834" s="8" t="inlineStr">
        <is>
          <t>KL</t>
        </is>
      </c>
      <c r="K834" s="8" t="inlineStr"/>
      <c r="L834" s="10">
        <f>IFERROR(IF(F834&lt;F833,"NEGATIVE",ROUND(F834-F833,2)),"")</f>
        <v/>
      </c>
    </row>
    <row r="835" ht="22" customHeight="1">
      <c r="B835" s="5" t="inlineStr">
        <is>
          <t>R00831</t>
        </is>
      </c>
      <c r="C835" s="5" t="inlineStr">
        <is>
          <t>MTR-DOM-006</t>
        </is>
      </c>
      <c r="D835" s="5" t="inlineStr">
        <is>
          <t>Utilities</t>
        </is>
      </c>
      <c r="E835" s="5" t="inlineStr">
        <is>
          <t>Domestic Supply</t>
        </is>
      </c>
      <c r="F835" s="5" t="inlineStr">
        <is>
          <t>2024-04-09 08:00</t>
        </is>
      </c>
      <c r="G835" s="11" t="n">
        <v>19145.92</v>
      </c>
      <c r="H835" s="5" t="inlineStr">
        <is>
          <t>m3</t>
        </is>
      </c>
      <c r="I835" s="5" t="inlineStr">
        <is>
          <t>cumulative</t>
        </is>
      </c>
      <c r="J835" s="5" t="inlineStr">
        <is>
          <t>EF</t>
        </is>
      </c>
      <c r="K835" s="5" t="inlineStr"/>
      <c r="L835" s="7">
        <f>IFERROR(IF(F835&lt;F834,"NEGATIVE",ROUND(F835-F834,2)),"")</f>
        <v/>
      </c>
    </row>
    <row r="836" ht="22" customHeight="1">
      <c r="B836" s="8" t="inlineStr">
        <is>
          <t>R00832</t>
        </is>
      </c>
      <c r="C836" s="8" t="inlineStr">
        <is>
          <t>MTR-DOM-006</t>
        </is>
      </c>
      <c r="D836" s="8" t="inlineStr">
        <is>
          <t>Utilities</t>
        </is>
      </c>
      <c r="E836" s="8" t="inlineStr">
        <is>
          <t>Domestic Supply</t>
        </is>
      </c>
      <c r="F836" s="8" t="inlineStr">
        <is>
          <t>2024-04-10 08:00</t>
        </is>
      </c>
      <c r="G836" s="12" t="n">
        <v>19154.96</v>
      </c>
      <c r="H836" s="8" t="inlineStr">
        <is>
          <t>m3</t>
        </is>
      </c>
      <c r="I836" s="8" t="inlineStr">
        <is>
          <t>cumulative</t>
        </is>
      </c>
      <c r="J836" s="8" t="inlineStr">
        <is>
          <t>CD</t>
        </is>
      </c>
      <c r="K836" s="8" t="inlineStr"/>
      <c r="L836" s="10">
        <f>IFERROR(IF(F836&lt;F835,"NEGATIVE",ROUND(F836-F835,2)),"")</f>
        <v/>
      </c>
    </row>
    <row r="837" ht="22" customHeight="1">
      <c r="B837" s="5" t="inlineStr">
        <is>
          <t>R00833</t>
        </is>
      </c>
      <c r="C837" s="5" t="inlineStr">
        <is>
          <t>MTR-DOM-006</t>
        </is>
      </c>
      <c r="D837" s="5" t="inlineStr">
        <is>
          <t>Utilities</t>
        </is>
      </c>
      <c r="E837" s="5" t="inlineStr">
        <is>
          <t>Domestic Supply</t>
        </is>
      </c>
      <c r="F837" s="5" t="inlineStr">
        <is>
          <t>2024-04-11 08:00</t>
        </is>
      </c>
      <c r="G837" s="11" t="n">
        <v>19164.36</v>
      </c>
      <c r="H837" s="5" t="inlineStr">
        <is>
          <t>m3</t>
        </is>
      </c>
      <c r="I837" s="5" t="inlineStr">
        <is>
          <t>cumulative</t>
        </is>
      </c>
      <c r="J837" s="5" t="inlineStr">
        <is>
          <t>CD</t>
        </is>
      </c>
      <c r="K837" s="5" t="inlineStr"/>
      <c r="L837" s="7">
        <f>IFERROR(IF(F837&lt;F836,"NEGATIVE",ROUND(F837-F836,2)),"")</f>
        <v/>
      </c>
    </row>
    <row r="838" ht="22" customHeight="1">
      <c r="B838" s="8" t="inlineStr">
        <is>
          <t>R00834</t>
        </is>
      </c>
      <c r="C838" s="8" t="inlineStr">
        <is>
          <t>MTR-DOM-006</t>
        </is>
      </c>
      <c r="D838" s="8" t="inlineStr">
        <is>
          <t>Utilities</t>
        </is>
      </c>
      <c r="E838" s="8" t="inlineStr">
        <is>
          <t>Domestic Supply</t>
        </is>
      </c>
      <c r="F838" s="8" t="inlineStr">
        <is>
          <t>2024-04-12 08:00</t>
        </is>
      </c>
      <c r="G838" s="12" t="n">
        <v>19173.89</v>
      </c>
      <c r="H838" s="8" t="inlineStr">
        <is>
          <t>m3</t>
        </is>
      </c>
      <c r="I838" s="8" t="inlineStr">
        <is>
          <t>cumulative</t>
        </is>
      </c>
      <c r="J838" s="8" t="inlineStr">
        <is>
          <t>CD</t>
        </is>
      </c>
      <c r="K838" s="8" t="inlineStr"/>
      <c r="L838" s="10">
        <f>IFERROR(IF(F838&lt;F837,"NEGATIVE",ROUND(F838-F837,2)),"")</f>
        <v/>
      </c>
    </row>
    <row r="839" ht="22" customHeight="1">
      <c r="B839" s="5" t="inlineStr">
        <is>
          <t>R00835</t>
        </is>
      </c>
      <c r="C839" s="5" t="inlineStr">
        <is>
          <t>MTR-DOM-006</t>
        </is>
      </c>
      <c r="D839" s="5" t="inlineStr">
        <is>
          <t>Utilities</t>
        </is>
      </c>
      <c r="E839" s="5" t="inlineStr">
        <is>
          <t>Domestic Supply</t>
        </is>
      </c>
      <c r="F839" s="5" t="inlineStr">
        <is>
          <t>2024-04-13 08:00</t>
        </is>
      </c>
      <c r="G839" s="11" t="n">
        <v>19181.29</v>
      </c>
      <c r="H839" s="5" t="inlineStr">
        <is>
          <t>m3</t>
        </is>
      </c>
      <c r="I839" s="5" t="inlineStr">
        <is>
          <t>cumulative</t>
        </is>
      </c>
      <c r="J839" s="5" t="inlineStr">
        <is>
          <t>GH</t>
        </is>
      </c>
      <c r="K839" s="5" t="inlineStr"/>
      <c r="L839" s="7">
        <f>IFERROR(IF(F839&lt;F838,"NEGATIVE",ROUND(F839-F838,2)),"")</f>
        <v/>
      </c>
    </row>
    <row r="840" ht="22" customHeight="1">
      <c r="B840" s="8" t="inlineStr">
        <is>
          <t>R00836</t>
        </is>
      </c>
      <c r="C840" s="8" t="inlineStr">
        <is>
          <t>MTR-DOM-006</t>
        </is>
      </c>
      <c r="D840" s="8" t="inlineStr">
        <is>
          <t>Utilities</t>
        </is>
      </c>
      <c r="E840" s="8" t="inlineStr">
        <is>
          <t>Domestic Supply</t>
        </is>
      </c>
      <c r="F840" s="8" t="inlineStr">
        <is>
          <t>2024-04-14 08:00</t>
        </is>
      </c>
      <c r="G840" s="12" t="n">
        <v>19185.95</v>
      </c>
      <c r="H840" s="8" t="inlineStr">
        <is>
          <t>m3</t>
        </is>
      </c>
      <c r="I840" s="8" t="inlineStr">
        <is>
          <t>cumulative</t>
        </is>
      </c>
      <c r="J840" s="8" t="inlineStr">
        <is>
          <t>KL</t>
        </is>
      </c>
      <c r="K840" s="8" t="inlineStr"/>
      <c r="L840" s="10">
        <f>IFERROR(IF(F840&lt;F839,"NEGATIVE",ROUND(F840-F839,2)),"")</f>
        <v/>
      </c>
    </row>
    <row r="841" ht="22" customHeight="1">
      <c r="B841" s="5" t="inlineStr">
        <is>
          <t>R00837</t>
        </is>
      </c>
      <c r="C841" s="5" t="inlineStr">
        <is>
          <t>MTR-DOM-006</t>
        </is>
      </c>
      <c r="D841" s="5" t="inlineStr">
        <is>
          <t>Utilities</t>
        </is>
      </c>
      <c r="E841" s="5" t="inlineStr">
        <is>
          <t>Domestic Supply</t>
        </is>
      </c>
      <c r="F841" s="5" t="inlineStr">
        <is>
          <t>2024-04-15 08:00</t>
        </is>
      </c>
      <c r="G841" s="11" t="n">
        <v>19196.91</v>
      </c>
      <c r="H841" s="5" t="inlineStr">
        <is>
          <t>m3</t>
        </is>
      </c>
      <c r="I841" s="5" t="inlineStr">
        <is>
          <t>cumulative</t>
        </is>
      </c>
      <c r="J841" s="5" t="inlineStr">
        <is>
          <t>GH</t>
        </is>
      </c>
      <c r="K841" s="5" t="inlineStr"/>
      <c r="L841" s="7">
        <f>IFERROR(IF(F841&lt;F840,"NEGATIVE",ROUND(F841-F840,2)),"")</f>
        <v/>
      </c>
    </row>
    <row r="842" ht="22" customHeight="1">
      <c r="B842" s="8" t="inlineStr">
        <is>
          <t>R00838</t>
        </is>
      </c>
      <c r="C842" s="8" t="inlineStr">
        <is>
          <t>MTR-DOM-006</t>
        </is>
      </c>
      <c r="D842" s="8" t="inlineStr">
        <is>
          <t>Utilities</t>
        </is>
      </c>
      <c r="E842" s="8" t="inlineStr">
        <is>
          <t>Domestic Supply</t>
        </is>
      </c>
      <c r="F842" s="8" t="inlineStr">
        <is>
          <t>2024-04-16 08:00</t>
        </is>
      </c>
      <c r="G842" s="12" t="n">
        <v>19206.84</v>
      </c>
      <c r="H842" s="8" t="inlineStr">
        <is>
          <t>m3</t>
        </is>
      </c>
      <c r="I842" s="8" t="inlineStr">
        <is>
          <t>cumulative</t>
        </is>
      </c>
      <c r="J842" s="8" t="inlineStr">
        <is>
          <t>IJ</t>
        </is>
      </c>
      <c r="K842" s="8" t="inlineStr"/>
      <c r="L842" s="10">
        <f>IFERROR(IF(F842&lt;F841,"NEGATIVE",ROUND(F842-F841,2)),"")</f>
        <v/>
      </c>
    </row>
    <row r="843" ht="22" customHeight="1">
      <c r="B843" s="5" t="inlineStr">
        <is>
          <t>R00839</t>
        </is>
      </c>
      <c r="C843" s="5" t="inlineStr">
        <is>
          <t>MTR-DOM-006</t>
        </is>
      </c>
      <c r="D843" s="5" t="inlineStr">
        <is>
          <t>Utilities</t>
        </is>
      </c>
      <c r="E843" s="5" t="inlineStr">
        <is>
          <t>Domestic Supply</t>
        </is>
      </c>
      <c r="F843" s="5" t="inlineStr">
        <is>
          <t>2024-04-17 08:00</t>
        </is>
      </c>
      <c r="G843" s="11" t="n">
        <v>19217.82</v>
      </c>
      <c r="H843" s="5" t="inlineStr">
        <is>
          <t>m3</t>
        </is>
      </c>
      <c r="I843" s="5" t="inlineStr">
        <is>
          <t>cumulative</t>
        </is>
      </c>
      <c r="J843" s="5" t="inlineStr">
        <is>
          <t>CD</t>
        </is>
      </c>
      <c r="K843" s="5" t="inlineStr"/>
      <c r="L843" s="7">
        <f>IFERROR(IF(F843&lt;F842,"NEGATIVE",ROUND(F843-F842,2)),"")</f>
        <v/>
      </c>
    </row>
    <row r="844" ht="22" customHeight="1">
      <c r="B844" s="8" t="inlineStr">
        <is>
          <t>R00840</t>
        </is>
      </c>
      <c r="C844" s="8" t="inlineStr">
        <is>
          <t>MTR-DOM-006</t>
        </is>
      </c>
      <c r="D844" s="8" t="inlineStr">
        <is>
          <t>Utilities</t>
        </is>
      </c>
      <c r="E844" s="8" t="inlineStr">
        <is>
          <t>Domestic Supply</t>
        </is>
      </c>
      <c r="F844" s="8" t="inlineStr">
        <is>
          <t>2024-04-18 08:00</t>
        </is>
      </c>
      <c r="G844" s="12" t="n">
        <v>19227.73</v>
      </c>
      <c r="H844" s="8" t="inlineStr">
        <is>
          <t>m3</t>
        </is>
      </c>
      <c r="I844" s="8" t="inlineStr">
        <is>
          <t>cumulative</t>
        </is>
      </c>
      <c r="J844" s="8" t="inlineStr">
        <is>
          <t>CD</t>
        </is>
      </c>
      <c r="K844" s="8" t="inlineStr"/>
      <c r="L844" s="10">
        <f>IFERROR(IF(F844&lt;F843,"NEGATIVE",ROUND(F844-F843,2)),"")</f>
        <v/>
      </c>
    </row>
    <row r="845" ht="22" customHeight="1">
      <c r="B845" s="5" t="inlineStr">
        <is>
          <t>R00841</t>
        </is>
      </c>
      <c r="C845" s="5" t="inlineStr">
        <is>
          <t>MTR-DOM-006</t>
        </is>
      </c>
      <c r="D845" s="5" t="inlineStr">
        <is>
          <t>Utilities</t>
        </is>
      </c>
      <c r="E845" s="5" t="inlineStr">
        <is>
          <t>Domestic Supply</t>
        </is>
      </c>
      <c r="F845" s="5" t="inlineStr">
        <is>
          <t>2024-04-19 08:00</t>
        </is>
      </c>
      <c r="G845" s="11" t="n">
        <v>19236.67</v>
      </c>
      <c r="H845" s="5" t="inlineStr">
        <is>
          <t>m3</t>
        </is>
      </c>
      <c r="I845" s="5" t="inlineStr">
        <is>
          <t>cumulative</t>
        </is>
      </c>
      <c r="J845" s="5" t="inlineStr">
        <is>
          <t>IJ</t>
        </is>
      </c>
      <c r="K845" s="5" t="inlineStr"/>
      <c r="L845" s="7">
        <f>IFERROR(IF(F845&lt;F844,"NEGATIVE",ROUND(F845-F844,2)),"")</f>
        <v/>
      </c>
    </row>
    <row r="846" ht="22" customHeight="1">
      <c r="B846" s="8" t="inlineStr">
        <is>
          <t>R00842</t>
        </is>
      </c>
      <c r="C846" s="8" t="inlineStr">
        <is>
          <t>MTR-DOM-006</t>
        </is>
      </c>
      <c r="D846" s="8" t="inlineStr">
        <is>
          <t>Utilities</t>
        </is>
      </c>
      <c r="E846" s="8" t="inlineStr">
        <is>
          <t>Domestic Supply</t>
        </is>
      </c>
      <c r="F846" s="8" t="inlineStr">
        <is>
          <t>2024-04-20 08:00</t>
        </is>
      </c>
      <c r="G846" s="12" t="n">
        <v>19245.26</v>
      </c>
      <c r="H846" s="8" t="inlineStr">
        <is>
          <t>m3</t>
        </is>
      </c>
      <c r="I846" s="8" t="inlineStr">
        <is>
          <t>cumulative</t>
        </is>
      </c>
      <c r="J846" s="8" t="inlineStr">
        <is>
          <t>EF</t>
        </is>
      </c>
      <c r="K846" s="8" t="inlineStr"/>
      <c r="L846" s="10">
        <f>IFERROR(IF(F846&lt;F845,"NEGATIVE",ROUND(F846-F845,2)),"")</f>
        <v/>
      </c>
    </row>
    <row r="847" ht="22" customHeight="1">
      <c r="B847" s="5" t="inlineStr">
        <is>
          <t>R00843</t>
        </is>
      </c>
      <c r="C847" s="5" t="inlineStr">
        <is>
          <t>MTR-DOM-006</t>
        </is>
      </c>
      <c r="D847" s="5" t="inlineStr">
        <is>
          <t>Utilities</t>
        </is>
      </c>
      <c r="E847" s="5" t="inlineStr">
        <is>
          <t>Domestic Supply</t>
        </is>
      </c>
      <c r="F847" s="5" t="inlineStr">
        <is>
          <t>2024-04-21 08:00</t>
        </is>
      </c>
      <c r="G847" s="11" t="n">
        <v>19250.78</v>
      </c>
      <c r="H847" s="5" t="inlineStr">
        <is>
          <t>m3</t>
        </is>
      </c>
      <c r="I847" s="5" t="inlineStr">
        <is>
          <t>cumulative</t>
        </is>
      </c>
      <c r="J847" s="5" t="inlineStr">
        <is>
          <t>GH</t>
        </is>
      </c>
      <c r="K847" s="5" t="inlineStr"/>
      <c r="L847" s="7">
        <f>IFERROR(IF(F847&lt;F846,"NEGATIVE",ROUND(F847-F846,2)),"")</f>
        <v/>
      </c>
    </row>
    <row r="848" ht="22" customHeight="1">
      <c r="B848" s="8" t="inlineStr">
        <is>
          <t>R00844</t>
        </is>
      </c>
      <c r="C848" s="8" t="inlineStr">
        <is>
          <t>MTR-DOM-006</t>
        </is>
      </c>
      <c r="D848" s="8" t="inlineStr">
        <is>
          <t>Utilities</t>
        </is>
      </c>
      <c r="E848" s="8" t="inlineStr">
        <is>
          <t>Domestic Supply</t>
        </is>
      </c>
      <c r="F848" s="8" t="inlineStr">
        <is>
          <t>2024-04-22 08:00</t>
        </is>
      </c>
      <c r="G848" s="12" t="n">
        <v>19260.38</v>
      </c>
      <c r="H848" s="8" t="inlineStr">
        <is>
          <t>m3</t>
        </is>
      </c>
      <c r="I848" s="8" t="inlineStr">
        <is>
          <t>cumulative</t>
        </is>
      </c>
      <c r="J848" s="8" t="inlineStr">
        <is>
          <t>EF</t>
        </is>
      </c>
      <c r="K848" s="8" t="inlineStr"/>
      <c r="L848" s="10">
        <f>IFERROR(IF(F848&lt;F847,"NEGATIVE",ROUND(F848-F847,2)),"")</f>
        <v/>
      </c>
    </row>
    <row r="849" ht="22" customHeight="1">
      <c r="B849" s="5" t="inlineStr">
        <is>
          <t>R00845</t>
        </is>
      </c>
      <c r="C849" s="5" t="inlineStr">
        <is>
          <t>MTR-DOM-006</t>
        </is>
      </c>
      <c r="D849" s="5" t="inlineStr">
        <is>
          <t>Utilities</t>
        </is>
      </c>
      <c r="E849" s="5" t="inlineStr">
        <is>
          <t>Domestic Supply</t>
        </is>
      </c>
      <c r="F849" s="5" t="inlineStr">
        <is>
          <t>2024-04-23 08:00</t>
        </is>
      </c>
      <c r="G849" s="11" t="n">
        <v>19269.42</v>
      </c>
      <c r="H849" s="5" t="inlineStr">
        <is>
          <t>m3</t>
        </is>
      </c>
      <c r="I849" s="5" t="inlineStr">
        <is>
          <t>cumulative</t>
        </is>
      </c>
      <c r="J849" s="5" t="inlineStr">
        <is>
          <t>IJ</t>
        </is>
      </c>
      <c r="K849" s="5" t="inlineStr"/>
      <c r="L849" s="7">
        <f>IFERROR(IF(F849&lt;F848,"NEGATIVE",ROUND(F849-F848,2)),"")</f>
        <v/>
      </c>
    </row>
    <row r="850" ht="22" customHeight="1">
      <c r="B850" s="8" t="inlineStr">
        <is>
          <t>R00846</t>
        </is>
      </c>
      <c r="C850" s="8" t="inlineStr">
        <is>
          <t>MTR-DOM-006</t>
        </is>
      </c>
      <c r="D850" s="8" t="inlineStr">
        <is>
          <t>Utilities</t>
        </is>
      </c>
      <c r="E850" s="8" t="inlineStr">
        <is>
          <t>Domestic Supply</t>
        </is>
      </c>
      <c r="F850" s="8" t="inlineStr">
        <is>
          <t>2024-04-24 08:00</t>
        </is>
      </c>
      <c r="G850" s="12" t="n">
        <v>19278.66</v>
      </c>
      <c r="H850" s="8" t="inlineStr">
        <is>
          <t>m3</t>
        </is>
      </c>
      <c r="I850" s="8" t="inlineStr">
        <is>
          <t>cumulative</t>
        </is>
      </c>
      <c r="J850" s="8" t="inlineStr">
        <is>
          <t>IJ</t>
        </is>
      </c>
      <c r="K850" s="8" t="inlineStr"/>
      <c r="L850" s="10">
        <f>IFERROR(IF(F850&lt;F849,"NEGATIVE",ROUND(F850-F849,2)),"")</f>
        <v/>
      </c>
    </row>
    <row r="851" ht="22" customHeight="1">
      <c r="B851" s="5" t="inlineStr">
        <is>
          <t>R00847</t>
        </is>
      </c>
      <c r="C851" s="5" t="inlineStr">
        <is>
          <t>MTR-DOM-006</t>
        </is>
      </c>
      <c r="D851" s="5" t="inlineStr">
        <is>
          <t>Utilities</t>
        </is>
      </c>
      <c r="E851" s="5" t="inlineStr">
        <is>
          <t>Domestic Supply</t>
        </is>
      </c>
      <c r="F851" s="5" t="inlineStr">
        <is>
          <t>2024-04-25 08:00</t>
        </is>
      </c>
      <c r="G851" s="11" t="n">
        <v>19287.77</v>
      </c>
      <c r="H851" s="5" t="inlineStr">
        <is>
          <t>m3</t>
        </is>
      </c>
      <c r="I851" s="5" t="inlineStr">
        <is>
          <t>cumulative</t>
        </is>
      </c>
      <c r="J851" s="5" t="inlineStr">
        <is>
          <t>GH</t>
        </is>
      </c>
      <c r="K851" s="5" t="inlineStr"/>
      <c r="L851" s="7">
        <f>IFERROR(IF(F851&lt;F850,"NEGATIVE",ROUND(F851-F850,2)),"")</f>
        <v/>
      </c>
    </row>
    <row r="852" ht="22" customHeight="1">
      <c r="B852" s="8" t="inlineStr">
        <is>
          <t>R00848</t>
        </is>
      </c>
      <c r="C852" s="8" t="inlineStr">
        <is>
          <t>MTR-DOM-006</t>
        </is>
      </c>
      <c r="D852" s="8" t="inlineStr">
        <is>
          <t>Utilities</t>
        </is>
      </c>
      <c r="E852" s="8" t="inlineStr">
        <is>
          <t>Domestic Supply</t>
        </is>
      </c>
      <c r="F852" s="8" t="inlineStr">
        <is>
          <t>2024-04-26 08:00</t>
        </is>
      </c>
      <c r="G852" s="12" t="n">
        <v>19296.55</v>
      </c>
      <c r="H852" s="8" t="inlineStr">
        <is>
          <t>m3</t>
        </is>
      </c>
      <c r="I852" s="8" t="inlineStr">
        <is>
          <t>cumulative</t>
        </is>
      </c>
      <c r="J852" s="8" t="inlineStr">
        <is>
          <t>EF</t>
        </is>
      </c>
      <c r="K852" s="8" t="inlineStr"/>
      <c r="L852" s="10">
        <f>IFERROR(IF(F852&lt;F851,"NEGATIVE",ROUND(F852-F851,2)),"")</f>
        <v/>
      </c>
    </row>
    <row r="853" ht="22" customHeight="1">
      <c r="B853" s="5" t="inlineStr">
        <is>
          <t>R00849</t>
        </is>
      </c>
      <c r="C853" s="5" t="inlineStr">
        <is>
          <t>MTR-DOM-006</t>
        </is>
      </c>
      <c r="D853" s="5" t="inlineStr">
        <is>
          <t>Utilities</t>
        </is>
      </c>
      <c r="E853" s="5" t="inlineStr">
        <is>
          <t>Domestic Supply</t>
        </is>
      </c>
      <c r="F853" s="5" t="inlineStr">
        <is>
          <t>2024-04-27 08:00</t>
        </is>
      </c>
      <c r="G853" s="11" t="n">
        <v>19304.97</v>
      </c>
      <c r="H853" s="5" t="inlineStr">
        <is>
          <t>m3</t>
        </is>
      </c>
      <c r="I853" s="5" t="inlineStr">
        <is>
          <t>cumulative</t>
        </is>
      </c>
      <c r="J853" s="5" t="inlineStr">
        <is>
          <t>CD</t>
        </is>
      </c>
      <c r="K853" s="5" t="inlineStr"/>
      <c r="L853" s="7">
        <f>IFERROR(IF(F853&lt;F852,"NEGATIVE",ROUND(F853-F852,2)),"")</f>
        <v/>
      </c>
    </row>
    <row r="854" ht="22" customHeight="1">
      <c r="B854" s="8" t="inlineStr">
        <is>
          <t>R00850</t>
        </is>
      </c>
      <c r="C854" s="8" t="inlineStr">
        <is>
          <t>MTR-DOM-006</t>
        </is>
      </c>
      <c r="D854" s="8" t="inlineStr">
        <is>
          <t>Utilities</t>
        </is>
      </c>
      <c r="E854" s="8" t="inlineStr">
        <is>
          <t>Domestic Supply</t>
        </is>
      </c>
      <c r="F854" s="8" t="inlineStr">
        <is>
          <t>2024-04-28 08:00</t>
        </is>
      </c>
      <c r="G854" s="12" t="n">
        <v>19310.95</v>
      </c>
      <c r="H854" s="8" t="inlineStr">
        <is>
          <t>m3</t>
        </is>
      </c>
      <c r="I854" s="8" t="inlineStr">
        <is>
          <t>cumulative</t>
        </is>
      </c>
      <c r="J854" s="8" t="inlineStr">
        <is>
          <t>IJ</t>
        </is>
      </c>
      <c r="K854" s="8" t="inlineStr"/>
      <c r="L854" s="10">
        <f>IFERROR(IF(F854&lt;F853,"NEGATIVE",ROUND(F854-F853,2)),"")</f>
        <v/>
      </c>
    </row>
    <row r="855" ht="22" customHeight="1">
      <c r="B855" s="5" t="inlineStr">
        <is>
          <t>R00851</t>
        </is>
      </c>
      <c r="C855" s="5" t="inlineStr">
        <is>
          <t>MTR-DOM-006</t>
        </is>
      </c>
      <c r="D855" s="5" t="inlineStr">
        <is>
          <t>Utilities</t>
        </is>
      </c>
      <c r="E855" s="5" t="inlineStr">
        <is>
          <t>Domestic Supply</t>
        </is>
      </c>
      <c r="F855" s="5" t="inlineStr">
        <is>
          <t>2024-04-29 08:00</t>
        </is>
      </c>
      <c r="G855" s="11" t="n">
        <v>19321.13</v>
      </c>
      <c r="H855" s="5" t="inlineStr">
        <is>
          <t>m3</t>
        </is>
      </c>
      <c r="I855" s="5" t="inlineStr">
        <is>
          <t>cumulative</t>
        </is>
      </c>
      <c r="J855" s="5" t="inlineStr">
        <is>
          <t>KL</t>
        </is>
      </c>
      <c r="K855" s="5" t="inlineStr"/>
      <c r="L855" s="7">
        <f>IFERROR(IF(F855&lt;F854,"NEGATIVE",ROUND(F855-F854,2)),"")</f>
        <v/>
      </c>
    </row>
    <row r="856" ht="22" customHeight="1">
      <c r="B856" s="8" t="inlineStr">
        <is>
          <t>R00852</t>
        </is>
      </c>
      <c r="C856" s="8" t="inlineStr">
        <is>
          <t>MTR-DOM-006</t>
        </is>
      </c>
      <c r="D856" s="8" t="inlineStr">
        <is>
          <t>Utilities</t>
        </is>
      </c>
      <c r="E856" s="8" t="inlineStr">
        <is>
          <t>Domestic Supply</t>
        </is>
      </c>
      <c r="F856" s="8" t="inlineStr">
        <is>
          <t>2024-04-30 08:00</t>
        </is>
      </c>
      <c r="G856" s="12" t="n">
        <v>19332.19</v>
      </c>
      <c r="H856" s="8" t="inlineStr">
        <is>
          <t>m3</t>
        </is>
      </c>
      <c r="I856" s="8" t="inlineStr">
        <is>
          <t>cumulative</t>
        </is>
      </c>
      <c r="J856" s="8" t="inlineStr">
        <is>
          <t>CD</t>
        </is>
      </c>
      <c r="K856" s="8" t="inlineStr"/>
      <c r="L856" s="10">
        <f>IFERROR(IF(F856&lt;F855,"NEGATIVE",ROUND(F856-F855,2)),"")</f>
        <v/>
      </c>
    </row>
    <row r="857" ht="22" customHeight="1">
      <c r="B857" s="5" t="inlineStr">
        <is>
          <t>R00853</t>
        </is>
      </c>
      <c r="C857" s="5" t="inlineStr">
        <is>
          <t>MTR-DOM-006</t>
        </is>
      </c>
      <c r="D857" s="5" t="inlineStr">
        <is>
          <t>Utilities</t>
        </is>
      </c>
      <c r="E857" s="5" t="inlineStr">
        <is>
          <t>Domestic Supply</t>
        </is>
      </c>
      <c r="F857" s="5" t="inlineStr">
        <is>
          <t>2024-05-01 08:00</t>
        </is>
      </c>
      <c r="G857" s="11" t="n">
        <v>19343.77</v>
      </c>
      <c r="H857" s="5" t="inlineStr">
        <is>
          <t>m3</t>
        </is>
      </c>
      <c r="I857" s="5" t="inlineStr">
        <is>
          <t>cumulative</t>
        </is>
      </c>
      <c r="J857" s="5" t="inlineStr">
        <is>
          <t>CD</t>
        </is>
      </c>
      <c r="K857" s="5" t="inlineStr"/>
      <c r="L857" s="7">
        <f>IFERROR(IF(F857&lt;F856,"NEGATIVE",ROUND(F857-F856,2)),"")</f>
        <v/>
      </c>
    </row>
    <row r="858" ht="22" customHeight="1">
      <c r="B858" s="8" t="inlineStr">
        <is>
          <t>R00854</t>
        </is>
      </c>
      <c r="C858" s="8" t="inlineStr">
        <is>
          <t>MTR-DOM-006</t>
        </is>
      </c>
      <c r="D858" s="8" t="inlineStr">
        <is>
          <t>Utilities</t>
        </is>
      </c>
      <c r="E858" s="8" t="inlineStr">
        <is>
          <t>Domestic Supply</t>
        </is>
      </c>
      <c r="F858" s="8" t="inlineStr">
        <is>
          <t>2024-05-02 08:00</t>
        </is>
      </c>
      <c r="G858" s="12" t="n">
        <v>19355.18</v>
      </c>
      <c r="H858" s="8" t="inlineStr">
        <is>
          <t>m3</t>
        </is>
      </c>
      <c r="I858" s="8" t="inlineStr">
        <is>
          <t>cumulative</t>
        </is>
      </c>
      <c r="J858" s="8" t="inlineStr">
        <is>
          <t>GH</t>
        </is>
      </c>
      <c r="K858" s="8" t="inlineStr"/>
      <c r="L858" s="10">
        <f>IFERROR(IF(F858&lt;F857,"NEGATIVE",ROUND(F858-F857,2)),"")</f>
        <v/>
      </c>
    </row>
    <row r="859" ht="22" customHeight="1">
      <c r="B859" s="5" t="inlineStr">
        <is>
          <t>R00855</t>
        </is>
      </c>
      <c r="C859" s="5" t="inlineStr">
        <is>
          <t>MTR-DOM-006</t>
        </is>
      </c>
      <c r="D859" s="5" t="inlineStr">
        <is>
          <t>Utilities</t>
        </is>
      </c>
      <c r="E859" s="5" t="inlineStr">
        <is>
          <t>Domestic Supply</t>
        </is>
      </c>
      <c r="F859" s="5" t="inlineStr">
        <is>
          <t>2024-05-03 08:00</t>
        </is>
      </c>
      <c r="G859" s="11" t="n">
        <v>19366.18</v>
      </c>
      <c r="H859" s="5" t="inlineStr">
        <is>
          <t>m3</t>
        </is>
      </c>
      <c r="I859" s="5" t="inlineStr">
        <is>
          <t>cumulative</t>
        </is>
      </c>
      <c r="J859" s="5" t="inlineStr">
        <is>
          <t>EF</t>
        </is>
      </c>
      <c r="K859" s="5" t="inlineStr"/>
      <c r="L859" s="7">
        <f>IFERROR(IF(F859&lt;F858,"NEGATIVE",ROUND(F859-F858,2)),"")</f>
        <v/>
      </c>
    </row>
    <row r="860" ht="22" customHeight="1">
      <c r="B860" s="8" t="inlineStr">
        <is>
          <t>R00856</t>
        </is>
      </c>
      <c r="C860" s="8" t="inlineStr">
        <is>
          <t>MTR-DOM-006</t>
        </is>
      </c>
      <c r="D860" s="8" t="inlineStr">
        <is>
          <t>Utilities</t>
        </is>
      </c>
      <c r="E860" s="8" t="inlineStr">
        <is>
          <t>Domestic Supply</t>
        </is>
      </c>
      <c r="F860" s="8" t="inlineStr">
        <is>
          <t>2024-05-04 08:00</t>
        </is>
      </c>
      <c r="G860" s="12" t="n">
        <v>19375.04</v>
      </c>
      <c r="H860" s="8" t="inlineStr">
        <is>
          <t>m3</t>
        </is>
      </c>
      <c r="I860" s="8" t="inlineStr">
        <is>
          <t>cumulative</t>
        </is>
      </c>
      <c r="J860" s="8" t="inlineStr">
        <is>
          <t>IJ</t>
        </is>
      </c>
      <c r="K860" s="8" t="inlineStr"/>
      <c r="L860" s="10">
        <f>IFERROR(IF(F860&lt;F859,"NEGATIVE",ROUND(F860-F859,2)),"")</f>
        <v/>
      </c>
    </row>
    <row r="861" ht="22" customHeight="1">
      <c r="B861" s="5" t="inlineStr">
        <is>
          <t>R00857</t>
        </is>
      </c>
      <c r="C861" s="5" t="inlineStr">
        <is>
          <t>MTR-DOM-006</t>
        </is>
      </c>
      <c r="D861" s="5" t="inlineStr">
        <is>
          <t>Utilities</t>
        </is>
      </c>
      <c r="E861" s="5" t="inlineStr">
        <is>
          <t>Domestic Supply</t>
        </is>
      </c>
      <c r="F861" s="5" t="inlineStr">
        <is>
          <t>2024-05-05 08:00</t>
        </is>
      </c>
      <c r="G861" s="11" t="n">
        <v>19380.76</v>
      </c>
      <c r="H861" s="5" t="inlineStr">
        <is>
          <t>m3</t>
        </is>
      </c>
      <c r="I861" s="5" t="inlineStr">
        <is>
          <t>cumulative</t>
        </is>
      </c>
      <c r="J861" s="5" t="inlineStr">
        <is>
          <t>IJ</t>
        </is>
      </c>
      <c r="K861" s="5" t="inlineStr"/>
      <c r="L861" s="7">
        <f>IFERROR(IF(F861&lt;F860,"NEGATIVE",ROUND(F861-F860,2)),"")</f>
        <v/>
      </c>
    </row>
    <row r="862" ht="22" customHeight="1">
      <c r="B862" s="8" t="inlineStr">
        <is>
          <t>R00858</t>
        </is>
      </c>
      <c r="C862" s="8" t="inlineStr">
        <is>
          <t>MTR-DOM-006</t>
        </is>
      </c>
      <c r="D862" s="8" t="inlineStr">
        <is>
          <t>Utilities</t>
        </is>
      </c>
      <c r="E862" s="8" t="inlineStr">
        <is>
          <t>Domestic Supply</t>
        </is>
      </c>
      <c r="F862" s="8" t="inlineStr">
        <is>
          <t>2024-05-06 08:00</t>
        </is>
      </c>
      <c r="G862" s="12" t="n">
        <v>19391.15</v>
      </c>
      <c r="H862" s="8" t="inlineStr">
        <is>
          <t>m3</t>
        </is>
      </c>
      <c r="I862" s="8" t="inlineStr">
        <is>
          <t>cumulative</t>
        </is>
      </c>
      <c r="J862" s="8" t="inlineStr">
        <is>
          <t>GH</t>
        </is>
      </c>
      <c r="K862" s="8" t="inlineStr"/>
      <c r="L862" s="10">
        <f>IFERROR(IF(F862&lt;F861,"NEGATIVE",ROUND(F862-F861,2)),"")</f>
        <v/>
      </c>
    </row>
    <row r="863" ht="22" customHeight="1">
      <c r="B863" s="5" t="inlineStr">
        <is>
          <t>R00859</t>
        </is>
      </c>
      <c r="C863" s="5" t="inlineStr">
        <is>
          <t>MTR-DOM-006</t>
        </is>
      </c>
      <c r="D863" s="5" t="inlineStr">
        <is>
          <t>Utilities</t>
        </is>
      </c>
      <c r="E863" s="5" t="inlineStr">
        <is>
          <t>Domestic Supply</t>
        </is>
      </c>
      <c r="F863" s="5" t="inlineStr">
        <is>
          <t>2024-05-07 08:00</t>
        </is>
      </c>
      <c r="G863" s="11" t="n">
        <v>19402.65</v>
      </c>
      <c r="H863" s="5" t="inlineStr">
        <is>
          <t>m3</t>
        </is>
      </c>
      <c r="I863" s="5" t="inlineStr">
        <is>
          <t>cumulative</t>
        </is>
      </c>
      <c r="J863" s="5" t="inlineStr">
        <is>
          <t>KL</t>
        </is>
      </c>
      <c r="K863" s="5" t="inlineStr"/>
      <c r="L863" s="7">
        <f>IFERROR(IF(F863&lt;F862,"NEGATIVE",ROUND(F863-F862,2)),"")</f>
        <v/>
      </c>
    </row>
    <row r="864" ht="22" customHeight="1">
      <c r="B864" s="8" t="inlineStr">
        <is>
          <t>R00860</t>
        </is>
      </c>
      <c r="C864" s="8" t="inlineStr">
        <is>
          <t>MTR-DOM-006</t>
        </is>
      </c>
      <c r="D864" s="8" t="inlineStr">
        <is>
          <t>Utilities</t>
        </is>
      </c>
      <c r="E864" s="8" t="inlineStr">
        <is>
          <t>Domestic Supply</t>
        </is>
      </c>
      <c r="F864" s="8" t="inlineStr">
        <is>
          <t>2024-05-08 08:00</t>
        </is>
      </c>
      <c r="G864" s="12" t="n">
        <v>19414.42</v>
      </c>
      <c r="H864" s="8" t="inlineStr">
        <is>
          <t>m3</t>
        </is>
      </c>
      <c r="I864" s="8" t="inlineStr">
        <is>
          <t>cumulative</t>
        </is>
      </c>
      <c r="J864" s="8" t="inlineStr">
        <is>
          <t>EF</t>
        </is>
      </c>
      <c r="K864" s="8" t="inlineStr"/>
      <c r="L864" s="10">
        <f>IFERROR(IF(F864&lt;F863,"NEGATIVE",ROUND(F864-F863,2)),"")</f>
        <v/>
      </c>
    </row>
    <row r="865" ht="22" customHeight="1">
      <c r="B865" s="5" t="inlineStr">
        <is>
          <t>R00861</t>
        </is>
      </c>
      <c r="C865" s="5" t="inlineStr">
        <is>
          <t>MTR-DOM-006</t>
        </is>
      </c>
      <c r="D865" s="5" t="inlineStr">
        <is>
          <t>Utilities</t>
        </is>
      </c>
      <c r="E865" s="5" t="inlineStr">
        <is>
          <t>Domestic Supply</t>
        </is>
      </c>
      <c r="F865" s="5" t="inlineStr">
        <is>
          <t>2024-05-09 08:00</t>
        </is>
      </c>
      <c r="G865" s="11" t="n">
        <v>19426.39</v>
      </c>
      <c r="H865" s="5" t="inlineStr">
        <is>
          <t>m3</t>
        </is>
      </c>
      <c r="I865" s="5" t="inlineStr">
        <is>
          <t>cumulative</t>
        </is>
      </c>
      <c r="J865" s="5" t="inlineStr">
        <is>
          <t>EF</t>
        </is>
      </c>
      <c r="K865" s="5" t="inlineStr"/>
      <c r="L865" s="7">
        <f>IFERROR(IF(F865&lt;F864,"NEGATIVE",ROUND(F865-F864,2)),"")</f>
        <v/>
      </c>
    </row>
    <row r="866" ht="22" customHeight="1">
      <c r="B866" s="8" t="inlineStr">
        <is>
          <t>R00862</t>
        </is>
      </c>
      <c r="C866" s="8" t="inlineStr">
        <is>
          <t>MTR-DOM-006</t>
        </is>
      </c>
      <c r="D866" s="8" t="inlineStr">
        <is>
          <t>Utilities</t>
        </is>
      </c>
      <c r="E866" s="8" t="inlineStr">
        <is>
          <t>Domestic Supply</t>
        </is>
      </c>
      <c r="F866" s="8" t="inlineStr">
        <is>
          <t>2024-05-10 08:00</t>
        </is>
      </c>
      <c r="G866" s="12" t="n">
        <v>19436.73</v>
      </c>
      <c r="H866" s="8" t="inlineStr">
        <is>
          <t>m3</t>
        </is>
      </c>
      <c r="I866" s="8" t="inlineStr">
        <is>
          <t>cumulative</t>
        </is>
      </c>
      <c r="J866" s="8" t="inlineStr">
        <is>
          <t>EF</t>
        </is>
      </c>
      <c r="K866" s="8" t="inlineStr"/>
      <c r="L866" s="10">
        <f>IFERROR(IF(F866&lt;F865,"NEGATIVE",ROUND(F866-F865,2)),"")</f>
        <v/>
      </c>
    </row>
    <row r="867" ht="22" customHeight="1">
      <c r="B867" s="5" t="inlineStr">
        <is>
          <t>R00863</t>
        </is>
      </c>
      <c r="C867" s="5" t="inlineStr">
        <is>
          <t>MTR-DOM-006</t>
        </is>
      </c>
      <c r="D867" s="5" t="inlineStr">
        <is>
          <t>Utilities</t>
        </is>
      </c>
      <c r="E867" s="5" t="inlineStr">
        <is>
          <t>Domestic Supply</t>
        </is>
      </c>
      <c r="F867" s="5" t="inlineStr">
        <is>
          <t>2024-05-11 08:00</t>
        </is>
      </c>
      <c r="G867" s="11" t="n">
        <v>19446.18</v>
      </c>
      <c r="H867" s="5" t="inlineStr">
        <is>
          <t>m3</t>
        </is>
      </c>
      <c r="I867" s="5" t="inlineStr">
        <is>
          <t>cumulative</t>
        </is>
      </c>
      <c r="J867" s="5" t="inlineStr">
        <is>
          <t>AB</t>
        </is>
      </c>
      <c r="K867" s="5" t="inlineStr"/>
      <c r="L867" s="7">
        <f>IFERROR(IF(F867&lt;F866,"NEGATIVE",ROUND(F867-F866,2)),"")</f>
        <v/>
      </c>
    </row>
    <row r="868" ht="22" customHeight="1">
      <c r="B868" s="8" t="inlineStr">
        <is>
          <t>R00864</t>
        </is>
      </c>
      <c r="C868" s="8" t="inlineStr">
        <is>
          <t>MTR-DOM-006</t>
        </is>
      </c>
      <c r="D868" s="8" t="inlineStr">
        <is>
          <t>Utilities</t>
        </is>
      </c>
      <c r="E868" s="8" t="inlineStr">
        <is>
          <t>Domestic Supply</t>
        </is>
      </c>
      <c r="F868" s="8" t="inlineStr">
        <is>
          <t>2024-05-12 08:00</t>
        </is>
      </c>
      <c r="G868" s="12" t="n">
        <v>19451.15</v>
      </c>
      <c r="H868" s="8" t="inlineStr">
        <is>
          <t>m3</t>
        </is>
      </c>
      <c r="I868" s="8" t="inlineStr">
        <is>
          <t>cumulative</t>
        </is>
      </c>
      <c r="J868" s="8" t="inlineStr">
        <is>
          <t>CD</t>
        </is>
      </c>
      <c r="K868" s="8" t="inlineStr"/>
      <c r="L868" s="10">
        <f>IFERROR(IF(F868&lt;F867,"NEGATIVE",ROUND(F868-F867,2)),"")</f>
        <v/>
      </c>
    </row>
    <row r="869" ht="22" customHeight="1">
      <c r="B869" s="5" t="inlineStr">
        <is>
          <t>R00865</t>
        </is>
      </c>
      <c r="C869" s="5" t="inlineStr">
        <is>
          <t>MTR-DOM-006</t>
        </is>
      </c>
      <c r="D869" s="5" t="inlineStr">
        <is>
          <t>Utilities</t>
        </is>
      </c>
      <c r="E869" s="5" t="inlineStr">
        <is>
          <t>Domestic Supply</t>
        </is>
      </c>
      <c r="F869" s="5" t="inlineStr">
        <is>
          <t>2024-05-13 08:00</t>
        </is>
      </c>
      <c r="G869" s="11" t="n">
        <v>19462.09</v>
      </c>
      <c r="H869" s="5" t="inlineStr">
        <is>
          <t>m3</t>
        </is>
      </c>
      <c r="I869" s="5" t="inlineStr">
        <is>
          <t>cumulative</t>
        </is>
      </c>
      <c r="J869" s="5" t="inlineStr">
        <is>
          <t>KL</t>
        </is>
      </c>
      <c r="K869" s="5" t="inlineStr"/>
      <c r="L869" s="7">
        <f>IFERROR(IF(F869&lt;F868,"NEGATIVE",ROUND(F869-F868,2)),"")</f>
        <v/>
      </c>
    </row>
    <row r="870" ht="22" customHeight="1">
      <c r="B870" s="8" t="inlineStr">
        <is>
          <t>R00866</t>
        </is>
      </c>
      <c r="C870" s="8" t="inlineStr">
        <is>
          <t>MTR-DOM-006</t>
        </is>
      </c>
      <c r="D870" s="8" t="inlineStr">
        <is>
          <t>Utilities</t>
        </is>
      </c>
      <c r="E870" s="8" t="inlineStr">
        <is>
          <t>Domestic Supply</t>
        </is>
      </c>
      <c r="F870" s="8" t="inlineStr">
        <is>
          <t>2024-05-14 08:00</t>
        </is>
      </c>
      <c r="G870" s="12" t="n">
        <v>19474.21</v>
      </c>
      <c r="H870" s="8" t="inlineStr">
        <is>
          <t>m3</t>
        </is>
      </c>
      <c r="I870" s="8" t="inlineStr">
        <is>
          <t>cumulative</t>
        </is>
      </c>
      <c r="J870" s="8" t="inlineStr">
        <is>
          <t>GH</t>
        </is>
      </c>
      <c r="K870" s="8" t="inlineStr"/>
      <c r="L870" s="10">
        <f>IFERROR(IF(F870&lt;F869,"NEGATIVE",ROUND(F870-F869,2)),"")</f>
        <v/>
      </c>
    </row>
    <row r="871" ht="22" customHeight="1">
      <c r="B871" s="5" t="inlineStr">
        <is>
          <t>R00867</t>
        </is>
      </c>
      <c r="C871" s="5" t="inlineStr">
        <is>
          <t>MTR-DOM-006</t>
        </is>
      </c>
      <c r="D871" s="5" t="inlineStr">
        <is>
          <t>Utilities</t>
        </is>
      </c>
      <c r="E871" s="5" t="inlineStr">
        <is>
          <t>Domestic Supply</t>
        </is>
      </c>
      <c r="F871" s="5" t="inlineStr">
        <is>
          <t>2024-05-15 08:00</t>
        </is>
      </c>
      <c r="G871" s="11" t="n">
        <v>19485.24</v>
      </c>
      <c r="H871" s="5" t="inlineStr">
        <is>
          <t>m3</t>
        </is>
      </c>
      <c r="I871" s="5" t="inlineStr">
        <is>
          <t>cumulative</t>
        </is>
      </c>
      <c r="J871" s="5" t="inlineStr">
        <is>
          <t>EF</t>
        </is>
      </c>
      <c r="K871" s="5" t="inlineStr"/>
      <c r="L871" s="7">
        <f>IFERROR(IF(F871&lt;F870,"NEGATIVE",ROUND(F871-F870,2)),"")</f>
        <v/>
      </c>
    </row>
    <row r="872" ht="22" customHeight="1">
      <c r="B872" s="8" t="inlineStr">
        <is>
          <t>R00868</t>
        </is>
      </c>
      <c r="C872" s="8" t="inlineStr">
        <is>
          <t>MTR-DOM-006</t>
        </is>
      </c>
      <c r="D872" s="8" t="inlineStr">
        <is>
          <t>Utilities</t>
        </is>
      </c>
      <c r="E872" s="8" t="inlineStr">
        <is>
          <t>Domestic Supply</t>
        </is>
      </c>
      <c r="F872" s="8" t="inlineStr">
        <is>
          <t>2024-05-16 08:00</t>
        </is>
      </c>
      <c r="G872" s="12" t="n">
        <v>19494.7</v>
      </c>
      <c r="H872" s="8" t="inlineStr">
        <is>
          <t>m3</t>
        </is>
      </c>
      <c r="I872" s="8" t="inlineStr">
        <is>
          <t>cumulative</t>
        </is>
      </c>
      <c r="J872" s="8" t="inlineStr">
        <is>
          <t>GH</t>
        </is>
      </c>
      <c r="K872" s="8" t="inlineStr"/>
      <c r="L872" s="10">
        <f>IFERROR(IF(F872&lt;F871,"NEGATIVE",ROUND(F872-F871,2)),"")</f>
        <v/>
      </c>
    </row>
    <row r="873" ht="22" customHeight="1">
      <c r="B873" s="5" t="inlineStr">
        <is>
          <t>R00869</t>
        </is>
      </c>
      <c r="C873" s="5" t="inlineStr">
        <is>
          <t>MTR-DOM-006</t>
        </is>
      </c>
      <c r="D873" s="5" t="inlineStr">
        <is>
          <t>Utilities</t>
        </is>
      </c>
      <c r="E873" s="5" t="inlineStr">
        <is>
          <t>Domestic Supply</t>
        </is>
      </c>
      <c r="F873" s="5" t="inlineStr">
        <is>
          <t>2024-05-17 08:00</t>
        </is>
      </c>
      <c r="G873" s="11" t="n">
        <v>19506.85</v>
      </c>
      <c r="H873" s="5" t="inlineStr">
        <is>
          <t>m3</t>
        </is>
      </c>
      <c r="I873" s="5" t="inlineStr">
        <is>
          <t>cumulative</t>
        </is>
      </c>
      <c r="J873" s="5" t="inlineStr">
        <is>
          <t>EF</t>
        </is>
      </c>
      <c r="K873" s="5" t="inlineStr"/>
      <c r="L873" s="7">
        <f>IFERROR(IF(F873&lt;F872,"NEGATIVE",ROUND(F873-F872,2)),"")</f>
        <v/>
      </c>
    </row>
    <row r="874" ht="22" customHeight="1">
      <c r="B874" s="8" t="inlineStr">
        <is>
          <t>R00870</t>
        </is>
      </c>
      <c r="C874" s="8" t="inlineStr">
        <is>
          <t>MTR-DOM-006</t>
        </is>
      </c>
      <c r="D874" s="8" t="inlineStr">
        <is>
          <t>Utilities</t>
        </is>
      </c>
      <c r="E874" s="8" t="inlineStr">
        <is>
          <t>Domestic Supply</t>
        </is>
      </c>
      <c r="F874" s="8" t="inlineStr">
        <is>
          <t>2024-05-18 08:00</t>
        </is>
      </c>
      <c r="G874" s="12" t="n">
        <v>19515.92</v>
      </c>
      <c r="H874" s="8" t="inlineStr">
        <is>
          <t>m3</t>
        </is>
      </c>
      <c r="I874" s="8" t="inlineStr">
        <is>
          <t>cumulative</t>
        </is>
      </c>
      <c r="J874" s="8" t="inlineStr">
        <is>
          <t>CD</t>
        </is>
      </c>
      <c r="K874" s="8" t="inlineStr"/>
      <c r="L874" s="10">
        <f>IFERROR(IF(F874&lt;F873,"NEGATIVE",ROUND(F874-F873,2)),"")</f>
        <v/>
      </c>
    </row>
    <row r="875" ht="22" customHeight="1">
      <c r="B875" s="5" t="inlineStr">
        <is>
          <t>R00871</t>
        </is>
      </c>
      <c r="C875" s="5" t="inlineStr">
        <is>
          <t>MTR-DOM-006</t>
        </is>
      </c>
      <c r="D875" s="5" t="inlineStr">
        <is>
          <t>Utilities</t>
        </is>
      </c>
      <c r="E875" s="5" t="inlineStr">
        <is>
          <t>Domestic Supply</t>
        </is>
      </c>
      <c r="F875" s="5" t="inlineStr">
        <is>
          <t>2024-05-19 08:00</t>
        </is>
      </c>
      <c r="G875" s="11" t="n">
        <v>19521.65</v>
      </c>
      <c r="H875" s="5" t="inlineStr">
        <is>
          <t>m3</t>
        </is>
      </c>
      <c r="I875" s="5" t="inlineStr">
        <is>
          <t>cumulative</t>
        </is>
      </c>
      <c r="J875" s="5" t="inlineStr">
        <is>
          <t>GH</t>
        </is>
      </c>
      <c r="K875" s="5" t="inlineStr"/>
      <c r="L875" s="7">
        <f>IFERROR(IF(F875&lt;F874,"NEGATIVE",ROUND(F875-F874,2)),"")</f>
        <v/>
      </c>
    </row>
    <row r="876" ht="22" customHeight="1">
      <c r="B876" s="8" t="inlineStr">
        <is>
          <t>R00872</t>
        </is>
      </c>
      <c r="C876" s="8" t="inlineStr">
        <is>
          <t>MTR-DOM-006</t>
        </is>
      </c>
      <c r="D876" s="8" t="inlineStr">
        <is>
          <t>Utilities</t>
        </is>
      </c>
      <c r="E876" s="8" t="inlineStr">
        <is>
          <t>Domestic Supply</t>
        </is>
      </c>
      <c r="F876" s="8" t="inlineStr">
        <is>
          <t>2024-05-20 08:00</t>
        </is>
      </c>
      <c r="G876" s="12" t="n">
        <v>19533.3</v>
      </c>
      <c r="H876" s="8" t="inlineStr">
        <is>
          <t>m3</t>
        </is>
      </c>
      <c r="I876" s="8" t="inlineStr">
        <is>
          <t>cumulative</t>
        </is>
      </c>
      <c r="J876" s="8" t="inlineStr">
        <is>
          <t>GH</t>
        </is>
      </c>
      <c r="K876" s="8" t="inlineStr"/>
      <c r="L876" s="10">
        <f>IFERROR(IF(F876&lt;F875,"NEGATIVE",ROUND(F876-F875,2)),"")</f>
        <v/>
      </c>
    </row>
    <row r="877" ht="22" customHeight="1">
      <c r="B877" s="5" t="inlineStr">
        <is>
          <t>R00873</t>
        </is>
      </c>
      <c r="C877" s="5" t="inlineStr">
        <is>
          <t>MTR-DOM-006</t>
        </is>
      </c>
      <c r="D877" s="5" t="inlineStr">
        <is>
          <t>Utilities</t>
        </is>
      </c>
      <c r="E877" s="5" t="inlineStr">
        <is>
          <t>Domestic Supply</t>
        </is>
      </c>
      <c r="F877" s="5" t="inlineStr">
        <is>
          <t>2024-05-21 08:00</t>
        </is>
      </c>
      <c r="G877" s="11" t="n">
        <v>19544.11</v>
      </c>
      <c r="H877" s="5" t="inlineStr">
        <is>
          <t>m3</t>
        </is>
      </c>
      <c r="I877" s="5" t="inlineStr">
        <is>
          <t>cumulative</t>
        </is>
      </c>
      <c r="J877" s="5" t="inlineStr">
        <is>
          <t>CD</t>
        </is>
      </c>
      <c r="K877" s="5" t="inlineStr"/>
      <c r="L877" s="7">
        <f>IFERROR(IF(F877&lt;F876,"NEGATIVE",ROUND(F877-F876,2)),"")</f>
        <v/>
      </c>
    </row>
    <row r="878" ht="22" customHeight="1">
      <c r="B878" s="8" t="inlineStr">
        <is>
          <t>R00874</t>
        </is>
      </c>
      <c r="C878" s="8" t="inlineStr">
        <is>
          <t>MTR-DOM-006</t>
        </is>
      </c>
      <c r="D878" s="8" t="inlineStr">
        <is>
          <t>Utilities</t>
        </is>
      </c>
      <c r="E878" s="8" t="inlineStr">
        <is>
          <t>Domestic Supply</t>
        </is>
      </c>
      <c r="F878" s="8" t="inlineStr">
        <is>
          <t>2024-05-22 08:00</t>
        </is>
      </c>
      <c r="G878" s="12" t="n">
        <v>19555.88</v>
      </c>
      <c r="H878" s="8" t="inlineStr">
        <is>
          <t>m3</t>
        </is>
      </c>
      <c r="I878" s="8" t="inlineStr">
        <is>
          <t>cumulative</t>
        </is>
      </c>
      <c r="J878" s="8" t="inlineStr">
        <is>
          <t>AB</t>
        </is>
      </c>
      <c r="K878" s="8" t="inlineStr"/>
      <c r="L878" s="10">
        <f>IFERROR(IF(F878&lt;F877,"NEGATIVE",ROUND(F878-F877,2)),"")</f>
        <v/>
      </c>
    </row>
    <row r="879" ht="22" customHeight="1">
      <c r="B879" s="5" t="inlineStr">
        <is>
          <t>R00875</t>
        </is>
      </c>
      <c r="C879" s="5" t="inlineStr">
        <is>
          <t>MTR-DOM-006</t>
        </is>
      </c>
      <c r="D879" s="5" t="inlineStr">
        <is>
          <t>Utilities</t>
        </is>
      </c>
      <c r="E879" s="5" t="inlineStr">
        <is>
          <t>Domestic Supply</t>
        </is>
      </c>
      <c r="F879" s="5" t="inlineStr">
        <is>
          <t>2024-05-23 08:00</t>
        </is>
      </c>
      <c r="G879" s="11" t="n">
        <v>19567.33</v>
      </c>
      <c r="H879" s="5" t="inlineStr">
        <is>
          <t>m3</t>
        </is>
      </c>
      <c r="I879" s="5" t="inlineStr">
        <is>
          <t>cumulative</t>
        </is>
      </c>
      <c r="J879" s="5" t="inlineStr">
        <is>
          <t>KL</t>
        </is>
      </c>
      <c r="K879" s="5" t="inlineStr"/>
      <c r="L879" s="7">
        <f>IFERROR(IF(F879&lt;F878,"NEGATIVE",ROUND(F879-F878,2)),"")</f>
        <v/>
      </c>
    </row>
    <row r="880" ht="22" customHeight="1">
      <c r="B880" s="8" t="inlineStr">
        <is>
          <t>R00876</t>
        </is>
      </c>
      <c r="C880" s="8" t="inlineStr">
        <is>
          <t>MTR-DOM-006</t>
        </is>
      </c>
      <c r="D880" s="8" t="inlineStr">
        <is>
          <t>Utilities</t>
        </is>
      </c>
      <c r="E880" s="8" t="inlineStr">
        <is>
          <t>Domestic Supply</t>
        </is>
      </c>
      <c r="F880" s="8" t="inlineStr">
        <is>
          <t>2024-05-24 08:00</t>
        </is>
      </c>
      <c r="G880" s="12" t="n">
        <v>19577.85</v>
      </c>
      <c r="H880" s="8" t="inlineStr">
        <is>
          <t>m3</t>
        </is>
      </c>
      <c r="I880" s="8" t="inlineStr">
        <is>
          <t>cumulative</t>
        </is>
      </c>
      <c r="J880" s="8" t="inlineStr">
        <is>
          <t>CD</t>
        </is>
      </c>
      <c r="K880" s="8" t="inlineStr"/>
      <c r="L880" s="10">
        <f>IFERROR(IF(F880&lt;F879,"NEGATIVE",ROUND(F880-F879,2)),"")</f>
        <v/>
      </c>
    </row>
    <row r="881" ht="22" customHeight="1">
      <c r="B881" s="5" t="inlineStr">
        <is>
          <t>R00877</t>
        </is>
      </c>
      <c r="C881" s="5" t="inlineStr">
        <is>
          <t>MTR-DOM-006</t>
        </is>
      </c>
      <c r="D881" s="5" t="inlineStr">
        <is>
          <t>Utilities</t>
        </is>
      </c>
      <c r="E881" s="5" t="inlineStr">
        <is>
          <t>Domestic Supply</t>
        </is>
      </c>
      <c r="F881" s="5" t="inlineStr">
        <is>
          <t>2024-05-25 08:00</t>
        </is>
      </c>
      <c r="G881" s="11" t="n">
        <v>19587.53</v>
      </c>
      <c r="H881" s="5" t="inlineStr">
        <is>
          <t>m3</t>
        </is>
      </c>
      <c r="I881" s="5" t="inlineStr">
        <is>
          <t>cumulative</t>
        </is>
      </c>
      <c r="J881" s="5" t="inlineStr">
        <is>
          <t>IJ</t>
        </is>
      </c>
      <c r="K881" s="5" t="inlineStr"/>
      <c r="L881" s="7">
        <f>IFERROR(IF(F881&lt;F880,"NEGATIVE",ROUND(F881-F880,2)),"")</f>
        <v/>
      </c>
    </row>
    <row r="882" ht="22" customHeight="1">
      <c r="B882" s="8" t="inlineStr">
        <is>
          <t>R00878</t>
        </is>
      </c>
      <c r="C882" s="8" t="inlineStr">
        <is>
          <t>MTR-DOM-006</t>
        </is>
      </c>
      <c r="D882" s="8" t="inlineStr">
        <is>
          <t>Utilities</t>
        </is>
      </c>
      <c r="E882" s="8" t="inlineStr">
        <is>
          <t>Domestic Supply</t>
        </is>
      </c>
      <c r="F882" s="8" t="inlineStr">
        <is>
          <t>2024-05-26 08:00</t>
        </is>
      </c>
      <c r="G882" s="12" t="n">
        <v>19592.7</v>
      </c>
      <c r="H882" s="8" t="inlineStr">
        <is>
          <t>m3</t>
        </is>
      </c>
      <c r="I882" s="8" t="inlineStr">
        <is>
          <t>cumulative</t>
        </is>
      </c>
      <c r="J882" s="8" t="inlineStr">
        <is>
          <t>EF</t>
        </is>
      </c>
      <c r="K882" s="8" t="inlineStr"/>
      <c r="L882" s="10">
        <f>IFERROR(IF(F882&lt;F881,"NEGATIVE",ROUND(F882-F881,2)),"")</f>
        <v/>
      </c>
    </row>
    <row r="883" ht="22" customHeight="1">
      <c r="B883" s="5" t="inlineStr">
        <is>
          <t>R00879</t>
        </is>
      </c>
      <c r="C883" s="5" t="inlineStr">
        <is>
          <t>MTR-DOM-006</t>
        </is>
      </c>
      <c r="D883" s="5" t="inlineStr">
        <is>
          <t>Utilities</t>
        </is>
      </c>
      <c r="E883" s="5" t="inlineStr">
        <is>
          <t>Domestic Supply</t>
        </is>
      </c>
      <c r="F883" s="5" t="inlineStr">
        <is>
          <t>2024-05-27 08:00</t>
        </is>
      </c>
      <c r="G883" s="11" t="n">
        <v>19602.54</v>
      </c>
      <c r="H883" s="5" t="inlineStr">
        <is>
          <t>m3</t>
        </is>
      </c>
      <c r="I883" s="5" t="inlineStr">
        <is>
          <t>cumulative</t>
        </is>
      </c>
      <c r="J883" s="5" t="inlineStr">
        <is>
          <t>AB</t>
        </is>
      </c>
      <c r="K883" s="5" t="inlineStr"/>
      <c r="L883" s="7">
        <f>IFERROR(IF(F883&lt;F882,"NEGATIVE",ROUND(F883-F882,2)),"")</f>
        <v/>
      </c>
    </row>
    <row r="884" ht="22" customHeight="1">
      <c r="B884" s="8" t="inlineStr">
        <is>
          <t>R00880</t>
        </is>
      </c>
      <c r="C884" s="8" t="inlineStr">
        <is>
          <t>MTR-DOM-006</t>
        </is>
      </c>
      <c r="D884" s="8" t="inlineStr">
        <is>
          <t>Utilities</t>
        </is>
      </c>
      <c r="E884" s="8" t="inlineStr">
        <is>
          <t>Domestic Supply</t>
        </is>
      </c>
      <c r="F884" s="8" t="inlineStr">
        <is>
          <t>2024-05-28 08:00</t>
        </is>
      </c>
      <c r="G884" s="12" t="n">
        <v>19612.95</v>
      </c>
      <c r="H884" s="8" t="inlineStr">
        <is>
          <t>m3</t>
        </is>
      </c>
      <c r="I884" s="8" t="inlineStr">
        <is>
          <t>cumulative</t>
        </is>
      </c>
      <c r="J884" s="8" t="inlineStr">
        <is>
          <t>KL</t>
        </is>
      </c>
      <c r="K884" s="8" t="inlineStr"/>
      <c r="L884" s="10">
        <f>IFERROR(IF(F884&lt;F883,"NEGATIVE",ROUND(F884-F883,2)),"")</f>
        <v/>
      </c>
    </row>
    <row r="885" ht="22" customHeight="1">
      <c r="B885" s="5" t="inlineStr">
        <is>
          <t>R00881</t>
        </is>
      </c>
      <c r="C885" s="5" t="inlineStr">
        <is>
          <t>MTR-DOM-006</t>
        </is>
      </c>
      <c r="D885" s="5" t="inlineStr">
        <is>
          <t>Utilities</t>
        </is>
      </c>
      <c r="E885" s="5" t="inlineStr">
        <is>
          <t>Domestic Supply</t>
        </is>
      </c>
      <c r="F885" s="5" t="inlineStr">
        <is>
          <t>2024-05-29 08:00</t>
        </is>
      </c>
      <c r="G885" s="11" t="n">
        <v>19622.18</v>
      </c>
      <c r="H885" s="5" t="inlineStr">
        <is>
          <t>m3</t>
        </is>
      </c>
      <c r="I885" s="5" t="inlineStr">
        <is>
          <t>cumulative</t>
        </is>
      </c>
      <c r="J885" s="5" t="inlineStr">
        <is>
          <t>KL</t>
        </is>
      </c>
      <c r="K885" s="5" t="inlineStr"/>
      <c r="L885" s="7">
        <f>IFERROR(IF(F885&lt;F884,"NEGATIVE",ROUND(F885-F884,2)),"")</f>
        <v/>
      </c>
    </row>
    <row r="886" ht="22" customHeight="1">
      <c r="B886" s="8" t="inlineStr">
        <is>
          <t>R00882</t>
        </is>
      </c>
      <c r="C886" s="8" t="inlineStr">
        <is>
          <t>MTR-DOM-006</t>
        </is>
      </c>
      <c r="D886" s="8" t="inlineStr">
        <is>
          <t>Utilities</t>
        </is>
      </c>
      <c r="E886" s="8" t="inlineStr">
        <is>
          <t>Domestic Supply</t>
        </is>
      </c>
      <c r="F886" s="8" t="inlineStr">
        <is>
          <t>2024-05-30 08:00</t>
        </is>
      </c>
      <c r="G886" s="12" t="n">
        <v>19631.29</v>
      </c>
      <c r="H886" s="8" t="inlineStr">
        <is>
          <t>m3</t>
        </is>
      </c>
      <c r="I886" s="8" t="inlineStr">
        <is>
          <t>cumulative</t>
        </is>
      </c>
      <c r="J886" s="8" t="inlineStr">
        <is>
          <t>AB</t>
        </is>
      </c>
      <c r="K886" s="8" t="inlineStr"/>
      <c r="L886" s="10">
        <f>IFERROR(IF(F886&lt;F885,"NEGATIVE",ROUND(F886-F885,2)),"")</f>
        <v/>
      </c>
    </row>
    <row r="887" ht="22" customHeight="1">
      <c r="B887" s="5" t="inlineStr">
        <is>
          <t>R00883</t>
        </is>
      </c>
      <c r="C887" s="5" t="inlineStr">
        <is>
          <t>MTR-DOM-006</t>
        </is>
      </c>
      <c r="D887" s="5" t="inlineStr">
        <is>
          <t>Utilities</t>
        </is>
      </c>
      <c r="E887" s="5" t="inlineStr">
        <is>
          <t>Domestic Supply</t>
        </is>
      </c>
      <c r="F887" s="5" t="inlineStr">
        <is>
          <t>2024-05-31 08:00</t>
        </is>
      </c>
      <c r="G887" s="11" t="n">
        <v>19641.47</v>
      </c>
      <c r="H887" s="5" t="inlineStr">
        <is>
          <t>m3</t>
        </is>
      </c>
      <c r="I887" s="5" t="inlineStr">
        <is>
          <t>cumulative</t>
        </is>
      </c>
      <c r="J887" s="5" t="inlineStr">
        <is>
          <t>AB</t>
        </is>
      </c>
      <c r="K887" s="5" t="inlineStr"/>
      <c r="L887" s="7">
        <f>IFERROR(IF(F887&lt;F886,"NEGATIVE",ROUND(F887-F886,2)),"")</f>
        <v/>
      </c>
    </row>
    <row r="888" ht="22" customHeight="1">
      <c r="B888" s="8" t="inlineStr">
        <is>
          <t>R00884</t>
        </is>
      </c>
      <c r="C888" s="8" t="inlineStr">
        <is>
          <t>MTR-DOM-006</t>
        </is>
      </c>
      <c r="D888" s="8" t="inlineStr">
        <is>
          <t>Utilities</t>
        </is>
      </c>
      <c r="E888" s="8" t="inlineStr">
        <is>
          <t>Domestic Supply</t>
        </is>
      </c>
      <c r="F888" s="8" t="inlineStr">
        <is>
          <t>2024-06-01 08:00</t>
        </is>
      </c>
      <c r="G888" s="12" t="n">
        <v>19650.31</v>
      </c>
      <c r="H888" s="8" t="inlineStr">
        <is>
          <t>m3</t>
        </is>
      </c>
      <c r="I888" s="8" t="inlineStr">
        <is>
          <t>cumulative</t>
        </is>
      </c>
      <c r="J888" s="8" t="inlineStr">
        <is>
          <t>IJ</t>
        </is>
      </c>
      <c r="K888" s="8" t="inlineStr"/>
      <c r="L888" s="10">
        <f>IFERROR(IF(F888&lt;F887,"NEGATIVE",ROUND(F888-F887,2)),"")</f>
        <v/>
      </c>
    </row>
    <row r="889" ht="22" customHeight="1">
      <c r="B889" s="5" t="inlineStr">
        <is>
          <t>R00885</t>
        </is>
      </c>
      <c r="C889" s="5" t="inlineStr">
        <is>
          <t>MTR-DOM-006</t>
        </is>
      </c>
      <c r="D889" s="5" t="inlineStr">
        <is>
          <t>Utilities</t>
        </is>
      </c>
      <c r="E889" s="5" t="inlineStr">
        <is>
          <t>Domestic Supply</t>
        </is>
      </c>
      <c r="F889" s="5" t="inlineStr">
        <is>
          <t>2024-06-02 08:00</t>
        </is>
      </c>
      <c r="G889" s="11" t="n">
        <v>19656.61</v>
      </c>
      <c r="H889" s="5" t="inlineStr">
        <is>
          <t>m3</t>
        </is>
      </c>
      <c r="I889" s="5" t="inlineStr">
        <is>
          <t>cumulative</t>
        </is>
      </c>
      <c r="J889" s="5" t="inlineStr">
        <is>
          <t>GH</t>
        </is>
      </c>
      <c r="K889" s="5" t="inlineStr"/>
      <c r="L889" s="7">
        <f>IFERROR(IF(F889&lt;F888,"NEGATIVE",ROUND(F889-F888,2)),"")</f>
        <v/>
      </c>
    </row>
    <row r="890" ht="22" customHeight="1">
      <c r="B890" s="8" t="inlineStr">
        <is>
          <t>R00886</t>
        </is>
      </c>
      <c r="C890" s="8" t="inlineStr">
        <is>
          <t>MTR-DOM-006</t>
        </is>
      </c>
      <c r="D890" s="8" t="inlineStr">
        <is>
          <t>Utilities</t>
        </is>
      </c>
      <c r="E890" s="8" t="inlineStr">
        <is>
          <t>Domestic Supply</t>
        </is>
      </c>
      <c r="F890" s="8" t="inlineStr">
        <is>
          <t>2024-06-03 08:00</t>
        </is>
      </c>
      <c r="G890" s="12" t="n">
        <v>19666.79</v>
      </c>
      <c r="H890" s="8" t="inlineStr">
        <is>
          <t>m3</t>
        </is>
      </c>
      <c r="I890" s="8" t="inlineStr">
        <is>
          <t>cumulative</t>
        </is>
      </c>
      <c r="J890" s="8" t="inlineStr">
        <is>
          <t>EF</t>
        </is>
      </c>
      <c r="K890" s="8" t="inlineStr"/>
      <c r="L890" s="10">
        <f>IFERROR(IF(F890&lt;F889,"NEGATIVE",ROUND(F890-F889,2)),"")</f>
        <v/>
      </c>
    </row>
    <row r="891" ht="22" customHeight="1">
      <c r="B891" s="5" t="inlineStr">
        <is>
          <t>R00887</t>
        </is>
      </c>
      <c r="C891" s="5" t="inlineStr">
        <is>
          <t>MTR-DOM-006</t>
        </is>
      </c>
      <c r="D891" s="5" t="inlineStr">
        <is>
          <t>Utilities</t>
        </is>
      </c>
      <c r="E891" s="5" t="inlineStr">
        <is>
          <t>Domestic Supply</t>
        </is>
      </c>
      <c r="F891" s="5" t="inlineStr">
        <is>
          <t>2024-06-04 08:00</t>
        </is>
      </c>
      <c r="G891" s="11" t="n">
        <v>19676.8</v>
      </c>
      <c r="H891" s="5" t="inlineStr">
        <is>
          <t>m3</t>
        </is>
      </c>
      <c r="I891" s="5" t="inlineStr">
        <is>
          <t>cumulative</t>
        </is>
      </c>
      <c r="J891" s="5" t="inlineStr">
        <is>
          <t>GH</t>
        </is>
      </c>
      <c r="K891" s="5" t="inlineStr"/>
      <c r="L891" s="7">
        <f>IFERROR(IF(F891&lt;F890,"NEGATIVE",ROUND(F891-F890,2)),"")</f>
        <v/>
      </c>
    </row>
    <row r="892" ht="22" customHeight="1">
      <c r="B892" s="8" t="inlineStr">
        <is>
          <t>R00888</t>
        </is>
      </c>
      <c r="C892" s="8" t="inlineStr">
        <is>
          <t>MTR-DOM-006</t>
        </is>
      </c>
      <c r="D892" s="8" t="inlineStr">
        <is>
          <t>Utilities</t>
        </is>
      </c>
      <c r="E892" s="8" t="inlineStr">
        <is>
          <t>Domestic Supply</t>
        </is>
      </c>
      <c r="F892" s="8" t="inlineStr">
        <is>
          <t>2024-06-05 08:00</t>
        </is>
      </c>
      <c r="G892" s="12" t="n">
        <v>19689.3</v>
      </c>
      <c r="H892" s="8" t="inlineStr">
        <is>
          <t>m3</t>
        </is>
      </c>
      <c r="I892" s="8" t="inlineStr">
        <is>
          <t>cumulative</t>
        </is>
      </c>
      <c r="J892" s="8" t="inlineStr">
        <is>
          <t>KL</t>
        </is>
      </c>
      <c r="K892" s="8" t="inlineStr"/>
      <c r="L892" s="10">
        <f>IFERROR(IF(F892&lt;F891,"NEGATIVE",ROUND(F892-F891,2)),"")</f>
        <v/>
      </c>
    </row>
    <row r="893" ht="22" customHeight="1">
      <c r="B893" s="5" t="inlineStr">
        <is>
          <t>R00889</t>
        </is>
      </c>
      <c r="C893" s="5" t="inlineStr">
        <is>
          <t>MTR-DOM-006</t>
        </is>
      </c>
      <c r="D893" s="5" t="inlineStr">
        <is>
          <t>Utilities</t>
        </is>
      </c>
      <c r="E893" s="5" t="inlineStr">
        <is>
          <t>Domestic Supply</t>
        </is>
      </c>
      <c r="F893" s="5" t="inlineStr">
        <is>
          <t>2024-06-06 08:00</t>
        </is>
      </c>
      <c r="G893" s="11" t="n">
        <v>19699.66</v>
      </c>
      <c r="H893" s="5" t="inlineStr">
        <is>
          <t>m3</t>
        </is>
      </c>
      <c r="I893" s="5" t="inlineStr">
        <is>
          <t>cumulative</t>
        </is>
      </c>
      <c r="J893" s="5" t="inlineStr">
        <is>
          <t>IJ</t>
        </is>
      </c>
      <c r="K893" s="5" t="inlineStr"/>
      <c r="L893" s="7">
        <f>IFERROR(IF(F893&lt;F892,"NEGATIVE",ROUND(F893-F892,2)),"")</f>
        <v/>
      </c>
    </row>
    <row r="894" ht="22" customHeight="1">
      <c r="B894" s="8" t="inlineStr">
        <is>
          <t>R00890</t>
        </is>
      </c>
      <c r="C894" s="8" t="inlineStr">
        <is>
          <t>MTR-DOM-006</t>
        </is>
      </c>
      <c r="D894" s="8" t="inlineStr">
        <is>
          <t>Utilities</t>
        </is>
      </c>
      <c r="E894" s="8" t="inlineStr">
        <is>
          <t>Domestic Supply</t>
        </is>
      </c>
      <c r="F894" s="8" t="inlineStr">
        <is>
          <t>2024-06-07 08:00</t>
        </is>
      </c>
      <c r="G894" s="12" t="n">
        <v>19709.43</v>
      </c>
      <c r="H894" s="8" t="inlineStr">
        <is>
          <t>m3</t>
        </is>
      </c>
      <c r="I894" s="8" t="inlineStr">
        <is>
          <t>cumulative</t>
        </is>
      </c>
      <c r="J894" s="8" t="inlineStr">
        <is>
          <t>KL</t>
        </is>
      </c>
      <c r="K894" s="8" t="inlineStr"/>
      <c r="L894" s="10">
        <f>IFERROR(IF(F894&lt;F893,"NEGATIVE",ROUND(F894-F893,2)),"")</f>
        <v/>
      </c>
    </row>
    <row r="895" ht="22" customHeight="1">
      <c r="B895" s="5" t="inlineStr">
        <is>
          <t>R00891</t>
        </is>
      </c>
      <c r="C895" s="5" t="inlineStr">
        <is>
          <t>MTR-DOM-006</t>
        </is>
      </c>
      <c r="D895" s="5" t="inlineStr">
        <is>
          <t>Utilities</t>
        </is>
      </c>
      <c r="E895" s="5" t="inlineStr">
        <is>
          <t>Domestic Supply</t>
        </is>
      </c>
      <c r="F895" s="5" t="inlineStr">
        <is>
          <t>2024-06-08 08:00</t>
        </is>
      </c>
      <c r="G895" s="11" t="n">
        <v>19718.53</v>
      </c>
      <c r="H895" s="5" t="inlineStr">
        <is>
          <t>m3</t>
        </is>
      </c>
      <c r="I895" s="5" t="inlineStr">
        <is>
          <t>cumulative</t>
        </is>
      </c>
      <c r="J895" s="5" t="inlineStr">
        <is>
          <t>AB</t>
        </is>
      </c>
      <c r="K895" s="5" t="inlineStr"/>
      <c r="L895" s="7">
        <f>IFERROR(IF(F895&lt;F894,"NEGATIVE",ROUND(F895-F894,2)),"")</f>
        <v/>
      </c>
    </row>
    <row r="896" ht="22" customHeight="1">
      <c r="B896" s="8" t="inlineStr">
        <is>
          <t>R00892</t>
        </is>
      </c>
      <c r="C896" s="8" t="inlineStr">
        <is>
          <t>MTR-DOM-006</t>
        </is>
      </c>
      <c r="D896" s="8" t="inlineStr">
        <is>
          <t>Utilities</t>
        </is>
      </c>
      <c r="E896" s="8" t="inlineStr">
        <is>
          <t>Domestic Supply</t>
        </is>
      </c>
      <c r="F896" s="8" t="inlineStr">
        <is>
          <t>2024-06-09 08:00</t>
        </is>
      </c>
      <c r="G896" s="12" t="n">
        <v>19723.44</v>
      </c>
      <c r="H896" s="8" t="inlineStr">
        <is>
          <t>m3</t>
        </is>
      </c>
      <c r="I896" s="8" t="inlineStr">
        <is>
          <t>cumulative</t>
        </is>
      </c>
      <c r="J896" s="8" t="inlineStr">
        <is>
          <t>AB</t>
        </is>
      </c>
      <c r="K896" s="8" t="inlineStr"/>
      <c r="L896" s="10">
        <f>IFERROR(IF(F896&lt;F895,"NEGATIVE",ROUND(F896-F895,2)),"")</f>
        <v/>
      </c>
    </row>
    <row r="897" ht="22" customHeight="1">
      <c r="B897" s="5" t="inlineStr">
        <is>
          <t>R00893</t>
        </is>
      </c>
      <c r="C897" s="5" t="inlineStr">
        <is>
          <t>MTR-DOM-006</t>
        </is>
      </c>
      <c r="D897" s="5" t="inlineStr">
        <is>
          <t>Utilities</t>
        </is>
      </c>
      <c r="E897" s="5" t="inlineStr">
        <is>
          <t>Domestic Supply</t>
        </is>
      </c>
      <c r="F897" s="5" t="inlineStr">
        <is>
          <t>2024-06-10 08:00</t>
        </is>
      </c>
      <c r="G897" s="11" t="n">
        <v>19734.46</v>
      </c>
      <c r="H897" s="5" t="inlineStr">
        <is>
          <t>m3</t>
        </is>
      </c>
      <c r="I897" s="5" t="inlineStr">
        <is>
          <t>cumulative</t>
        </is>
      </c>
      <c r="J897" s="5" t="inlineStr">
        <is>
          <t>KL</t>
        </is>
      </c>
      <c r="K897" s="5" t="inlineStr"/>
      <c r="L897" s="7">
        <f>IFERROR(IF(F897&lt;F896,"NEGATIVE",ROUND(F897-F896,2)),"")</f>
        <v/>
      </c>
    </row>
    <row r="898" ht="22" customHeight="1">
      <c r="B898" s="8" t="inlineStr">
        <is>
          <t>R00894</t>
        </is>
      </c>
      <c r="C898" s="8" t="inlineStr">
        <is>
          <t>MTR-DOM-006</t>
        </is>
      </c>
      <c r="D898" s="8" t="inlineStr">
        <is>
          <t>Utilities</t>
        </is>
      </c>
      <c r="E898" s="8" t="inlineStr">
        <is>
          <t>Domestic Supply</t>
        </is>
      </c>
      <c r="F898" s="8" t="inlineStr">
        <is>
          <t>2024-06-11 08:00</t>
        </is>
      </c>
      <c r="G898" s="12" t="n">
        <v>19745.28</v>
      </c>
      <c r="H898" s="8" t="inlineStr">
        <is>
          <t>m3</t>
        </is>
      </c>
      <c r="I898" s="8" t="inlineStr">
        <is>
          <t>cumulative</t>
        </is>
      </c>
      <c r="J898" s="8" t="inlineStr">
        <is>
          <t>CD</t>
        </is>
      </c>
      <c r="K898" s="8" t="inlineStr"/>
      <c r="L898" s="10">
        <f>IFERROR(IF(F898&lt;F897,"NEGATIVE",ROUND(F898-F897,2)),"")</f>
        <v/>
      </c>
    </row>
    <row r="899" ht="22" customHeight="1">
      <c r="B899" s="5" t="inlineStr">
        <is>
          <t>R00895</t>
        </is>
      </c>
      <c r="C899" s="5" t="inlineStr">
        <is>
          <t>MTR-DOM-006</t>
        </is>
      </c>
      <c r="D899" s="5" t="inlineStr">
        <is>
          <t>Utilities</t>
        </is>
      </c>
      <c r="E899" s="5" t="inlineStr">
        <is>
          <t>Domestic Supply</t>
        </is>
      </c>
      <c r="F899" s="5" t="inlineStr">
        <is>
          <t>2024-06-12 08:00</t>
        </is>
      </c>
      <c r="G899" s="11" t="n">
        <v>19756.35</v>
      </c>
      <c r="H899" s="5" t="inlineStr">
        <is>
          <t>m3</t>
        </is>
      </c>
      <c r="I899" s="5" t="inlineStr">
        <is>
          <t>cumulative</t>
        </is>
      </c>
      <c r="J899" s="5" t="inlineStr">
        <is>
          <t>EF</t>
        </is>
      </c>
      <c r="K899" s="5" t="inlineStr"/>
      <c r="L899" s="7">
        <f>IFERROR(IF(F899&lt;F898,"NEGATIVE",ROUND(F899-F898,2)),"")</f>
        <v/>
      </c>
    </row>
    <row r="900" ht="22" customHeight="1">
      <c r="B900" s="8" t="inlineStr">
        <is>
          <t>R00896</t>
        </is>
      </c>
      <c r="C900" s="8" t="inlineStr">
        <is>
          <t>MTR-DOM-006</t>
        </is>
      </c>
      <c r="D900" s="8" t="inlineStr">
        <is>
          <t>Utilities</t>
        </is>
      </c>
      <c r="E900" s="8" t="inlineStr">
        <is>
          <t>Domestic Supply</t>
        </is>
      </c>
      <c r="F900" s="8" t="inlineStr">
        <is>
          <t>2024-06-13 08:00</t>
        </is>
      </c>
      <c r="G900" s="12" t="n">
        <v>19766.4</v>
      </c>
      <c r="H900" s="8" t="inlineStr">
        <is>
          <t>m3</t>
        </is>
      </c>
      <c r="I900" s="8" t="inlineStr">
        <is>
          <t>cumulative</t>
        </is>
      </c>
      <c r="J900" s="8" t="inlineStr">
        <is>
          <t>CD</t>
        </is>
      </c>
      <c r="K900" s="8" t="inlineStr"/>
      <c r="L900" s="10">
        <f>IFERROR(IF(F900&lt;F899,"NEGATIVE",ROUND(F900-F899,2)),"")</f>
        <v/>
      </c>
    </row>
    <row r="901" ht="22" customHeight="1">
      <c r="B901" s="5" t="inlineStr">
        <is>
          <t>R00897</t>
        </is>
      </c>
      <c r="C901" s="5" t="inlineStr">
        <is>
          <t>MTR-DOM-006</t>
        </is>
      </c>
      <c r="D901" s="5" t="inlineStr">
        <is>
          <t>Utilities</t>
        </is>
      </c>
      <c r="E901" s="5" t="inlineStr">
        <is>
          <t>Domestic Supply</t>
        </is>
      </c>
      <c r="F901" s="5" t="inlineStr">
        <is>
          <t>2024-06-14 08:00</t>
        </is>
      </c>
      <c r="G901" s="11" t="n">
        <v>19777.26</v>
      </c>
      <c r="H901" s="5" t="inlineStr">
        <is>
          <t>m3</t>
        </is>
      </c>
      <c r="I901" s="5" t="inlineStr">
        <is>
          <t>cumulative</t>
        </is>
      </c>
      <c r="J901" s="5" t="inlineStr">
        <is>
          <t>AB</t>
        </is>
      </c>
      <c r="K901" s="5" t="inlineStr"/>
      <c r="L901" s="7">
        <f>IFERROR(IF(F901&lt;F900,"NEGATIVE",ROUND(F901-F900,2)),"")</f>
        <v/>
      </c>
    </row>
    <row r="902" ht="22" customHeight="1">
      <c r="B902" s="8" t="inlineStr">
        <is>
          <t>R00898</t>
        </is>
      </c>
      <c r="C902" s="8" t="inlineStr">
        <is>
          <t>MTR-DOM-006</t>
        </is>
      </c>
      <c r="D902" s="8" t="inlineStr">
        <is>
          <t>Utilities</t>
        </is>
      </c>
      <c r="E902" s="8" t="inlineStr">
        <is>
          <t>Domestic Supply</t>
        </is>
      </c>
      <c r="F902" s="8" t="inlineStr">
        <is>
          <t>2024-06-15 08:00</t>
        </is>
      </c>
      <c r="G902" s="12" t="n">
        <v>19786.51</v>
      </c>
      <c r="H902" s="8" t="inlineStr">
        <is>
          <t>m3</t>
        </is>
      </c>
      <c r="I902" s="8" t="inlineStr">
        <is>
          <t>cumulative</t>
        </is>
      </c>
      <c r="J902" s="8" t="inlineStr">
        <is>
          <t>EF</t>
        </is>
      </c>
      <c r="K902" s="8" t="inlineStr"/>
      <c r="L902" s="10">
        <f>IFERROR(IF(F902&lt;F901,"NEGATIVE",ROUND(F902-F901,2)),"")</f>
        <v/>
      </c>
    </row>
    <row r="903" ht="22" customHeight="1">
      <c r="B903" s="5" t="inlineStr">
        <is>
          <t>R00899</t>
        </is>
      </c>
      <c r="C903" s="5" t="inlineStr">
        <is>
          <t>MTR-DOM-006</t>
        </is>
      </c>
      <c r="D903" s="5" t="inlineStr">
        <is>
          <t>Utilities</t>
        </is>
      </c>
      <c r="E903" s="5" t="inlineStr">
        <is>
          <t>Domestic Supply</t>
        </is>
      </c>
      <c r="F903" s="5" t="inlineStr">
        <is>
          <t>2024-06-16 08:00</t>
        </is>
      </c>
      <c r="G903" s="11" t="n">
        <v>19791.68</v>
      </c>
      <c r="H903" s="5" t="inlineStr">
        <is>
          <t>m3</t>
        </is>
      </c>
      <c r="I903" s="5" t="inlineStr">
        <is>
          <t>cumulative</t>
        </is>
      </c>
      <c r="J903" s="5" t="inlineStr">
        <is>
          <t>IJ</t>
        </is>
      </c>
      <c r="K903" s="5" t="inlineStr"/>
      <c r="L903" s="7">
        <f>IFERROR(IF(F903&lt;F902,"NEGATIVE",ROUND(F903-F902,2)),"")</f>
        <v/>
      </c>
    </row>
    <row r="904" ht="22" customHeight="1">
      <c r="B904" s="8" t="inlineStr">
        <is>
          <t>R00900</t>
        </is>
      </c>
      <c r="C904" s="8" t="inlineStr">
        <is>
          <t>MTR-DOM-006</t>
        </is>
      </c>
      <c r="D904" s="8" t="inlineStr">
        <is>
          <t>Utilities</t>
        </is>
      </c>
      <c r="E904" s="8" t="inlineStr">
        <is>
          <t>Domestic Supply</t>
        </is>
      </c>
      <c r="F904" s="8" t="inlineStr">
        <is>
          <t>2024-06-17 08:00</t>
        </is>
      </c>
      <c r="G904" s="12" t="n">
        <v>19802.2</v>
      </c>
      <c r="H904" s="8" t="inlineStr">
        <is>
          <t>m3</t>
        </is>
      </c>
      <c r="I904" s="8" t="inlineStr">
        <is>
          <t>cumulative</t>
        </is>
      </c>
      <c r="J904" s="8" t="inlineStr">
        <is>
          <t>EF</t>
        </is>
      </c>
      <c r="K904" s="8" t="inlineStr"/>
      <c r="L904" s="10">
        <f>IFERROR(IF(F904&lt;F903,"NEGATIVE",ROUND(F904-F903,2)),"")</f>
        <v/>
      </c>
    </row>
    <row r="905" ht="22" customHeight="1">
      <c r="B905" s="5" t="inlineStr">
        <is>
          <t>R00901</t>
        </is>
      </c>
      <c r="C905" s="5" t="inlineStr">
        <is>
          <t>MTR-DOM-006</t>
        </is>
      </c>
      <c r="D905" s="5" t="inlineStr">
        <is>
          <t>Utilities</t>
        </is>
      </c>
      <c r="E905" s="5" t="inlineStr">
        <is>
          <t>Domestic Supply</t>
        </is>
      </c>
      <c r="F905" s="5" t="inlineStr">
        <is>
          <t>2024-06-18 08:00</t>
        </is>
      </c>
      <c r="G905" s="11" t="n">
        <v>19812.52</v>
      </c>
      <c r="H905" s="5" t="inlineStr">
        <is>
          <t>m3</t>
        </is>
      </c>
      <c r="I905" s="5" t="inlineStr">
        <is>
          <t>cumulative</t>
        </is>
      </c>
      <c r="J905" s="5" t="inlineStr">
        <is>
          <t>GH</t>
        </is>
      </c>
      <c r="K905" s="5" t="inlineStr"/>
      <c r="L905" s="7">
        <f>IFERROR(IF(F905&lt;F904,"NEGATIVE",ROUND(F905-F904,2)),"")</f>
        <v/>
      </c>
    </row>
    <row r="906" ht="22" customHeight="1">
      <c r="B906" s="8" t="inlineStr">
        <is>
          <t>R00902</t>
        </is>
      </c>
      <c r="C906" s="8" t="inlineStr">
        <is>
          <t>MTR-DOM-006</t>
        </is>
      </c>
      <c r="D906" s="8" t="inlineStr">
        <is>
          <t>Utilities</t>
        </is>
      </c>
      <c r="E906" s="8" t="inlineStr">
        <is>
          <t>Domestic Supply</t>
        </is>
      </c>
      <c r="F906" s="8" t="inlineStr">
        <is>
          <t>2024-06-19 08:00</t>
        </is>
      </c>
      <c r="G906" s="12" t="n">
        <v>19824.5</v>
      </c>
      <c r="H906" s="8" t="inlineStr">
        <is>
          <t>m3</t>
        </is>
      </c>
      <c r="I906" s="8" t="inlineStr">
        <is>
          <t>cumulative</t>
        </is>
      </c>
      <c r="J906" s="8" t="inlineStr">
        <is>
          <t>IJ</t>
        </is>
      </c>
      <c r="K906" s="8" t="inlineStr"/>
      <c r="L906" s="10">
        <f>IFERROR(IF(F906&lt;F905,"NEGATIVE",ROUND(F906-F905,2)),"")</f>
        <v/>
      </c>
    </row>
    <row r="907" ht="22" customHeight="1">
      <c r="B907" s="5" t="inlineStr">
        <is>
          <t>R00903</t>
        </is>
      </c>
      <c r="C907" s="5" t="inlineStr">
        <is>
          <t>MTR-DOM-006</t>
        </is>
      </c>
      <c r="D907" s="5" t="inlineStr">
        <is>
          <t>Utilities</t>
        </is>
      </c>
      <c r="E907" s="5" t="inlineStr">
        <is>
          <t>Domestic Supply</t>
        </is>
      </c>
      <c r="F907" s="5" t="inlineStr">
        <is>
          <t>2024-06-20 08:00</t>
        </is>
      </c>
      <c r="G907" s="11" t="n">
        <v>19836.93</v>
      </c>
      <c r="H907" s="5" t="inlineStr">
        <is>
          <t>m3</t>
        </is>
      </c>
      <c r="I907" s="5" t="inlineStr">
        <is>
          <t>cumulative</t>
        </is>
      </c>
      <c r="J907" s="5" t="inlineStr">
        <is>
          <t>IJ</t>
        </is>
      </c>
      <c r="K907" s="5" t="inlineStr"/>
      <c r="L907" s="7">
        <f>IFERROR(IF(F907&lt;F906,"NEGATIVE",ROUND(F907-F906,2)),"")</f>
        <v/>
      </c>
    </row>
    <row r="908" ht="22" customHeight="1">
      <c r="B908" s="8" t="inlineStr">
        <is>
          <t>R00904</t>
        </is>
      </c>
      <c r="C908" s="8" t="inlineStr">
        <is>
          <t>MTR-DOM-006</t>
        </is>
      </c>
      <c r="D908" s="8" t="inlineStr">
        <is>
          <t>Utilities</t>
        </is>
      </c>
      <c r="E908" s="8" t="inlineStr">
        <is>
          <t>Domestic Supply</t>
        </is>
      </c>
      <c r="F908" s="8" t="inlineStr">
        <is>
          <t>2024-06-21 08:00</t>
        </is>
      </c>
      <c r="G908" s="12" t="n">
        <v>19848.05</v>
      </c>
      <c r="H908" s="8" t="inlineStr">
        <is>
          <t>m3</t>
        </is>
      </c>
      <c r="I908" s="8" t="inlineStr">
        <is>
          <t>cumulative</t>
        </is>
      </c>
      <c r="J908" s="8" t="inlineStr">
        <is>
          <t>KL</t>
        </is>
      </c>
      <c r="K908" s="8" t="inlineStr"/>
      <c r="L908" s="10">
        <f>IFERROR(IF(F908&lt;F907,"NEGATIVE",ROUND(F908-F907,2)),"")</f>
        <v/>
      </c>
    </row>
    <row r="909" ht="22" customHeight="1">
      <c r="B909" s="5" t="inlineStr">
        <is>
          <t>R00905</t>
        </is>
      </c>
      <c r="C909" s="5" t="inlineStr">
        <is>
          <t>MTR-DOM-006</t>
        </is>
      </c>
      <c r="D909" s="5" t="inlineStr">
        <is>
          <t>Utilities</t>
        </is>
      </c>
      <c r="E909" s="5" t="inlineStr">
        <is>
          <t>Domestic Supply</t>
        </is>
      </c>
      <c r="F909" s="5" t="inlineStr">
        <is>
          <t>2024-06-22 08:00</t>
        </is>
      </c>
      <c r="G909" s="11" t="n">
        <v>19858.03</v>
      </c>
      <c r="H909" s="5" t="inlineStr">
        <is>
          <t>m3</t>
        </is>
      </c>
      <c r="I909" s="5" t="inlineStr">
        <is>
          <t>cumulative</t>
        </is>
      </c>
      <c r="J909" s="5" t="inlineStr">
        <is>
          <t>AB</t>
        </is>
      </c>
      <c r="K909" s="5" t="inlineStr"/>
      <c r="L909" s="7">
        <f>IFERROR(IF(F909&lt;F908,"NEGATIVE",ROUND(F909-F908,2)),"")</f>
        <v/>
      </c>
    </row>
    <row r="910" ht="22" customHeight="1">
      <c r="B910" s="8" t="inlineStr">
        <is>
          <t>R00906</t>
        </is>
      </c>
      <c r="C910" s="8" t="inlineStr">
        <is>
          <t>MTR-DOM-006</t>
        </is>
      </c>
      <c r="D910" s="8" t="inlineStr">
        <is>
          <t>Utilities</t>
        </is>
      </c>
      <c r="E910" s="8" t="inlineStr">
        <is>
          <t>Domestic Supply</t>
        </is>
      </c>
      <c r="F910" s="8" t="inlineStr">
        <is>
          <t>2024-06-23 08:00</t>
        </is>
      </c>
      <c r="G910" s="12" t="n">
        <v>19864.11</v>
      </c>
      <c r="H910" s="8" t="inlineStr">
        <is>
          <t>m3</t>
        </is>
      </c>
      <c r="I910" s="8" t="inlineStr">
        <is>
          <t>cumulative</t>
        </is>
      </c>
      <c r="J910" s="8" t="inlineStr">
        <is>
          <t>KL</t>
        </is>
      </c>
      <c r="K910" s="8" t="inlineStr"/>
      <c r="L910" s="10">
        <f>IFERROR(IF(F910&lt;F909,"NEGATIVE",ROUND(F910-F909,2)),"")</f>
        <v/>
      </c>
    </row>
    <row r="911" ht="22" customHeight="1">
      <c r="B911" s="5" t="inlineStr">
        <is>
          <t>R00907</t>
        </is>
      </c>
      <c r="C911" s="5" t="inlineStr">
        <is>
          <t>MTR-DOM-006</t>
        </is>
      </c>
      <c r="D911" s="5" t="inlineStr">
        <is>
          <t>Utilities</t>
        </is>
      </c>
      <c r="E911" s="5" t="inlineStr">
        <is>
          <t>Domestic Supply</t>
        </is>
      </c>
      <c r="F911" s="5" t="inlineStr">
        <is>
          <t>2024-06-24 08:00</t>
        </is>
      </c>
      <c r="G911" s="11" t="n">
        <v>19874.46</v>
      </c>
      <c r="H911" s="5" t="inlineStr">
        <is>
          <t>m3</t>
        </is>
      </c>
      <c r="I911" s="5" t="inlineStr">
        <is>
          <t>cumulative</t>
        </is>
      </c>
      <c r="J911" s="5" t="inlineStr">
        <is>
          <t>EF</t>
        </is>
      </c>
      <c r="K911" s="5" t="inlineStr"/>
      <c r="L911" s="7">
        <f>IFERROR(IF(F911&lt;F910,"NEGATIVE",ROUND(F911-F910,2)),"")</f>
        <v/>
      </c>
    </row>
    <row r="912" ht="22" customHeight="1">
      <c r="B912" s="8" t="inlineStr">
        <is>
          <t>R00908</t>
        </is>
      </c>
      <c r="C912" s="8" t="inlineStr">
        <is>
          <t>MTR-DOM-006</t>
        </is>
      </c>
      <c r="D912" s="8" t="inlineStr">
        <is>
          <t>Utilities</t>
        </is>
      </c>
      <c r="E912" s="8" t="inlineStr">
        <is>
          <t>Domestic Supply</t>
        </is>
      </c>
      <c r="F912" s="8" t="inlineStr">
        <is>
          <t>2024-06-25 08:00</t>
        </is>
      </c>
      <c r="G912" s="12" t="n">
        <v>19884.43</v>
      </c>
      <c r="H912" s="8" t="inlineStr">
        <is>
          <t>m3</t>
        </is>
      </c>
      <c r="I912" s="8" t="inlineStr">
        <is>
          <t>cumulative</t>
        </is>
      </c>
      <c r="J912" s="8" t="inlineStr">
        <is>
          <t>EF</t>
        </is>
      </c>
      <c r="K912" s="8" t="inlineStr"/>
      <c r="L912" s="10">
        <f>IFERROR(IF(F912&lt;F911,"NEGATIVE",ROUND(F912-F911,2)),"")</f>
        <v/>
      </c>
    </row>
    <row r="913" ht="22" customHeight="1">
      <c r="B913" s="5" t="inlineStr">
        <is>
          <t>R00909</t>
        </is>
      </c>
      <c r="C913" s="5" t="inlineStr">
        <is>
          <t>MTR-DOM-006</t>
        </is>
      </c>
      <c r="D913" s="5" t="inlineStr">
        <is>
          <t>Utilities</t>
        </is>
      </c>
      <c r="E913" s="5" t="inlineStr">
        <is>
          <t>Domestic Supply</t>
        </is>
      </c>
      <c r="F913" s="5" t="inlineStr">
        <is>
          <t>2024-06-26 08:00</t>
        </is>
      </c>
      <c r="G913" s="11" t="n">
        <v>19895.54</v>
      </c>
      <c r="H913" s="5" t="inlineStr">
        <is>
          <t>m3</t>
        </is>
      </c>
      <c r="I913" s="5" t="inlineStr">
        <is>
          <t>cumulative</t>
        </is>
      </c>
      <c r="J913" s="5" t="inlineStr">
        <is>
          <t>IJ</t>
        </is>
      </c>
      <c r="K913" s="5" t="inlineStr"/>
      <c r="L913" s="7">
        <f>IFERROR(IF(F913&lt;F912,"NEGATIVE",ROUND(F913-F912,2)),"")</f>
        <v/>
      </c>
    </row>
    <row r="914" ht="22" customHeight="1">
      <c r="B914" s="8" t="inlineStr">
        <is>
          <t>R00910</t>
        </is>
      </c>
      <c r="C914" s="8" t="inlineStr">
        <is>
          <t>MTR-DOM-006</t>
        </is>
      </c>
      <c r="D914" s="8" t="inlineStr">
        <is>
          <t>Utilities</t>
        </is>
      </c>
      <c r="E914" s="8" t="inlineStr">
        <is>
          <t>Domestic Supply</t>
        </is>
      </c>
      <c r="F914" s="8" t="inlineStr">
        <is>
          <t>2024-06-27 08:00</t>
        </is>
      </c>
      <c r="G914" s="12" t="n">
        <v>19906.92</v>
      </c>
      <c r="H914" s="8" t="inlineStr">
        <is>
          <t>m3</t>
        </is>
      </c>
      <c r="I914" s="8" t="inlineStr">
        <is>
          <t>cumulative</t>
        </is>
      </c>
      <c r="J914" s="8" t="inlineStr">
        <is>
          <t>KL</t>
        </is>
      </c>
      <c r="K914" s="8" t="inlineStr"/>
      <c r="L914" s="10">
        <f>IFERROR(IF(F914&lt;F913,"NEGATIVE",ROUND(F914-F913,2)),"")</f>
        <v/>
      </c>
    </row>
    <row r="915" ht="22" customHeight="1">
      <c r="B915" s="5" t="inlineStr">
        <is>
          <t>R00911</t>
        </is>
      </c>
      <c r="C915" s="5" t="inlineStr">
        <is>
          <t>MTR-DOM-006</t>
        </is>
      </c>
      <c r="D915" s="5" t="inlineStr">
        <is>
          <t>Utilities</t>
        </is>
      </c>
      <c r="E915" s="5" t="inlineStr">
        <is>
          <t>Domestic Supply</t>
        </is>
      </c>
      <c r="F915" s="5" t="inlineStr">
        <is>
          <t>2024-06-28 08:00</t>
        </is>
      </c>
      <c r="G915" s="11" t="n">
        <v>19916.94</v>
      </c>
      <c r="H915" s="5" t="inlineStr">
        <is>
          <t>m3</t>
        </is>
      </c>
      <c r="I915" s="5" t="inlineStr">
        <is>
          <t>cumulative</t>
        </is>
      </c>
      <c r="J915" s="5" t="inlineStr">
        <is>
          <t>AB</t>
        </is>
      </c>
      <c r="K915" s="5" t="inlineStr"/>
      <c r="L915" s="7">
        <f>IFERROR(IF(F915&lt;F914,"NEGATIVE",ROUND(F915-F914,2)),"")</f>
        <v/>
      </c>
    </row>
    <row r="916" ht="22" customHeight="1">
      <c r="B916" s="8" t="inlineStr">
        <is>
          <t>R00912</t>
        </is>
      </c>
      <c r="C916" s="8" t="inlineStr">
        <is>
          <t>MTR-DOM-006</t>
        </is>
      </c>
      <c r="D916" s="8" t="inlineStr">
        <is>
          <t>Utilities</t>
        </is>
      </c>
      <c r="E916" s="8" t="inlineStr">
        <is>
          <t>Domestic Supply</t>
        </is>
      </c>
      <c r="F916" s="8" t="inlineStr">
        <is>
          <t>2024-06-29 08:00</t>
        </is>
      </c>
      <c r="G916" s="12" t="n">
        <v>19924.43</v>
      </c>
      <c r="H916" s="8" t="inlineStr">
        <is>
          <t>m3</t>
        </is>
      </c>
      <c r="I916" s="8" t="inlineStr">
        <is>
          <t>cumulative</t>
        </is>
      </c>
      <c r="J916" s="8" t="inlineStr">
        <is>
          <t>IJ</t>
        </is>
      </c>
      <c r="K916" s="8" t="inlineStr"/>
      <c r="L916" s="10">
        <f>IFERROR(IF(F916&lt;F915,"NEGATIVE",ROUND(F916-F915,2)),"")</f>
        <v/>
      </c>
    </row>
    <row r="917" ht="22" customHeight="1">
      <c r="B917" s="5" t="inlineStr">
        <is>
          <t>R00913</t>
        </is>
      </c>
      <c r="C917" s="5" t="inlineStr">
        <is>
          <t>MTR-DOM-006</t>
        </is>
      </c>
      <c r="D917" s="5" t="inlineStr">
        <is>
          <t>Utilities</t>
        </is>
      </c>
      <c r="E917" s="5" t="inlineStr">
        <is>
          <t>Domestic Supply</t>
        </is>
      </c>
      <c r="F917" s="5" t="inlineStr">
        <is>
          <t>2024-06-30 08:00</t>
        </is>
      </c>
      <c r="G917" s="11" t="n">
        <v>19929.37</v>
      </c>
      <c r="H917" s="5" t="inlineStr">
        <is>
          <t>m3</t>
        </is>
      </c>
      <c r="I917" s="5" t="inlineStr">
        <is>
          <t>cumulative</t>
        </is>
      </c>
      <c r="J917" s="5" t="inlineStr">
        <is>
          <t>AB</t>
        </is>
      </c>
      <c r="K917" s="5" t="inlineStr"/>
      <c r="L917" s="7">
        <f>IFERROR(IF(F917&lt;F916,"NEGATIVE",ROUND(F917-F916,2)),"")</f>
        <v/>
      </c>
    </row>
    <row r="918" ht="22" customHeight="1">
      <c r="B918" s="8" t="inlineStr">
        <is>
          <t>R00914</t>
        </is>
      </c>
      <c r="C918" s="8" t="inlineStr">
        <is>
          <t>MTR-DOM-006</t>
        </is>
      </c>
      <c r="D918" s="8" t="inlineStr">
        <is>
          <t>Utilities</t>
        </is>
      </c>
      <c r="E918" s="8" t="inlineStr">
        <is>
          <t>Domestic Supply</t>
        </is>
      </c>
      <c r="F918" s="8" t="inlineStr">
        <is>
          <t>2024-07-01 08:00</t>
        </is>
      </c>
      <c r="G918" s="12" t="n">
        <v>19941.97</v>
      </c>
      <c r="H918" s="8" t="inlineStr">
        <is>
          <t>m3</t>
        </is>
      </c>
      <c r="I918" s="8" t="inlineStr">
        <is>
          <t>cumulative</t>
        </is>
      </c>
      <c r="J918" s="8" t="inlineStr">
        <is>
          <t>AB</t>
        </is>
      </c>
      <c r="K918" s="8" t="inlineStr"/>
      <c r="L918" s="10">
        <f>IFERROR(IF(F918&lt;F917,"NEGATIVE",ROUND(F918-F917,2)),"")</f>
        <v/>
      </c>
    </row>
    <row r="919" ht="22" customHeight="1">
      <c r="B919" s="5" t="inlineStr">
        <is>
          <t>R00915</t>
        </is>
      </c>
      <c r="C919" s="5" t="inlineStr">
        <is>
          <t>MTR-DOM-006</t>
        </is>
      </c>
      <c r="D919" s="5" t="inlineStr">
        <is>
          <t>Utilities</t>
        </is>
      </c>
      <c r="E919" s="5" t="inlineStr">
        <is>
          <t>Domestic Supply</t>
        </is>
      </c>
      <c r="F919" s="5" t="inlineStr">
        <is>
          <t>2024-07-02 08:00</t>
        </is>
      </c>
      <c r="G919" s="11" t="n">
        <v>19951.81</v>
      </c>
      <c r="H919" s="5" t="inlineStr">
        <is>
          <t>m3</t>
        </is>
      </c>
      <c r="I919" s="5" t="inlineStr">
        <is>
          <t>cumulative</t>
        </is>
      </c>
      <c r="J919" s="5" t="inlineStr">
        <is>
          <t>EF</t>
        </is>
      </c>
      <c r="K919" s="5" t="inlineStr"/>
      <c r="L919" s="7">
        <f>IFERROR(IF(F919&lt;F918,"NEGATIVE",ROUND(F919-F918,2)),"")</f>
        <v/>
      </c>
    </row>
    <row r="920" ht="22" customHeight="1">
      <c r="B920" s="8" t="inlineStr">
        <is>
          <t>R00916</t>
        </is>
      </c>
      <c r="C920" s="8" t="inlineStr">
        <is>
          <t>MTR-DOM-006</t>
        </is>
      </c>
      <c r="D920" s="8" t="inlineStr">
        <is>
          <t>Utilities</t>
        </is>
      </c>
      <c r="E920" s="8" t="inlineStr">
        <is>
          <t>Domestic Supply</t>
        </is>
      </c>
      <c r="F920" s="8" t="inlineStr">
        <is>
          <t>2024-07-03 08:00</t>
        </is>
      </c>
      <c r="G920" s="12" t="n">
        <v>19962.39</v>
      </c>
      <c r="H920" s="8" t="inlineStr">
        <is>
          <t>m3</t>
        </is>
      </c>
      <c r="I920" s="8" t="inlineStr">
        <is>
          <t>cumulative</t>
        </is>
      </c>
      <c r="J920" s="8" t="inlineStr">
        <is>
          <t>KL</t>
        </is>
      </c>
      <c r="K920" s="8" t="inlineStr"/>
      <c r="L920" s="10">
        <f>IFERROR(IF(F920&lt;F919,"NEGATIVE",ROUND(F920-F919,2)),"")</f>
        <v/>
      </c>
    </row>
    <row r="921" ht="22" customHeight="1">
      <c r="B921" s="5" t="inlineStr">
        <is>
          <t>R00917</t>
        </is>
      </c>
      <c r="C921" s="5" t="inlineStr">
        <is>
          <t>MTR-DOM-006</t>
        </is>
      </c>
      <c r="D921" s="5" t="inlineStr">
        <is>
          <t>Utilities</t>
        </is>
      </c>
      <c r="E921" s="5" t="inlineStr">
        <is>
          <t>Domestic Supply</t>
        </is>
      </c>
      <c r="F921" s="5" t="inlineStr">
        <is>
          <t>2024-07-04 08:00</t>
        </is>
      </c>
      <c r="G921" s="11" t="n">
        <v>19974.87</v>
      </c>
      <c r="H921" s="5" t="inlineStr">
        <is>
          <t>m3</t>
        </is>
      </c>
      <c r="I921" s="5" t="inlineStr">
        <is>
          <t>cumulative</t>
        </is>
      </c>
      <c r="J921" s="5" t="inlineStr">
        <is>
          <t>GH</t>
        </is>
      </c>
      <c r="K921" s="5" t="inlineStr"/>
      <c r="L921" s="7">
        <f>IFERROR(IF(F921&lt;F920,"NEGATIVE",ROUND(F921-F920,2)),"")</f>
        <v/>
      </c>
    </row>
    <row r="922" ht="22" customHeight="1">
      <c r="B922" s="8" t="inlineStr">
        <is>
          <t>R00918</t>
        </is>
      </c>
      <c r="C922" s="8" t="inlineStr">
        <is>
          <t>MTR-DOM-006</t>
        </is>
      </c>
      <c r="D922" s="8" t="inlineStr">
        <is>
          <t>Utilities</t>
        </is>
      </c>
      <c r="E922" s="8" t="inlineStr">
        <is>
          <t>Domestic Supply</t>
        </is>
      </c>
      <c r="F922" s="8" t="inlineStr">
        <is>
          <t>2024-07-05 08:00</t>
        </is>
      </c>
      <c r="G922" s="12" t="n">
        <v>19985.14</v>
      </c>
      <c r="H922" s="8" t="inlineStr">
        <is>
          <t>m3</t>
        </is>
      </c>
      <c r="I922" s="8" t="inlineStr">
        <is>
          <t>cumulative</t>
        </is>
      </c>
      <c r="J922" s="8" t="inlineStr">
        <is>
          <t>EF</t>
        </is>
      </c>
      <c r="K922" s="8" t="inlineStr"/>
      <c r="L922" s="10">
        <f>IFERROR(IF(F922&lt;F921,"NEGATIVE",ROUND(F922-F921,2)),"")</f>
        <v/>
      </c>
    </row>
    <row r="923" ht="22" customHeight="1">
      <c r="B923" s="5" t="inlineStr">
        <is>
          <t>R00919</t>
        </is>
      </c>
      <c r="C923" s="5" t="inlineStr">
        <is>
          <t>MTR-DOM-006</t>
        </is>
      </c>
      <c r="D923" s="5" t="inlineStr">
        <is>
          <t>Utilities</t>
        </is>
      </c>
      <c r="E923" s="5" t="inlineStr">
        <is>
          <t>Domestic Supply</t>
        </is>
      </c>
      <c r="F923" s="5" t="inlineStr">
        <is>
          <t>2024-07-06 08:00</t>
        </is>
      </c>
      <c r="G923" s="11" t="n">
        <v>19994.07</v>
      </c>
      <c r="H923" s="5" t="inlineStr">
        <is>
          <t>m3</t>
        </is>
      </c>
      <c r="I923" s="5" t="inlineStr">
        <is>
          <t>cumulative</t>
        </is>
      </c>
      <c r="J923" s="5" t="inlineStr">
        <is>
          <t>CD</t>
        </is>
      </c>
      <c r="K923" s="5" t="inlineStr"/>
      <c r="L923" s="7">
        <f>IFERROR(IF(F923&lt;F922,"NEGATIVE",ROUND(F923-F922,2)),"")</f>
        <v/>
      </c>
    </row>
    <row r="924" ht="22" customHeight="1">
      <c r="B924" s="8" t="inlineStr">
        <is>
          <t>R00920</t>
        </is>
      </c>
      <c r="C924" s="8" t="inlineStr">
        <is>
          <t>MTR-DOM-006</t>
        </is>
      </c>
      <c r="D924" s="8" t="inlineStr">
        <is>
          <t>Utilities</t>
        </is>
      </c>
      <c r="E924" s="8" t="inlineStr">
        <is>
          <t>Domestic Supply</t>
        </is>
      </c>
      <c r="F924" s="8" t="inlineStr">
        <is>
          <t>2024-07-07 08:00</t>
        </is>
      </c>
      <c r="G924" s="12" t="n">
        <v>19999.42</v>
      </c>
      <c r="H924" s="8" t="inlineStr">
        <is>
          <t>m3</t>
        </is>
      </c>
      <c r="I924" s="8" t="inlineStr">
        <is>
          <t>cumulative</t>
        </is>
      </c>
      <c r="J924" s="8" t="inlineStr">
        <is>
          <t>CD</t>
        </is>
      </c>
      <c r="K924" s="8" t="inlineStr"/>
      <c r="L924" s="10">
        <f>IFERROR(IF(F924&lt;F923,"NEGATIVE",ROUND(F924-F923,2)),"")</f>
        <v/>
      </c>
    </row>
    <row r="925" ht="22" customHeight="1">
      <c r="B925" s="5" t="inlineStr">
        <is>
          <t>R00921</t>
        </is>
      </c>
      <c r="C925" s="5" t="inlineStr">
        <is>
          <t>MTR-DOM-006</t>
        </is>
      </c>
      <c r="D925" s="5" t="inlineStr">
        <is>
          <t>Utilities</t>
        </is>
      </c>
      <c r="E925" s="5" t="inlineStr">
        <is>
          <t>Domestic Supply</t>
        </is>
      </c>
      <c r="F925" s="5" t="inlineStr">
        <is>
          <t>2024-07-08 08:00</t>
        </is>
      </c>
      <c r="G925" s="11" t="n">
        <v>20011.66</v>
      </c>
      <c r="H925" s="5" t="inlineStr">
        <is>
          <t>m3</t>
        </is>
      </c>
      <c r="I925" s="5" t="inlineStr">
        <is>
          <t>cumulative</t>
        </is>
      </c>
      <c r="J925" s="5" t="inlineStr">
        <is>
          <t>CD</t>
        </is>
      </c>
      <c r="K925" s="5" t="inlineStr"/>
      <c r="L925" s="7">
        <f>IFERROR(IF(F925&lt;F924,"NEGATIVE",ROUND(F925-F924,2)),"")</f>
        <v/>
      </c>
    </row>
    <row r="926" ht="22" customHeight="1">
      <c r="B926" s="8" t="inlineStr">
        <is>
          <t>R00922</t>
        </is>
      </c>
      <c r="C926" s="8" t="inlineStr">
        <is>
          <t>MTR-DOM-006</t>
        </is>
      </c>
      <c r="D926" s="8" t="inlineStr">
        <is>
          <t>Utilities</t>
        </is>
      </c>
      <c r="E926" s="8" t="inlineStr">
        <is>
          <t>Domestic Supply</t>
        </is>
      </c>
      <c r="F926" s="8" t="inlineStr">
        <is>
          <t>2024-07-09 08:00</t>
        </is>
      </c>
      <c r="G926" s="12" t="n">
        <v>20021.34</v>
      </c>
      <c r="H926" s="8" t="inlineStr">
        <is>
          <t>m3</t>
        </is>
      </c>
      <c r="I926" s="8" t="inlineStr">
        <is>
          <t>cumulative</t>
        </is>
      </c>
      <c r="J926" s="8" t="inlineStr">
        <is>
          <t>IJ</t>
        </is>
      </c>
      <c r="K926" s="8" t="inlineStr"/>
      <c r="L926" s="10">
        <f>IFERROR(IF(F926&lt;F925,"NEGATIVE",ROUND(F926-F925,2)),"")</f>
        <v/>
      </c>
    </row>
    <row r="927" ht="22" customHeight="1">
      <c r="B927" s="5" t="inlineStr">
        <is>
          <t>R00923</t>
        </is>
      </c>
      <c r="C927" s="5" t="inlineStr">
        <is>
          <t>MTR-DOM-006</t>
        </is>
      </c>
      <c r="D927" s="5" t="inlineStr">
        <is>
          <t>Utilities</t>
        </is>
      </c>
      <c r="E927" s="5" t="inlineStr">
        <is>
          <t>Domestic Supply</t>
        </is>
      </c>
      <c r="F927" s="5" t="inlineStr">
        <is>
          <t>2024-07-10 08:00</t>
        </is>
      </c>
      <c r="G927" s="11" t="n">
        <v>20032.45</v>
      </c>
      <c r="H927" s="5" t="inlineStr">
        <is>
          <t>m3</t>
        </is>
      </c>
      <c r="I927" s="5" t="inlineStr">
        <is>
          <t>cumulative</t>
        </is>
      </c>
      <c r="J927" s="5" t="inlineStr">
        <is>
          <t>IJ</t>
        </is>
      </c>
      <c r="K927" s="5" t="inlineStr"/>
      <c r="L927" s="7">
        <f>IFERROR(IF(F927&lt;F926,"NEGATIVE",ROUND(F927-F926,2)),"")</f>
        <v/>
      </c>
    </row>
    <row r="928" ht="22" customHeight="1">
      <c r="B928" s="8" t="inlineStr">
        <is>
          <t>R00924</t>
        </is>
      </c>
      <c r="C928" s="8" t="inlineStr">
        <is>
          <t>MTR-DOM-006</t>
        </is>
      </c>
      <c r="D928" s="8" t="inlineStr">
        <is>
          <t>Utilities</t>
        </is>
      </c>
      <c r="E928" s="8" t="inlineStr">
        <is>
          <t>Domestic Supply</t>
        </is>
      </c>
      <c r="F928" s="8" t="inlineStr">
        <is>
          <t>2024-07-11 08:00</t>
        </is>
      </c>
      <c r="G928" s="12" t="n">
        <v>20044.35</v>
      </c>
      <c r="H928" s="8" t="inlineStr">
        <is>
          <t>m3</t>
        </is>
      </c>
      <c r="I928" s="8" t="inlineStr">
        <is>
          <t>cumulative</t>
        </is>
      </c>
      <c r="J928" s="8" t="inlineStr">
        <is>
          <t>GH</t>
        </is>
      </c>
      <c r="K928" s="8" t="inlineStr"/>
      <c r="L928" s="10">
        <f>IFERROR(IF(F928&lt;F927,"NEGATIVE",ROUND(F928-F927,2)),"")</f>
        <v/>
      </c>
    </row>
    <row r="929" ht="22" customHeight="1">
      <c r="B929" s="5" t="inlineStr">
        <is>
          <t>R00925</t>
        </is>
      </c>
      <c r="C929" s="5" t="inlineStr">
        <is>
          <t>MTR-DOM-006</t>
        </is>
      </c>
      <c r="D929" s="5" t="inlineStr">
        <is>
          <t>Utilities</t>
        </is>
      </c>
      <c r="E929" s="5" t="inlineStr">
        <is>
          <t>Domestic Supply</t>
        </is>
      </c>
      <c r="F929" s="5" t="inlineStr">
        <is>
          <t>2024-07-12 08:00</t>
        </is>
      </c>
      <c r="G929" s="11" t="n">
        <v>20056.95</v>
      </c>
      <c r="H929" s="5" t="inlineStr">
        <is>
          <t>m3</t>
        </is>
      </c>
      <c r="I929" s="5" t="inlineStr">
        <is>
          <t>cumulative</t>
        </is>
      </c>
      <c r="J929" s="5" t="inlineStr">
        <is>
          <t>AB</t>
        </is>
      </c>
      <c r="K929" s="5" t="inlineStr"/>
      <c r="L929" s="7">
        <f>IFERROR(IF(F929&lt;F928,"NEGATIVE",ROUND(F929-F928,2)),"")</f>
        <v/>
      </c>
    </row>
    <row r="930" ht="22" customHeight="1">
      <c r="B930" s="8" t="inlineStr">
        <is>
          <t>R00926</t>
        </is>
      </c>
      <c r="C930" s="8" t="inlineStr">
        <is>
          <t>MTR-DOM-006</t>
        </is>
      </c>
      <c r="D930" s="8" t="inlineStr">
        <is>
          <t>Utilities</t>
        </is>
      </c>
      <c r="E930" s="8" t="inlineStr">
        <is>
          <t>Domestic Supply</t>
        </is>
      </c>
      <c r="F930" s="8" t="inlineStr">
        <is>
          <t>2024-07-13 08:00</t>
        </is>
      </c>
      <c r="G930" s="12" t="n">
        <v>20065.64</v>
      </c>
      <c r="H930" s="8" t="inlineStr">
        <is>
          <t>m3</t>
        </is>
      </c>
      <c r="I930" s="8" t="inlineStr">
        <is>
          <t>cumulative</t>
        </is>
      </c>
      <c r="J930" s="8" t="inlineStr">
        <is>
          <t>GH</t>
        </is>
      </c>
      <c r="K930" s="8" t="inlineStr"/>
      <c r="L930" s="10">
        <f>IFERROR(IF(F930&lt;F929,"NEGATIVE",ROUND(F930-F929,2)),"")</f>
        <v/>
      </c>
    </row>
    <row r="931" ht="22" customHeight="1">
      <c r="B931" s="5" t="inlineStr">
        <is>
          <t>R00927</t>
        </is>
      </c>
      <c r="C931" s="5" t="inlineStr">
        <is>
          <t>MTR-DOM-006</t>
        </is>
      </c>
      <c r="D931" s="5" t="inlineStr">
        <is>
          <t>Utilities</t>
        </is>
      </c>
      <c r="E931" s="5" t="inlineStr">
        <is>
          <t>Domestic Supply</t>
        </is>
      </c>
      <c r="F931" s="5" t="inlineStr">
        <is>
          <t>2024-07-14 08:00</t>
        </is>
      </c>
      <c r="G931" s="11" t="n">
        <v>20071.29</v>
      </c>
      <c r="H931" s="5" t="inlineStr">
        <is>
          <t>m3</t>
        </is>
      </c>
      <c r="I931" s="5" t="inlineStr">
        <is>
          <t>cumulative</t>
        </is>
      </c>
      <c r="J931" s="5" t="inlineStr">
        <is>
          <t>CD</t>
        </is>
      </c>
      <c r="K931" s="5" t="inlineStr"/>
      <c r="L931" s="7">
        <f>IFERROR(IF(F931&lt;F930,"NEGATIVE",ROUND(F931-F930,2)),"")</f>
        <v/>
      </c>
    </row>
    <row r="932" ht="22" customHeight="1">
      <c r="B932" s="8" t="inlineStr">
        <is>
          <t>R00928</t>
        </is>
      </c>
      <c r="C932" s="8" t="inlineStr">
        <is>
          <t>MTR-DOM-006</t>
        </is>
      </c>
      <c r="D932" s="8" t="inlineStr">
        <is>
          <t>Utilities</t>
        </is>
      </c>
      <c r="E932" s="8" t="inlineStr">
        <is>
          <t>Domestic Supply</t>
        </is>
      </c>
      <c r="F932" s="8" t="inlineStr">
        <is>
          <t>2024-07-15 08:00</t>
        </is>
      </c>
      <c r="G932" s="12" t="n">
        <v>20083.52</v>
      </c>
      <c r="H932" s="8" t="inlineStr">
        <is>
          <t>m3</t>
        </is>
      </c>
      <c r="I932" s="8" t="inlineStr">
        <is>
          <t>cumulative</t>
        </is>
      </c>
      <c r="J932" s="8" t="inlineStr">
        <is>
          <t>CD</t>
        </is>
      </c>
      <c r="K932" s="8" t="inlineStr"/>
      <c r="L932" s="10">
        <f>IFERROR(IF(F932&lt;F931,"NEGATIVE",ROUND(F932-F931,2)),"")</f>
        <v/>
      </c>
    </row>
    <row r="933" ht="22" customHeight="1">
      <c r="B933" s="5" t="inlineStr">
        <is>
          <t>R00929</t>
        </is>
      </c>
      <c r="C933" s="5" t="inlineStr">
        <is>
          <t>MTR-DOM-006</t>
        </is>
      </c>
      <c r="D933" s="5" t="inlineStr">
        <is>
          <t>Utilities</t>
        </is>
      </c>
      <c r="E933" s="5" t="inlineStr">
        <is>
          <t>Domestic Supply</t>
        </is>
      </c>
      <c r="F933" s="5" t="inlineStr">
        <is>
          <t>2024-07-16 08:00</t>
        </is>
      </c>
      <c r="G933" s="11" t="n">
        <v>20093.8</v>
      </c>
      <c r="H933" s="5" t="inlineStr">
        <is>
          <t>m3</t>
        </is>
      </c>
      <c r="I933" s="5" t="inlineStr">
        <is>
          <t>cumulative</t>
        </is>
      </c>
      <c r="J933" s="5" t="inlineStr">
        <is>
          <t>AB</t>
        </is>
      </c>
      <c r="K933" s="5" t="inlineStr"/>
      <c r="L933" s="7">
        <f>IFERROR(IF(F933&lt;F932,"NEGATIVE",ROUND(F933-F932,2)),"")</f>
        <v/>
      </c>
    </row>
    <row r="934" ht="22" customHeight="1">
      <c r="B934" s="8" t="inlineStr">
        <is>
          <t>R00930</t>
        </is>
      </c>
      <c r="C934" s="8" t="inlineStr">
        <is>
          <t>MTR-DOM-006</t>
        </is>
      </c>
      <c r="D934" s="8" t="inlineStr">
        <is>
          <t>Utilities</t>
        </is>
      </c>
      <c r="E934" s="8" t="inlineStr">
        <is>
          <t>Domestic Supply</t>
        </is>
      </c>
      <c r="F934" s="8" t="inlineStr">
        <is>
          <t>2024-07-17 08:00</t>
        </is>
      </c>
      <c r="G934" s="12" t="n">
        <v>20105.08</v>
      </c>
      <c r="H934" s="8" t="inlineStr">
        <is>
          <t>m3</t>
        </is>
      </c>
      <c r="I934" s="8" t="inlineStr">
        <is>
          <t>cumulative</t>
        </is>
      </c>
      <c r="J934" s="8" t="inlineStr">
        <is>
          <t>AB</t>
        </is>
      </c>
      <c r="K934" s="8" t="inlineStr"/>
      <c r="L934" s="10">
        <f>IFERROR(IF(F934&lt;F933,"NEGATIVE",ROUND(F934-F933,2)),"")</f>
        <v/>
      </c>
    </row>
    <row r="935" ht="22" customHeight="1">
      <c r="B935" s="5" t="inlineStr">
        <is>
          <t>R00931</t>
        </is>
      </c>
      <c r="C935" s="5" t="inlineStr">
        <is>
          <t>MTR-DOM-006</t>
        </is>
      </c>
      <c r="D935" s="5" t="inlineStr">
        <is>
          <t>Utilities</t>
        </is>
      </c>
      <c r="E935" s="5" t="inlineStr">
        <is>
          <t>Domestic Supply</t>
        </is>
      </c>
      <c r="F935" s="5" t="inlineStr">
        <is>
          <t>2024-07-18 08:00</t>
        </is>
      </c>
      <c r="G935" s="11" t="n">
        <v>20115.57</v>
      </c>
      <c r="H935" s="5" t="inlineStr">
        <is>
          <t>m3</t>
        </is>
      </c>
      <c r="I935" s="5" t="inlineStr">
        <is>
          <t>cumulative</t>
        </is>
      </c>
      <c r="J935" s="5" t="inlineStr">
        <is>
          <t>CD</t>
        </is>
      </c>
      <c r="K935" s="5" t="inlineStr"/>
      <c r="L935" s="7">
        <f>IFERROR(IF(F935&lt;F934,"NEGATIVE",ROUND(F935-F934,2)),"")</f>
        <v/>
      </c>
    </row>
    <row r="936" ht="22" customHeight="1">
      <c r="B936" s="8" t="inlineStr">
        <is>
          <t>R00932</t>
        </is>
      </c>
      <c r="C936" s="8" t="inlineStr">
        <is>
          <t>MTR-DOM-006</t>
        </is>
      </c>
      <c r="D936" s="8" t="inlineStr">
        <is>
          <t>Utilities</t>
        </is>
      </c>
      <c r="E936" s="8" t="inlineStr">
        <is>
          <t>Domestic Supply</t>
        </is>
      </c>
      <c r="F936" s="8" t="inlineStr">
        <is>
          <t>2024-07-19 08:00</t>
        </is>
      </c>
      <c r="G936" s="12" t="n">
        <v>20127.32</v>
      </c>
      <c r="H936" s="8" t="inlineStr">
        <is>
          <t>m3</t>
        </is>
      </c>
      <c r="I936" s="8" t="inlineStr">
        <is>
          <t>cumulative</t>
        </is>
      </c>
      <c r="J936" s="8" t="inlineStr">
        <is>
          <t>IJ</t>
        </is>
      </c>
      <c r="K936" s="8" t="inlineStr"/>
      <c r="L936" s="10">
        <f>IFERROR(IF(F936&lt;F935,"NEGATIVE",ROUND(F936-F935,2)),"")</f>
        <v/>
      </c>
    </row>
    <row r="937" ht="22" customHeight="1">
      <c r="B937" s="5" t="inlineStr">
        <is>
          <t>R00933</t>
        </is>
      </c>
      <c r="C937" s="5" t="inlineStr">
        <is>
          <t>MTR-DOM-006</t>
        </is>
      </c>
      <c r="D937" s="5" t="inlineStr">
        <is>
          <t>Utilities</t>
        </is>
      </c>
      <c r="E937" s="5" t="inlineStr">
        <is>
          <t>Domestic Supply</t>
        </is>
      </c>
      <c r="F937" s="5" t="inlineStr">
        <is>
          <t>2024-07-20 08:00</t>
        </is>
      </c>
      <c r="G937" s="11" t="n">
        <v>20136.01</v>
      </c>
      <c r="H937" s="5" t="inlineStr">
        <is>
          <t>m3</t>
        </is>
      </c>
      <c r="I937" s="5" t="inlineStr">
        <is>
          <t>cumulative</t>
        </is>
      </c>
      <c r="J937" s="5" t="inlineStr">
        <is>
          <t>IJ</t>
        </is>
      </c>
      <c r="K937" s="5" t="inlineStr"/>
      <c r="L937" s="7">
        <f>IFERROR(IF(F937&lt;F936,"NEGATIVE",ROUND(F937-F936,2)),"")</f>
        <v/>
      </c>
    </row>
    <row r="938" ht="22" customHeight="1">
      <c r="B938" s="8" t="inlineStr">
        <is>
          <t>R00934</t>
        </is>
      </c>
      <c r="C938" s="8" t="inlineStr">
        <is>
          <t>MTR-DOM-006</t>
        </is>
      </c>
      <c r="D938" s="8" t="inlineStr">
        <is>
          <t>Utilities</t>
        </is>
      </c>
      <c r="E938" s="8" t="inlineStr">
        <is>
          <t>Domestic Supply</t>
        </is>
      </c>
      <c r="F938" s="8" t="inlineStr">
        <is>
          <t>2024-07-21 08:00</t>
        </is>
      </c>
      <c r="G938" s="12" t="n">
        <v>20141.95</v>
      </c>
      <c r="H938" s="8" t="inlineStr">
        <is>
          <t>m3</t>
        </is>
      </c>
      <c r="I938" s="8" t="inlineStr">
        <is>
          <t>cumulative</t>
        </is>
      </c>
      <c r="J938" s="8" t="inlineStr">
        <is>
          <t>CD</t>
        </is>
      </c>
      <c r="K938" s="8" t="inlineStr"/>
      <c r="L938" s="10">
        <f>IFERROR(IF(F938&lt;F937,"NEGATIVE",ROUND(F938-F937,2)),"")</f>
        <v/>
      </c>
    </row>
    <row r="939" ht="22" customHeight="1">
      <c r="B939" s="5" t="inlineStr">
        <is>
          <t>R00935</t>
        </is>
      </c>
      <c r="C939" s="5" t="inlineStr">
        <is>
          <t>MTR-DOM-006</t>
        </is>
      </c>
      <c r="D939" s="5" t="inlineStr">
        <is>
          <t>Utilities</t>
        </is>
      </c>
      <c r="E939" s="5" t="inlineStr">
        <is>
          <t>Domestic Supply</t>
        </is>
      </c>
      <c r="F939" s="5" t="inlineStr">
        <is>
          <t>2024-07-22 08:00</t>
        </is>
      </c>
      <c r="G939" s="11" t="n">
        <v>20151.6</v>
      </c>
      <c r="H939" s="5" t="inlineStr">
        <is>
          <t>m3</t>
        </is>
      </c>
      <c r="I939" s="5" t="inlineStr">
        <is>
          <t>cumulative</t>
        </is>
      </c>
      <c r="J939" s="5" t="inlineStr">
        <is>
          <t>GH</t>
        </is>
      </c>
      <c r="K939" s="5" t="inlineStr"/>
      <c r="L939" s="7">
        <f>IFERROR(IF(F939&lt;F938,"NEGATIVE",ROUND(F939-F938,2)),"")</f>
        <v/>
      </c>
    </row>
    <row r="940" ht="22" customHeight="1">
      <c r="B940" s="8" t="inlineStr">
        <is>
          <t>R00936</t>
        </is>
      </c>
      <c r="C940" s="8" t="inlineStr">
        <is>
          <t>MTR-DOM-006</t>
        </is>
      </c>
      <c r="D940" s="8" t="inlineStr">
        <is>
          <t>Utilities</t>
        </is>
      </c>
      <c r="E940" s="8" t="inlineStr">
        <is>
          <t>Domestic Supply</t>
        </is>
      </c>
      <c r="F940" s="8" t="inlineStr">
        <is>
          <t>2024-07-23 08:00</t>
        </is>
      </c>
      <c r="G940" s="12" t="n">
        <v>20163.99</v>
      </c>
      <c r="H940" s="8" t="inlineStr">
        <is>
          <t>m3</t>
        </is>
      </c>
      <c r="I940" s="8" t="inlineStr">
        <is>
          <t>cumulative</t>
        </is>
      </c>
      <c r="J940" s="8" t="inlineStr">
        <is>
          <t>EF</t>
        </is>
      </c>
      <c r="K940" s="8" t="inlineStr"/>
      <c r="L940" s="10">
        <f>IFERROR(IF(F940&lt;F939,"NEGATIVE",ROUND(F940-F939,2)),"")</f>
        <v/>
      </c>
    </row>
    <row r="941" ht="22" customHeight="1">
      <c r="B941" s="5" t="inlineStr">
        <is>
          <t>R00937</t>
        </is>
      </c>
      <c r="C941" s="5" t="inlineStr">
        <is>
          <t>MTR-DOM-006</t>
        </is>
      </c>
      <c r="D941" s="5" t="inlineStr">
        <is>
          <t>Utilities</t>
        </is>
      </c>
      <c r="E941" s="5" t="inlineStr">
        <is>
          <t>Domestic Supply</t>
        </is>
      </c>
      <c r="F941" s="5" t="inlineStr">
        <is>
          <t>2024-07-24 08:00</t>
        </is>
      </c>
      <c r="G941" s="11" t="n">
        <v>20175.49</v>
      </c>
      <c r="H941" s="5" t="inlineStr">
        <is>
          <t>m3</t>
        </is>
      </c>
      <c r="I941" s="5" t="inlineStr">
        <is>
          <t>cumulative</t>
        </is>
      </c>
      <c r="J941" s="5" t="inlineStr">
        <is>
          <t>CD</t>
        </is>
      </c>
      <c r="K941" s="5" t="inlineStr"/>
      <c r="L941" s="7">
        <f>IFERROR(IF(F941&lt;F940,"NEGATIVE",ROUND(F941-F940,2)),"")</f>
        <v/>
      </c>
    </row>
    <row r="942" ht="22" customHeight="1">
      <c r="B942" s="8" t="inlineStr">
        <is>
          <t>R00938</t>
        </is>
      </c>
      <c r="C942" s="8" t="inlineStr">
        <is>
          <t>MTR-DOM-006</t>
        </is>
      </c>
      <c r="D942" s="8" t="inlineStr">
        <is>
          <t>Utilities</t>
        </is>
      </c>
      <c r="E942" s="8" t="inlineStr">
        <is>
          <t>Domestic Supply</t>
        </is>
      </c>
      <c r="F942" s="8" t="inlineStr">
        <is>
          <t>2024-07-25 08:00</t>
        </is>
      </c>
      <c r="G942" s="12" t="n">
        <v>20187.92</v>
      </c>
      <c r="H942" s="8" t="inlineStr">
        <is>
          <t>m3</t>
        </is>
      </c>
      <c r="I942" s="8" t="inlineStr">
        <is>
          <t>cumulative</t>
        </is>
      </c>
      <c r="J942" s="8" t="inlineStr">
        <is>
          <t>GH</t>
        </is>
      </c>
      <c r="K942" s="8" t="inlineStr"/>
      <c r="L942" s="10">
        <f>IFERROR(IF(F942&lt;F941,"NEGATIVE",ROUND(F942-F941,2)),"")</f>
        <v/>
      </c>
    </row>
    <row r="943" ht="22" customHeight="1">
      <c r="B943" s="5" t="inlineStr">
        <is>
          <t>R00939</t>
        </is>
      </c>
      <c r="C943" s="5" t="inlineStr">
        <is>
          <t>MTR-DOM-006</t>
        </is>
      </c>
      <c r="D943" s="5" t="inlineStr">
        <is>
          <t>Utilities</t>
        </is>
      </c>
      <c r="E943" s="5" t="inlineStr">
        <is>
          <t>Domestic Supply</t>
        </is>
      </c>
      <c r="F943" s="5" t="inlineStr">
        <is>
          <t>2024-07-26 08:00</t>
        </is>
      </c>
      <c r="G943" s="11" t="n">
        <v>20199.88</v>
      </c>
      <c r="H943" s="5" t="inlineStr">
        <is>
          <t>m3</t>
        </is>
      </c>
      <c r="I943" s="5" t="inlineStr">
        <is>
          <t>cumulative</t>
        </is>
      </c>
      <c r="J943" s="5" t="inlineStr">
        <is>
          <t>AB</t>
        </is>
      </c>
      <c r="K943" s="5" t="inlineStr"/>
      <c r="L943" s="7">
        <f>IFERROR(IF(F943&lt;F942,"NEGATIVE",ROUND(F943-F942,2)),"")</f>
        <v/>
      </c>
    </row>
    <row r="944" ht="22" customHeight="1">
      <c r="B944" s="8" t="inlineStr">
        <is>
          <t>R00940</t>
        </is>
      </c>
      <c r="C944" s="8" t="inlineStr">
        <is>
          <t>MTR-DOM-006</t>
        </is>
      </c>
      <c r="D944" s="8" t="inlineStr">
        <is>
          <t>Utilities</t>
        </is>
      </c>
      <c r="E944" s="8" t="inlineStr">
        <is>
          <t>Domestic Supply</t>
        </is>
      </c>
      <c r="F944" s="8" t="inlineStr">
        <is>
          <t>2024-07-27 08:00</t>
        </is>
      </c>
      <c r="G944" s="12" t="n">
        <v>20208.91</v>
      </c>
      <c r="H944" s="8" t="inlineStr">
        <is>
          <t>m3</t>
        </is>
      </c>
      <c r="I944" s="8" t="inlineStr">
        <is>
          <t>cumulative</t>
        </is>
      </c>
      <c r="J944" s="8" t="inlineStr">
        <is>
          <t>KL</t>
        </is>
      </c>
      <c r="K944" s="8" t="inlineStr"/>
      <c r="L944" s="10">
        <f>IFERROR(IF(F944&lt;F943,"NEGATIVE",ROUND(F944-F943,2)),"")</f>
        <v/>
      </c>
    </row>
    <row r="945" ht="22" customHeight="1">
      <c r="B945" s="5" t="inlineStr">
        <is>
          <t>R00941</t>
        </is>
      </c>
      <c r="C945" s="5" t="inlineStr">
        <is>
          <t>MTR-DOM-006</t>
        </is>
      </c>
      <c r="D945" s="5" t="inlineStr">
        <is>
          <t>Utilities</t>
        </is>
      </c>
      <c r="E945" s="5" t="inlineStr">
        <is>
          <t>Domestic Supply</t>
        </is>
      </c>
      <c r="F945" s="5" t="inlineStr">
        <is>
          <t>2024-07-28 08:00</t>
        </is>
      </c>
      <c r="G945" s="11" t="n">
        <v>20214.17</v>
      </c>
      <c r="H945" s="5" t="inlineStr">
        <is>
          <t>m3</t>
        </is>
      </c>
      <c r="I945" s="5" t="inlineStr">
        <is>
          <t>cumulative</t>
        </is>
      </c>
      <c r="J945" s="5" t="inlineStr">
        <is>
          <t>KL</t>
        </is>
      </c>
      <c r="K945" s="5" t="inlineStr"/>
      <c r="L945" s="7">
        <f>IFERROR(IF(F945&lt;F944,"NEGATIVE",ROUND(F945-F944,2)),"")</f>
        <v/>
      </c>
    </row>
    <row r="946" ht="22" customHeight="1">
      <c r="B946" s="8" t="inlineStr">
        <is>
          <t>R00942</t>
        </is>
      </c>
      <c r="C946" s="8" t="inlineStr">
        <is>
          <t>MTR-DOM-006</t>
        </is>
      </c>
      <c r="D946" s="8" t="inlineStr">
        <is>
          <t>Utilities</t>
        </is>
      </c>
      <c r="E946" s="8" t="inlineStr">
        <is>
          <t>Domestic Supply</t>
        </is>
      </c>
      <c r="F946" s="8" t="inlineStr">
        <is>
          <t>2024-07-29 08:00</t>
        </is>
      </c>
      <c r="G946" s="12" t="n">
        <v>20223.81</v>
      </c>
      <c r="H946" s="8" t="inlineStr">
        <is>
          <t>m3</t>
        </is>
      </c>
      <c r="I946" s="8" t="inlineStr">
        <is>
          <t>cumulative</t>
        </is>
      </c>
      <c r="J946" s="8" t="inlineStr">
        <is>
          <t>AB</t>
        </is>
      </c>
      <c r="K946" s="8" t="inlineStr"/>
      <c r="L946" s="10">
        <f>IFERROR(IF(F946&lt;F945,"NEGATIVE",ROUND(F946-F945,2)),"")</f>
        <v/>
      </c>
    </row>
    <row r="947" ht="22" customHeight="1">
      <c r="B947" s="5" t="inlineStr">
        <is>
          <t>R00943</t>
        </is>
      </c>
      <c r="C947" s="5" t="inlineStr">
        <is>
          <t>MTR-DOM-006</t>
        </is>
      </c>
      <c r="D947" s="5" t="inlineStr">
        <is>
          <t>Utilities</t>
        </is>
      </c>
      <c r="E947" s="5" t="inlineStr">
        <is>
          <t>Domestic Supply</t>
        </is>
      </c>
      <c r="F947" s="5" t="inlineStr">
        <is>
          <t>2024-07-30 08:00</t>
        </is>
      </c>
      <c r="G947" s="11" t="n">
        <v>20235.52</v>
      </c>
      <c r="H947" s="5" t="inlineStr">
        <is>
          <t>m3</t>
        </is>
      </c>
      <c r="I947" s="5" t="inlineStr">
        <is>
          <t>cumulative</t>
        </is>
      </c>
      <c r="J947" s="5" t="inlineStr">
        <is>
          <t>IJ</t>
        </is>
      </c>
      <c r="K947" s="5" t="inlineStr"/>
      <c r="L947" s="7">
        <f>IFERROR(IF(F947&lt;F946,"NEGATIVE",ROUND(F947-F946,2)),"")</f>
        <v/>
      </c>
    </row>
    <row r="948" ht="22" customHeight="1">
      <c r="B948" s="8" t="inlineStr">
        <is>
          <t>R00944</t>
        </is>
      </c>
      <c r="C948" s="8" t="inlineStr">
        <is>
          <t>MTR-DOM-006</t>
        </is>
      </c>
      <c r="D948" s="8" t="inlineStr">
        <is>
          <t>Utilities</t>
        </is>
      </c>
      <c r="E948" s="8" t="inlineStr">
        <is>
          <t>Domestic Supply</t>
        </is>
      </c>
      <c r="F948" s="8" t="inlineStr">
        <is>
          <t>2024-07-31 08:00</t>
        </is>
      </c>
      <c r="G948" s="12" t="n">
        <v>20248.27</v>
      </c>
      <c r="H948" s="8" t="inlineStr">
        <is>
          <t>m3</t>
        </is>
      </c>
      <c r="I948" s="8" t="inlineStr">
        <is>
          <t>cumulative</t>
        </is>
      </c>
      <c r="J948" s="8" t="inlineStr">
        <is>
          <t>AB</t>
        </is>
      </c>
      <c r="K948" s="8" t="inlineStr"/>
      <c r="L948" s="10">
        <f>IFERROR(IF(F948&lt;F947,"NEGATIVE",ROUND(F948-F947,2)),"")</f>
        <v/>
      </c>
    </row>
    <row r="949" ht="22" customHeight="1">
      <c r="B949" s="5" t="inlineStr">
        <is>
          <t>R00945</t>
        </is>
      </c>
      <c r="C949" s="5" t="inlineStr">
        <is>
          <t>MTR-DOM-006</t>
        </is>
      </c>
      <c r="D949" s="5" t="inlineStr">
        <is>
          <t>Utilities</t>
        </is>
      </c>
      <c r="E949" s="5" t="inlineStr">
        <is>
          <t>Domestic Supply</t>
        </is>
      </c>
      <c r="F949" s="5" t="inlineStr">
        <is>
          <t>2024-08-01 08:00</t>
        </is>
      </c>
      <c r="G949" s="11" t="n">
        <v>20258.33</v>
      </c>
      <c r="H949" s="5" t="inlineStr">
        <is>
          <t>m3</t>
        </is>
      </c>
      <c r="I949" s="5" t="inlineStr">
        <is>
          <t>cumulative</t>
        </is>
      </c>
      <c r="J949" s="5" t="inlineStr">
        <is>
          <t>EF</t>
        </is>
      </c>
      <c r="K949" s="5" t="inlineStr"/>
      <c r="L949" s="7">
        <f>IFERROR(IF(F949&lt;F948,"NEGATIVE",ROUND(F949-F948,2)),"")</f>
        <v/>
      </c>
    </row>
    <row r="950" ht="22" customHeight="1">
      <c r="B950" s="8" t="inlineStr">
        <is>
          <t>R00946</t>
        </is>
      </c>
      <c r="C950" s="8" t="inlineStr">
        <is>
          <t>MTR-DOM-006</t>
        </is>
      </c>
      <c r="D950" s="8" t="inlineStr">
        <is>
          <t>Utilities</t>
        </is>
      </c>
      <c r="E950" s="8" t="inlineStr">
        <is>
          <t>Domestic Supply</t>
        </is>
      </c>
      <c r="F950" s="8" t="inlineStr">
        <is>
          <t>2024-08-02 08:00</t>
        </is>
      </c>
      <c r="G950" s="12" t="n">
        <v>20269.7</v>
      </c>
      <c r="H950" s="8" t="inlineStr">
        <is>
          <t>m3</t>
        </is>
      </c>
      <c r="I950" s="8" t="inlineStr">
        <is>
          <t>cumulative</t>
        </is>
      </c>
      <c r="J950" s="8" t="inlineStr">
        <is>
          <t>KL</t>
        </is>
      </c>
      <c r="K950" s="8" t="inlineStr"/>
      <c r="L950" s="10">
        <f>IFERROR(IF(F950&lt;F949,"NEGATIVE",ROUND(F950-F949,2)),"")</f>
        <v/>
      </c>
    </row>
    <row r="951" ht="22" customHeight="1">
      <c r="B951" s="5" t="inlineStr">
        <is>
          <t>R00947</t>
        </is>
      </c>
      <c r="C951" s="5" t="inlineStr">
        <is>
          <t>MTR-DOM-006</t>
        </is>
      </c>
      <c r="D951" s="5" t="inlineStr">
        <is>
          <t>Utilities</t>
        </is>
      </c>
      <c r="E951" s="5" t="inlineStr">
        <is>
          <t>Domestic Supply</t>
        </is>
      </c>
      <c r="F951" s="5" t="inlineStr">
        <is>
          <t>2024-08-03 08:00</t>
        </is>
      </c>
      <c r="G951" s="11" t="n">
        <v>20279.41</v>
      </c>
      <c r="H951" s="5" t="inlineStr">
        <is>
          <t>m3</t>
        </is>
      </c>
      <c r="I951" s="5" t="inlineStr">
        <is>
          <t>cumulative</t>
        </is>
      </c>
      <c r="J951" s="5" t="inlineStr">
        <is>
          <t>KL</t>
        </is>
      </c>
      <c r="K951" s="5" t="inlineStr"/>
      <c r="L951" s="7">
        <f>IFERROR(IF(F951&lt;F950,"NEGATIVE",ROUND(F951-F950,2)),"")</f>
        <v/>
      </c>
    </row>
    <row r="952" ht="22" customHeight="1">
      <c r="B952" s="8" t="inlineStr">
        <is>
          <t>R00948</t>
        </is>
      </c>
      <c r="C952" s="8" t="inlineStr">
        <is>
          <t>MTR-DOM-006</t>
        </is>
      </c>
      <c r="D952" s="8" t="inlineStr">
        <is>
          <t>Utilities</t>
        </is>
      </c>
      <c r="E952" s="8" t="inlineStr">
        <is>
          <t>Domestic Supply</t>
        </is>
      </c>
      <c r="F952" s="8" t="inlineStr">
        <is>
          <t>2024-08-04 08:00</t>
        </is>
      </c>
      <c r="G952" s="12" t="n">
        <v>20284.71</v>
      </c>
      <c r="H952" s="8" t="inlineStr">
        <is>
          <t>m3</t>
        </is>
      </c>
      <c r="I952" s="8" t="inlineStr">
        <is>
          <t>cumulative</t>
        </is>
      </c>
      <c r="J952" s="8" t="inlineStr">
        <is>
          <t>AB</t>
        </is>
      </c>
      <c r="K952" s="8" t="inlineStr"/>
      <c r="L952" s="10">
        <f>IFERROR(IF(F952&lt;F951,"NEGATIVE",ROUND(F952-F951,2)),"")</f>
        <v/>
      </c>
    </row>
    <row r="953" ht="22" customHeight="1">
      <c r="B953" s="5" t="inlineStr">
        <is>
          <t>R00949</t>
        </is>
      </c>
      <c r="C953" s="5" t="inlineStr">
        <is>
          <t>MTR-DOM-006</t>
        </is>
      </c>
      <c r="D953" s="5" t="inlineStr">
        <is>
          <t>Utilities</t>
        </is>
      </c>
      <c r="E953" s="5" t="inlineStr">
        <is>
          <t>Domestic Supply</t>
        </is>
      </c>
      <c r="F953" s="5" t="inlineStr">
        <is>
          <t>2024-08-05 08:00</t>
        </is>
      </c>
      <c r="G953" s="11" t="n">
        <v>20295.86</v>
      </c>
      <c r="H953" s="5" t="inlineStr">
        <is>
          <t>m3</t>
        </is>
      </c>
      <c r="I953" s="5" t="inlineStr">
        <is>
          <t>cumulative</t>
        </is>
      </c>
      <c r="J953" s="5" t="inlineStr">
        <is>
          <t>KL</t>
        </is>
      </c>
      <c r="K953" s="5" t="inlineStr"/>
      <c r="L953" s="7">
        <f>IFERROR(IF(F953&lt;F952,"NEGATIVE",ROUND(F953-F952,2)),"")</f>
        <v/>
      </c>
    </row>
    <row r="954" ht="22" customHeight="1">
      <c r="B954" s="8" t="inlineStr">
        <is>
          <t>R00950</t>
        </is>
      </c>
      <c r="C954" s="8" t="inlineStr">
        <is>
          <t>MTR-DOM-006</t>
        </is>
      </c>
      <c r="D954" s="8" t="inlineStr">
        <is>
          <t>Utilities</t>
        </is>
      </c>
      <c r="E954" s="8" t="inlineStr">
        <is>
          <t>Domestic Supply</t>
        </is>
      </c>
      <c r="F954" s="8" t="inlineStr">
        <is>
          <t>2024-08-06 08:00</t>
        </is>
      </c>
      <c r="G954" s="12" t="n">
        <v>20305.55</v>
      </c>
      <c r="H954" s="8" t="inlineStr">
        <is>
          <t>m3</t>
        </is>
      </c>
      <c r="I954" s="8" t="inlineStr">
        <is>
          <t>cumulative</t>
        </is>
      </c>
      <c r="J954" s="8" t="inlineStr">
        <is>
          <t>KL</t>
        </is>
      </c>
      <c r="K954" s="8" t="inlineStr"/>
      <c r="L954" s="10">
        <f>IFERROR(IF(F954&lt;F953,"NEGATIVE",ROUND(F954-F953,2)),"")</f>
        <v/>
      </c>
    </row>
    <row r="955" ht="22" customHeight="1">
      <c r="B955" s="5" t="inlineStr">
        <is>
          <t>R00951</t>
        </is>
      </c>
      <c r="C955" s="5" t="inlineStr">
        <is>
          <t>MTR-DOM-006</t>
        </is>
      </c>
      <c r="D955" s="5" t="inlineStr">
        <is>
          <t>Utilities</t>
        </is>
      </c>
      <c r="E955" s="5" t="inlineStr">
        <is>
          <t>Domestic Supply</t>
        </is>
      </c>
      <c r="F955" s="5" t="inlineStr">
        <is>
          <t>2024-08-07 08:00</t>
        </is>
      </c>
      <c r="G955" s="11" t="n">
        <v>20317.9</v>
      </c>
      <c r="H955" s="5" t="inlineStr">
        <is>
          <t>m3</t>
        </is>
      </c>
      <c r="I955" s="5" t="inlineStr">
        <is>
          <t>cumulative</t>
        </is>
      </c>
      <c r="J955" s="5" t="inlineStr">
        <is>
          <t>GH</t>
        </is>
      </c>
      <c r="K955" s="5" t="inlineStr"/>
      <c r="L955" s="7">
        <f>IFERROR(IF(F955&lt;F954,"NEGATIVE",ROUND(F955-F954,2)),"")</f>
        <v/>
      </c>
    </row>
    <row r="956" ht="22" customHeight="1">
      <c r="B956" s="8" t="inlineStr">
        <is>
          <t>R00952</t>
        </is>
      </c>
      <c r="C956" s="8" t="inlineStr">
        <is>
          <t>MTR-DOM-006</t>
        </is>
      </c>
      <c r="D956" s="8" t="inlineStr">
        <is>
          <t>Utilities</t>
        </is>
      </c>
      <c r="E956" s="8" t="inlineStr">
        <is>
          <t>Domestic Supply</t>
        </is>
      </c>
      <c r="F956" s="8" t="inlineStr">
        <is>
          <t>2024-08-08 08:00</t>
        </is>
      </c>
      <c r="G956" s="12" t="n">
        <v>20328.55</v>
      </c>
      <c r="H956" s="8" t="inlineStr">
        <is>
          <t>m3</t>
        </is>
      </c>
      <c r="I956" s="8" t="inlineStr">
        <is>
          <t>cumulative</t>
        </is>
      </c>
      <c r="J956" s="8" t="inlineStr">
        <is>
          <t>KL</t>
        </is>
      </c>
      <c r="K956" s="8" t="inlineStr"/>
      <c r="L956" s="10">
        <f>IFERROR(IF(F956&lt;F955,"NEGATIVE",ROUND(F956-F955,2)),"")</f>
        <v/>
      </c>
    </row>
    <row r="957" ht="22" customHeight="1">
      <c r="B957" s="5" t="inlineStr">
        <is>
          <t>R00953</t>
        </is>
      </c>
      <c r="C957" s="5" t="inlineStr">
        <is>
          <t>MTR-DOM-006</t>
        </is>
      </c>
      <c r="D957" s="5" t="inlineStr">
        <is>
          <t>Utilities</t>
        </is>
      </c>
      <c r="E957" s="5" t="inlineStr">
        <is>
          <t>Domestic Supply</t>
        </is>
      </c>
      <c r="F957" s="5" t="inlineStr">
        <is>
          <t>2024-08-09 08:00</t>
        </is>
      </c>
      <c r="G957" s="11" t="n">
        <v>20340.11</v>
      </c>
      <c r="H957" s="5" t="inlineStr">
        <is>
          <t>m3</t>
        </is>
      </c>
      <c r="I957" s="5" t="inlineStr">
        <is>
          <t>cumulative</t>
        </is>
      </c>
      <c r="J957" s="5" t="inlineStr">
        <is>
          <t>KL</t>
        </is>
      </c>
      <c r="K957" s="5" t="inlineStr"/>
      <c r="L957" s="7">
        <f>IFERROR(IF(F957&lt;F956,"NEGATIVE",ROUND(F957-F956,2)),"")</f>
        <v/>
      </c>
    </row>
    <row r="958" ht="22" customHeight="1">
      <c r="B958" s="8" t="inlineStr">
        <is>
          <t>R00954</t>
        </is>
      </c>
      <c r="C958" s="8" t="inlineStr">
        <is>
          <t>MTR-DOM-006</t>
        </is>
      </c>
      <c r="D958" s="8" t="inlineStr">
        <is>
          <t>Utilities</t>
        </is>
      </c>
      <c r="E958" s="8" t="inlineStr">
        <is>
          <t>Domestic Supply</t>
        </is>
      </c>
      <c r="F958" s="8" t="inlineStr">
        <is>
          <t>2024-08-10 08:00</t>
        </is>
      </c>
      <c r="G958" s="12" t="n">
        <v>20348.08</v>
      </c>
      <c r="H958" s="8" t="inlineStr">
        <is>
          <t>m3</t>
        </is>
      </c>
      <c r="I958" s="8" t="inlineStr">
        <is>
          <t>cumulative</t>
        </is>
      </c>
      <c r="J958" s="8" t="inlineStr">
        <is>
          <t>GH</t>
        </is>
      </c>
      <c r="K958" s="8" t="inlineStr"/>
      <c r="L958" s="10">
        <f>IFERROR(IF(F958&lt;F957,"NEGATIVE",ROUND(F958-F957,2)),"")</f>
        <v/>
      </c>
    </row>
    <row r="959" ht="22" customHeight="1">
      <c r="B959" s="5" t="inlineStr">
        <is>
          <t>R00955</t>
        </is>
      </c>
      <c r="C959" s="5" t="inlineStr">
        <is>
          <t>MTR-DOM-006</t>
        </is>
      </c>
      <c r="D959" s="5" t="inlineStr">
        <is>
          <t>Utilities</t>
        </is>
      </c>
      <c r="E959" s="5" t="inlineStr">
        <is>
          <t>Domestic Supply</t>
        </is>
      </c>
      <c r="F959" s="5" t="inlineStr">
        <is>
          <t>2024-08-11 08:00</t>
        </is>
      </c>
      <c r="G959" s="11" t="n">
        <v>20352.94</v>
      </c>
      <c r="H959" s="5" t="inlineStr">
        <is>
          <t>m3</t>
        </is>
      </c>
      <c r="I959" s="5" t="inlineStr">
        <is>
          <t>cumulative</t>
        </is>
      </c>
      <c r="J959" s="5" t="inlineStr">
        <is>
          <t>GH</t>
        </is>
      </c>
      <c r="K959" s="5" t="inlineStr"/>
      <c r="L959" s="7">
        <f>IFERROR(IF(F959&lt;F958,"NEGATIVE",ROUND(F959-F958,2)),"")</f>
        <v/>
      </c>
    </row>
    <row r="960" ht="22" customHeight="1">
      <c r="B960" s="8" t="inlineStr">
        <is>
          <t>R00956</t>
        </is>
      </c>
      <c r="C960" s="8" t="inlineStr">
        <is>
          <t>MTR-DOM-006</t>
        </is>
      </c>
      <c r="D960" s="8" t="inlineStr">
        <is>
          <t>Utilities</t>
        </is>
      </c>
      <c r="E960" s="8" t="inlineStr">
        <is>
          <t>Domestic Supply</t>
        </is>
      </c>
      <c r="F960" s="8" t="inlineStr">
        <is>
          <t>2024-08-12 08:00</t>
        </is>
      </c>
      <c r="G960" s="12" t="n">
        <v>20362.63</v>
      </c>
      <c r="H960" s="8" t="inlineStr">
        <is>
          <t>m3</t>
        </is>
      </c>
      <c r="I960" s="8" t="inlineStr">
        <is>
          <t>cumulative</t>
        </is>
      </c>
      <c r="J960" s="8" t="inlineStr">
        <is>
          <t>EF</t>
        </is>
      </c>
      <c r="K960" s="8" t="inlineStr"/>
      <c r="L960" s="10">
        <f>IFERROR(IF(F960&lt;F959,"NEGATIVE",ROUND(F960-F959,2)),"")</f>
        <v/>
      </c>
    </row>
    <row r="961" ht="22" customHeight="1">
      <c r="B961" s="5" t="inlineStr">
        <is>
          <t>R00957</t>
        </is>
      </c>
      <c r="C961" s="5" t="inlineStr">
        <is>
          <t>MTR-DOM-006</t>
        </is>
      </c>
      <c r="D961" s="5" t="inlineStr">
        <is>
          <t>Utilities</t>
        </is>
      </c>
      <c r="E961" s="5" t="inlineStr">
        <is>
          <t>Domestic Supply</t>
        </is>
      </c>
      <c r="F961" s="5" t="inlineStr">
        <is>
          <t>2024-08-13 08:00</t>
        </is>
      </c>
      <c r="G961" s="11" t="n">
        <v>20374.22</v>
      </c>
      <c r="H961" s="5" t="inlineStr">
        <is>
          <t>m3</t>
        </is>
      </c>
      <c r="I961" s="5" t="inlineStr">
        <is>
          <t>cumulative</t>
        </is>
      </c>
      <c r="J961" s="5" t="inlineStr">
        <is>
          <t>GH</t>
        </is>
      </c>
      <c r="K961" s="5" t="inlineStr"/>
      <c r="L961" s="7">
        <f>IFERROR(IF(F961&lt;F960,"NEGATIVE",ROUND(F961-F960,2)),"")</f>
        <v/>
      </c>
    </row>
    <row r="962" ht="22" customHeight="1">
      <c r="B962" s="8" t="inlineStr">
        <is>
          <t>R00958</t>
        </is>
      </c>
      <c r="C962" s="8" t="inlineStr">
        <is>
          <t>MTR-DOM-006</t>
        </is>
      </c>
      <c r="D962" s="8" t="inlineStr">
        <is>
          <t>Utilities</t>
        </is>
      </c>
      <c r="E962" s="8" t="inlineStr">
        <is>
          <t>Domestic Supply</t>
        </is>
      </c>
      <c r="F962" s="8" t="inlineStr">
        <is>
          <t>2024-08-14 08:00</t>
        </is>
      </c>
      <c r="G962" s="12" t="n">
        <v>20384.89</v>
      </c>
      <c r="H962" s="8" t="inlineStr">
        <is>
          <t>m3</t>
        </is>
      </c>
      <c r="I962" s="8" t="inlineStr">
        <is>
          <t>cumulative</t>
        </is>
      </c>
      <c r="J962" s="8" t="inlineStr">
        <is>
          <t>GH</t>
        </is>
      </c>
      <c r="K962" s="8" t="inlineStr"/>
      <c r="L962" s="10">
        <f>IFERROR(IF(F962&lt;F961,"NEGATIVE",ROUND(F962-F961,2)),"")</f>
        <v/>
      </c>
    </row>
    <row r="963" ht="22" customHeight="1">
      <c r="B963" s="5" t="inlineStr">
        <is>
          <t>R00959</t>
        </is>
      </c>
      <c r="C963" s="5" t="inlineStr">
        <is>
          <t>MTR-DOM-006</t>
        </is>
      </c>
      <c r="D963" s="5" t="inlineStr">
        <is>
          <t>Utilities</t>
        </is>
      </c>
      <c r="E963" s="5" t="inlineStr">
        <is>
          <t>Domestic Supply</t>
        </is>
      </c>
      <c r="F963" s="5" t="inlineStr">
        <is>
          <t>2024-08-15 08:00</t>
        </is>
      </c>
      <c r="G963" s="11" t="n">
        <v>20397.27</v>
      </c>
      <c r="H963" s="5" t="inlineStr">
        <is>
          <t>m3</t>
        </is>
      </c>
      <c r="I963" s="5" t="inlineStr">
        <is>
          <t>cumulative</t>
        </is>
      </c>
      <c r="J963" s="5" t="inlineStr">
        <is>
          <t>EF</t>
        </is>
      </c>
      <c r="K963" s="5" t="inlineStr"/>
      <c r="L963" s="7">
        <f>IFERROR(IF(F963&lt;F962,"NEGATIVE",ROUND(F963-F962,2)),"")</f>
        <v/>
      </c>
    </row>
    <row r="964" ht="22" customHeight="1">
      <c r="B964" s="8" t="inlineStr">
        <is>
          <t>R00960</t>
        </is>
      </c>
      <c r="C964" s="8" t="inlineStr">
        <is>
          <t>MTR-DOM-006</t>
        </is>
      </c>
      <c r="D964" s="8" t="inlineStr">
        <is>
          <t>Utilities</t>
        </is>
      </c>
      <c r="E964" s="8" t="inlineStr">
        <is>
          <t>Domestic Supply</t>
        </is>
      </c>
      <c r="F964" s="8" t="inlineStr">
        <is>
          <t>2024-08-16 08:00</t>
        </is>
      </c>
      <c r="G964" s="12" t="n">
        <v>20407.16</v>
      </c>
      <c r="H964" s="8" t="inlineStr">
        <is>
          <t>m3</t>
        </is>
      </c>
      <c r="I964" s="8" t="inlineStr">
        <is>
          <t>cumulative</t>
        </is>
      </c>
      <c r="J964" s="8" t="inlineStr">
        <is>
          <t>IJ</t>
        </is>
      </c>
      <c r="K964" s="8" t="inlineStr"/>
      <c r="L964" s="10">
        <f>IFERROR(IF(F964&lt;F963,"NEGATIVE",ROUND(F964-F963,2)),"")</f>
        <v/>
      </c>
    </row>
    <row r="965" ht="22" customHeight="1">
      <c r="B965" s="5" t="inlineStr">
        <is>
          <t>R00961</t>
        </is>
      </c>
      <c r="C965" s="5" t="inlineStr">
        <is>
          <t>MTR-DOM-006</t>
        </is>
      </c>
      <c r="D965" s="5" t="inlineStr">
        <is>
          <t>Utilities</t>
        </is>
      </c>
      <c r="E965" s="5" t="inlineStr">
        <is>
          <t>Domestic Supply</t>
        </is>
      </c>
      <c r="F965" s="5" t="inlineStr">
        <is>
          <t>2024-08-17 08:00</t>
        </is>
      </c>
      <c r="G965" s="11" t="n">
        <v>20416.8</v>
      </c>
      <c r="H965" s="5" t="inlineStr">
        <is>
          <t>m3</t>
        </is>
      </c>
      <c r="I965" s="5" t="inlineStr">
        <is>
          <t>cumulative</t>
        </is>
      </c>
      <c r="J965" s="5" t="inlineStr">
        <is>
          <t>GH</t>
        </is>
      </c>
      <c r="K965" s="5" t="inlineStr"/>
      <c r="L965" s="7">
        <f>IFERROR(IF(F965&lt;F964,"NEGATIVE",ROUND(F965-F964,2)),"")</f>
        <v/>
      </c>
    </row>
    <row r="966" ht="22" customHeight="1">
      <c r="B966" s="8" t="inlineStr">
        <is>
          <t>R00962</t>
        </is>
      </c>
      <c r="C966" s="8" t="inlineStr">
        <is>
          <t>MTR-DOM-006</t>
        </is>
      </c>
      <c r="D966" s="8" t="inlineStr">
        <is>
          <t>Utilities</t>
        </is>
      </c>
      <c r="E966" s="8" t="inlineStr">
        <is>
          <t>Domestic Supply</t>
        </is>
      </c>
      <c r="F966" s="8" t="inlineStr">
        <is>
          <t>2024-08-18 08:00</t>
        </is>
      </c>
      <c r="G966" s="12" t="n">
        <v>20422.46</v>
      </c>
      <c r="H966" s="8" t="inlineStr">
        <is>
          <t>m3</t>
        </is>
      </c>
      <c r="I966" s="8" t="inlineStr">
        <is>
          <t>cumulative</t>
        </is>
      </c>
      <c r="J966" s="8" t="inlineStr">
        <is>
          <t>GH</t>
        </is>
      </c>
      <c r="K966" s="8" t="inlineStr"/>
      <c r="L966" s="10">
        <f>IFERROR(IF(F966&lt;F965,"NEGATIVE",ROUND(F966-F965,2)),"")</f>
        <v/>
      </c>
    </row>
    <row r="967" ht="22" customHeight="1">
      <c r="B967" s="5" t="inlineStr">
        <is>
          <t>R00963</t>
        </is>
      </c>
      <c r="C967" s="5" t="inlineStr">
        <is>
          <t>MTR-DOM-006</t>
        </is>
      </c>
      <c r="D967" s="5" t="inlineStr">
        <is>
          <t>Utilities</t>
        </is>
      </c>
      <c r="E967" s="5" t="inlineStr">
        <is>
          <t>Domestic Supply</t>
        </is>
      </c>
      <c r="F967" s="5" t="inlineStr">
        <is>
          <t>2024-08-19 08:00</t>
        </is>
      </c>
      <c r="G967" s="11" t="n">
        <v>20432.05</v>
      </c>
      <c r="H967" s="5" t="inlineStr">
        <is>
          <t>m3</t>
        </is>
      </c>
      <c r="I967" s="5" t="inlineStr">
        <is>
          <t>cumulative</t>
        </is>
      </c>
      <c r="J967" s="5" t="inlineStr">
        <is>
          <t>CD</t>
        </is>
      </c>
      <c r="K967" s="5" t="inlineStr"/>
      <c r="L967" s="7">
        <f>IFERROR(IF(F967&lt;F966,"NEGATIVE",ROUND(F967-F966,2)),"")</f>
        <v/>
      </c>
    </row>
    <row r="968" ht="22" customHeight="1">
      <c r="B968" s="8" t="inlineStr">
        <is>
          <t>R00964</t>
        </is>
      </c>
      <c r="C968" s="8" t="inlineStr">
        <is>
          <t>MTR-DOM-006</t>
        </is>
      </c>
      <c r="D968" s="8" t="inlineStr">
        <is>
          <t>Utilities</t>
        </is>
      </c>
      <c r="E968" s="8" t="inlineStr">
        <is>
          <t>Domestic Supply</t>
        </is>
      </c>
      <c r="F968" s="8" t="inlineStr">
        <is>
          <t>2024-08-20 08:00</t>
        </is>
      </c>
      <c r="G968" s="12" t="n">
        <v>20444.44</v>
      </c>
      <c r="H968" s="8" t="inlineStr">
        <is>
          <t>m3</t>
        </is>
      </c>
      <c r="I968" s="8" t="inlineStr">
        <is>
          <t>cumulative</t>
        </is>
      </c>
      <c r="J968" s="8" t="inlineStr">
        <is>
          <t>GH</t>
        </is>
      </c>
      <c r="K968" s="8" t="inlineStr"/>
      <c r="L968" s="10">
        <f>IFERROR(IF(F968&lt;F967,"NEGATIVE",ROUND(F968-F967,2)),"")</f>
        <v/>
      </c>
    </row>
    <row r="969" ht="22" customHeight="1">
      <c r="B969" s="5" t="inlineStr">
        <is>
          <t>R00965</t>
        </is>
      </c>
      <c r="C969" s="5" t="inlineStr">
        <is>
          <t>MTR-DOM-006</t>
        </is>
      </c>
      <c r="D969" s="5" t="inlineStr">
        <is>
          <t>Utilities</t>
        </is>
      </c>
      <c r="E969" s="5" t="inlineStr">
        <is>
          <t>Domestic Supply</t>
        </is>
      </c>
      <c r="F969" s="5" t="inlineStr">
        <is>
          <t>2024-08-21 08:00</t>
        </is>
      </c>
      <c r="G969" s="11" t="n">
        <v>20454.95</v>
      </c>
      <c r="H969" s="5" t="inlineStr">
        <is>
          <t>m3</t>
        </is>
      </c>
      <c r="I969" s="5" t="inlineStr">
        <is>
          <t>cumulative</t>
        </is>
      </c>
      <c r="J969" s="5" t="inlineStr">
        <is>
          <t>KL</t>
        </is>
      </c>
      <c r="K969" s="5" t="inlineStr"/>
      <c r="L969" s="7">
        <f>IFERROR(IF(F969&lt;F968,"NEGATIVE",ROUND(F969-F968,2)),"")</f>
        <v/>
      </c>
    </row>
    <row r="970" ht="22" customHeight="1">
      <c r="B970" s="8" t="inlineStr">
        <is>
          <t>R00966</t>
        </is>
      </c>
      <c r="C970" s="8" t="inlineStr">
        <is>
          <t>MTR-DOM-006</t>
        </is>
      </c>
      <c r="D970" s="8" t="inlineStr">
        <is>
          <t>Utilities</t>
        </is>
      </c>
      <c r="E970" s="8" t="inlineStr">
        <is>
          <t>Domestic Supply</t>
        </is>
      </c>
      <c r="F970" s="8" t="inlineStr">
        <is>
          <t>2024-08-22 08:00</t>
        </is>
      </c>
      <c r="G970" s="12" t="n">
        <v>20464.65</v>
      </c>
      <c r="H970" s="8" t="inlineStr">
        <is>
          <t>m3</t>
        </is>
      </c>
      <c r="I970" s="8" t="inlineStr">
        <is>
          <t>cumulative</t>
        </is>
      </c>
      <c r="J970" s="8" t="inlineStr">
        <is>
          <t>EF</t>
        </is>
      </c>
      <c r="K970" s="8" t="inlineStr"/>
      <c r="L970" s="10">
        <f>IFERROR(IF(F970&lt;F969,"NEGATIVE",ROUND(F970-F969,2)),"")</f>
        <v/>
      </c>
    </row>
    <row r="971" ht="22" customHeight="1">
      <c r="B971" s="5" t="inlineStr">
        <is>
          <t>R00967</t>
        </is>
      </c>
      <c r="C971" s="5" t="inlineStr">
        <is>
          <t>MTR-DOM-006</t>
        </is>
      </c>
      <c r="D971" s="5" t="inlineStr">
        <is>
          <t>Utilities</t>
        </is>
      </c>
      <c r="E971" s="5" t="inlineStr">
        <is>
          <t>Domestic Supply</t>
        </is>
      </c>
      <c r="F971" s="5" t="inlineStr">
        <is>
          <t>2024-08-23 08:00</t>
        </is>
      </c>
      <c r="G971" s="11" t="n">
        <v>20474.03</v>
      </c>
      <c r="H971" s="5" t="inlineStr">
        <is>
          <t>m3</t>
        </is>
      </c>
      <c r="I971" s="5" t="inlineStr">
        <is>
          <t>cumulative</t>
        </is>
      </c>
      <c r="J971" s="5" t="inlineStr">
        <is>
          <t>KL</t>
        </is>
      </c>
      <c r="K971" s="5" t="inlineStr"/>
      <c r="L971" s="7">
        <f>IFERROR(IF(F971&lt;F970,"NEGATIVE",ROUND(F971-F970,2)),"")</f>
        <v/>
      </c>
    </row>
    <row r="972" ht="22" customHeight="1">
      <c r="B972" s="8" t="inlineStr">
        <is>
          <t>R00968</t>
        </is>
      </c>
      <c r="C972" s="8" t="inlineStr">
        <is>
          <t>MTR-DOM-006</t>
        </is>
      </c>
      <c r="D972" s="8" t="inlineStr">
        <is>
          <t>Utilities</t>
        </is>
      </c>
      <c r="E972" s="8" t="inlineStr">
        <is>
          <t>Domestic Supply</t>
        </is>
      </c>
      <c r="F972" s="8" t="inlineStr">
        <is>
          <t>2024-08-24 08:00</t>
        </is>
      </c>
      <c r="G972" s="12" t="n">
        <v>20482.99</v>
      </c>
      <c r="H972" s="8" t="inlineStr">
        <is>
          <t>m3</t>
        </is>
      </c>
      <c r="I972" s="8" t="inlineStr">
        <is>
          <t>cumulative</t>
        </is>
      </c>
      <c r="J972" s="8" t="inlineStr">
        <is>
          <t>GH</t>
        </is>
      </c>
      <c r="K972" s="8" t="inlineStr"/>
      <c r="L972" s="10">
        <f>IFERROR(IF(F972&lt;F971,"NEGATIVE",ROUND(F972-F971,2)),"")</f>
        <v/>
      </c>
    </row>
    <row r="973" ht="22" customHeight="1">
      <c r="B973" s="5" t="inlineStr">
        <is>
          <t>R00969</t>
        </is>
      </c>
      <c r="C973" s="5" t="inlineStr">
        <is>
          <t>MTR-DOM-006</t>
        </is>
      </c>
      <c r="D973" s="5" t="inlineStr">
        <is>
          <t>Utilities</t>
        </is>
      </c>
      <c r="E973" s="5" t="inlineStr">
        <is>
          <t>Domestic Supply</t>
        </is>
      </c>
      <c r="F973" s="5" t="inlineStr">
        <is>
          <t>2024-08-25 08:00</t>
        </is>
      </c>
      <c r="G973" s="11" t="n">
        <v>20488.6</v>
      </c>
      <c r="H973" s="5" t="inlineStr">
        <is>
          <t>m3</t>
        </is>
      </c>
      <c r="I973" s="5" t="inlineStr">
        <is>
          <t>cumulative</t>
        </is>
      </c>
      <c r="J973" s="5" t="inlineStr">
        <is>
          <t>GH</t>
        </is>
      </c>
      <c r="K973" s="5" t="inlineStr"/>
      <c r="L973" s="7">
        <f>IFERROR(IF(F973&lt;F972,"NEGATIVE",ROUND(F973-F972,2)),"")</f>
        <v/>
      </c>
    </row>
    <row r="974" ht="22" customHeight="1">
      <c r="B974" s="8" t="inlineStr">
        <is>
          <t>R00970</t>
        </is>
      </c>
      <c r="C974" s="8" t="inlineStr">
        <is>
          <t>MTR-DOM-006</t>
        </is>
      </c>
      <c r="D974" s="8" t="inlineStr">
        <is>
          <t>Utilities</t>
        </is>
      </c>
      <c r="E974" s="8" t="inlineStr">
        <is>
          <t>Domestic Supply</t>
        </is>
      </c>
      <c r="F974" s="8" t="inlineStr">
        <is>
          <t>2024-08-26 08:00</t>
        </is>
      </c>
      <c r="G974" s="12" t="n">
        <v>20498.48</v>
      </c>
      <c r="H974" s="8" t="inlineStr">
        <is>
          <t>m3</t>
        </is>
      </c>
      <c r="I974" s="8" t="inlineStr">
        <is>
          <t>cumulative</t>
        </is>
      </c>
      <c r="J974" s="8" t="inlineStr">
        <is>
          <t>AB</t>
        </is>
      </c>
      <c r="K974" s="8" t="inlineStr"/>
      <c r="L974" s="10">
        <f>IFERROR(IF(F974&lt;F973,"NEGATIVE",ROUND(F974-F973,2)),"")</f>
        <v/>
      </c>
    </row>
    <row r="975" ht="22" customHeight="1">
      <c r="B975" s="5" t="inlineStr">
        <is>
          <t>R00971</t>
        </is>
      </c>
      <c r="C975" s="5" t="inlineStr">
        <is>
          <t>MTR-DOM-006</t>
        </is>
      </c>
      <c r="D975" s="5" t="inlineStr">
        <is>
          <t>Utilities</t>
        </is>
      </c>
      <c r="E975" s="5" t="inlineStr">
        <is>
          <t>Domestic Supply</t>
        </is>
      </c>
      <c r="F975" s="5" t="inlineStr">
        <is>
          <t>2024-08-27 08:00</t>
        </is>
      </c>
      <c r="G975" s="11" t="n">
        <v>20510.47</v>
      </c>
      <c r="H975" s="5" t="inlineStr">
        <is>
          <t>m3</t>
        </is>
      </c>
      <c r="I975" s="5" t="inlineStr">
        <is>
          <t>cumulative</t>
        </is>
      </c>
      <c r="J975" s="5" t="inlineStr">
        <is>
          <t>IJ</t>
        </is>
      </c>
      <c r="K975" s="5" t="inlineStr"/>
      <c r="L975" s="7">
        <f>IFERROR(IF(F975&lt;F974,"NEGATIVE",ROUND(F975-F974,2)),"")</f>
        <v/>
      </c>
    </row>
    <row r="976" ht="22" customHeight="1">
      <c r="B976" s="8" t="inlineStr">
        <is>
          <t>R00972</t>
        </is>
      </c>
      <c r="C976" s="8" t="inlineStr">
        <is>
          <t>MTR-DOM-006</t>
        </is>
      </c>
      <c r="D976" s="8" t="inlineStr">
        <is>
          <t>Utilities</t>
        </is>
      </c>
      <c r="E976" s="8" t="inlineStr">
        <is>
          <t>Domestic Supply</t>
        </is>
      </c>
      <c r="F976" s="8" t="inlineStr">
        <is>
          <t>2024-08-28 08:00</t>
        </is>
      </c>
      <c r="G976" s="12" t="n">
        <v>20520.7</v>
      </c>
      <c r="H976" s="8" t="inlineStr">
        <is>
          <t>m3</t>
        </is>
      </c>
      <c r="I976" s="8" t="inlineStr">
        <is>
          <t>cumulative</t>
        </is>
      </c>
      <c r="J976" s="8" t="inlineStr">
        <is>
          <t>CD</t>
        </is>
      </c>
      <c r="K976" s="8" t="inlineStr"/>
      <c r="L976" s="10">
        <f>IFERROR(IF(F976&lt;F975,"NEGATIVE",ROUND(F976-F975,2)),"")</f>
        <v/>
      </c>
    </row>
    <row r="977" ht="22" customHeight="1">
      <c r="B977" s="5" t="inlineStr">
        <is>
          <t>R00973</t>
        </is>
      </c>
      <c r="C977" s="5" t="inlineStr">
        <is>
          <t>MTR-DOM-006</t>
        </is>
      </c>
      <c r="D977" s="5" t="inlineStr">
        <is>
          <t>Utilities</t>
        </is>
      </c>
      <c r="E977" s="5" t="inlineStr">
        <is>
          <t>Domestic Supply</t>
        </is>
      </c>
      <c r="F977" s="5" t="inlineStr">
        <is>
          <t>2024-08-29 08:00</t>
        </is>
      </c>
      <c r="G977" s="11" t="n">
        <v>20532.2</v>
      </c>
      <c r="H977" s="5" t="inlineStr">
        <is>
          <t>m3</t>
        </is>
      </c>
      <c r="I977" s="5" t="inlineStr">
        <is>
          <t>cumulative</t>
        </is>
      </c>
      <c r="J977" s="5" t="inlineStr">
        <is>
          <t>KL</t>
        </is>
      </c>
      <c r="K977" s="5" t="inlineStr"/>
      <c r="L977" s="7">
        <f>IFERROR(IF(F977&lt;F976,"NEGATIVE",ROUND(F977-F976,2)),"")</f>
        <v/>
      </c>
    </row>
    <row r="978" ht="22" customHeight="1">
      <c r="B978" s="8" t="inlineStr">
        <is>
          <t>R00974</t>
        </is>
      </c>
      <c r="C978" s="8" t="inlineStr">
        <is>
          <t>MTR-DOM-006</t>
        </is>
      </c>
      <c r="D978" s="8" t="inlineStr">
        <is>
          <t>Utilities</t>
        </is>
      </c>
      <c r="E978" s="8" t="inlineStr">
        <is>
          <t>Domestic Supply</t>
        </is>
      </c>
      <c r="F978" s="8" t="inlineStr">
        <is>
          <t>2024-08-30 08:00</t>
        </is>
      </c>
      <c r="G978" s="12" t="n">
        <v>20544.54</v>
      </c>
      <c r="H978" s="8" t="inlineStr">
        <is>
          <t>m3</t>
        </is>
      </c>
      <c r="I978" s="8" t="inlineStr">
        <is>
          <t>cumulative</t>
        </is>
      </c>
      <c r="J978" s="8" t="inlineStr">
        <is>
          <t>GH</t>
        </is>
      </c>
      <c r="K978" s="8" t="inlineStr"/>
      <c r="L978" s="10">
        <f>IFERROR(IF(F978&lt;F977,"NEGATIVE",ROUND(F978-F977,2)),"")</f>
        <v/>
      </c>
    </row>
    <row r="979" ht="22" customHeight="1">
      <c r="B979" s="5" t="inlineStr">
        <is>
          <t>R00975</t>
        </is>
      </c>
      <c r="C979" s="5" t="inlineStr">
        <is>
          <t>MTR-DOM-006</t>
        </is>
      </c>
      <c r="D979" s="5" t="inlineStr">
        <is>
          <t>Utilities</t>
        </is>
      </c>
      <c r="E979" s="5" t="inlineStr">
        <is>
          <t>Domestic Supply</t>
        </is>
      </c>
      <c r="F979" s="5" t="inlineStr">
        <is>
          <t>2024-08-31 08:00</t>
        </is>
      </c>
      <c r="G979" s="11" t="n">
        <v>20553.31</v>
      </c>
      <c r="H979" s="5" t="inlineStr">
        <is>
          <t>m3</t>
        </is>
      </c>
      <c r="I979" s="5" t="inlineStr">
        <is>
          <t>cumulative</t>
        </is>
      </c>
      <c r="J979" s="5" t="inlineStr">
        <is>
          <t>AB</t>
        </is>
      </c>
      <c r="K979" s="5" t="inlineStr"/>
      <c r="L979" s="7">
        <f>IFERROR(IF(F979&lt;F978,"NEGATIVE",ROUND(F979-F978,2)),"")</f>
        <v/>
      </c>
    </row>
    <row r="980" ht="22" customHeight="1">
      <c r="B980" s="8" t="inlineStr">
        <is>
          <t>R00976</t>
        </is>
      </c>
      <c r="C980" s="8" t="inlineStr">
        <is>
          <t>MTR-DOM-006</t>
        </is>
      </c>
      <c r="D980" s="8" t="inlineStr">
        <is>
          <t>Utilities</t>
        </is>
      </c>
      <c r="E980" s="8" t="inlineStr">
        <is>
          <t>Domestic Supply</t>
        </is>
      </c>
      <c r="F980" s="8" t="inlineStr">
        <is>
          <t>2024-09-01 08:00</t>
        </is>
      </c>
      <c r="G980" s="12" t="n">
        <v>20558.94</v>
      </c>
      <c r="H980" s="8" t="inlineStr">
        <is>
          <t>m3</t>
        </is>
      </c>
      <c r="I980" s="8" t="inlineStr">
        <is>
          <t>cumulative</t>
        </is>
      </c>
      <c r="J980" s="8" t="inlineStr">
        <is>
          <t>AB</t>
        </is>
      </c>
      <c r="K980" s="8" t="inlineStr"/>
      <c r="L980" s="10">
        <f>IFERROR(IF(F980&lt;F979,"NEGATIVE",ROUND(F980-F979,2)),"")</f>
        <v/>
      </c>
    </row>
    <row r="981" ht="22" customHeight="1">
      <c r="B981" s="5" t="inlineStr">
        <is>
          <t>R00977</t>
        </is>
      </c>
      <c r="C981" s="5" t="inlineStr">
        <is>
          <t>MTR-DOM-006</t>
        </is>
      </c>
      <c r="D981" s="5" t="inlineStr">
        <is>
          <t>Utilities</t>
        </is>
      </c>
      <c r="E981" s="5" t="inlineStr">
        <is>
          <t>Domestic Supply</t>
        </is>
      </c>
      <c r="F981" s="5" t="inlineStr">
        <is>
          <t>2024-09-02 08:00</t>
        </is>
      </c>
      <c r="G981" s="11" t="n">
        <v>20568.26</v>
      </c>
      <c r="H981" s="5" t="inlineStr">
        <is>
          <t>m3</t>
        </is>
      </c>
      <c r="I981" s="5" t="inlineStr">
        <is>
          <t>cumulative</t>
        </is>
      </c>
      <c r="J981" s="5" t="inlineStr">
        <is>
          <t>KL</t>
        </is>
      </c>
      <c r="K981" s="5" t="inlineStr"/>
      <c r="L981" s="7">
        <f>IFERROR(IF(F981&lt;F980,"NEGATIVE",ROUND(F981-F980,2)),"")</f>
        <v/>
      </c>
    </row>
    <row r="982" ht="22" customHeight="1">
      <c r="B982" s="8" t="inlineStr">
        <is>
          <t>R00978</t>
        </is>
      </c>
      <c r="C982" s="8" t="inlineStr">
        <is>
          <t>MTR-DOM-006</t>
        </is>
      </c>
      <c r="D982" s="8" t="inlineStr">
        <is>
          <t>Utilities</t>
        </is>
      </c>
      <c r="E982" s="8" t="inlineStr">
        <is>
          <t>Domestic Supply</t>
        </is>
      </c>
      <c r="F982" s="8" t="inlineStr">
        <is>
          <t>2024-09-03 08:00</t>
        </is>
      </c>
      <c r="G982" s="12" t="n">
        <v>20579.72</v>
      </c>
      <c r="H982" s="8" t="inlineStr">
        <is>
          <t>m3</t>
        </is>
      </c>
      <c r="I982" s="8" t="inlineStr">
        <is>
          <t>cumulative</t>
        </is>
      </c>
      <c r="J982" s="8" t="inlineStr">
        <is>
          <t>CD</t>
        </is>
      </c>
      <c r="K982" s="8" t="inlineStr"/>
      <c r="L982" s="10">
        <f>IFERROR(IF(F982&lt;F981,"NEGATIVE",ROUND(F982-F981,2)),"")</f>
        <v/>
      </c>
    </row>
    <row r="983" ht="22" customHeight="1">
      <c r="B983" s="5" t="inlineStr">
        <is>
          <t>R00979</t>
        </is>
      </c>
      <c r="C983" s="5" t="inlineStr">
        <is>
          <t>MTR-DOM-006</t>
        </is>
      </c>
      <c r="D983" s="5" t="inlineStr">
        <is>
          <t>Utilities</t>
        </is>
      </c>
      <c r="E983" s="5" t="inlineStr">
        <is>
          <t>Domestic Supply</t>
        </is>
      </c>
      <c r="F983" s="5" t="inlineStr">
        <is>
          <t>2024-09-04 08:00</t>
        </is>
      </c>
      <c r="G983" s="11" t="n">
        <v>20591.3</v>
      </c>
      <c r="H983" s="5" t="inlineStr">
        <is>
          <t>m3</t>
        </is>
      </c>
      <c r="I983" s="5" t="inlineStr">
        <is>
          <t>cumulative</t>
        </is>
      </c>
      <c r="J983" s="5" t="inlineStr">
        <is>
          <t>AB</t>
        </is>
      </c>
      <c r="K983" s="5" t="inlineStr"/>
      <c r="L983" s="7">
        <f>IFERROR(IF(F983&lt;F982,"NEGATIVE",ROUND(F983-F982,2)),"")</f>
        <v/>
      </c>
    </row>
    <row r="984" ht="22" customHeight="1">
      <c r="B984" s="8" t="inlineStr">
        <is>
          <t>R00980</t>
        </is>
      </c>
      <c r="C984" s="8" t="inlineStr">
        <is>
          <t>MTR-DOM-006</t>
        </is>
      </c>
      <c r="D984" s="8" t="inlineStr">
        <is>
          <t>Utilities</t>
        </is>
      </c>
      <c r="E984" s="8" t="inlineStr">
        <is>
          <t>Domestic Supply</t>
        </is>
      </c>
      <c r="F984" s="8" t="inlineStr">
        <is>
          <t>2024-09-05 08:00</t>
        </is>
      </c>
      <c r="G984" s="12" t="n">
        <v>20603.43</v>
      </c>
      <c r="H984" s="8" t="inlineStr">
        <is>
          <t>m3</t>
        </is>
      </c>
      <c r="I984" s="8" t="inlineStr">
        <is>
          <t>cumulative</t>
        </is>
      </c>
      <c r="J984" s="8" t="inlineStr">
        <is>
          <t>KL</t>
        </is>
      </c>
      <c r="K984" s="8" t="inlineStr"/>
      <c r="L984" s="10">
        <f>IFERROR(IF(F984&lt;F983,"NEGATIVE",ROUND(F984-F983,2)),"")</f>
        <v/>
      </c>
    </row>
    <row r="985" ht="22" customHeight="1">
      <c r="B985" s="5" t="inlineStr">
        <is>
          <t>R00981</t>
        </is>
      </c>
      <c r="C985" s="5" t="inlineStr">
        <is>
          <t>MTR-DOM-006</t>
        </is>
      </c>
      <c r="D985" s="5" t="inlineStr">
        <is>
          <t>Utilities</t>
        </is>
      </c>
      <c r="E985" s="5" t="inlineStr">
        <is>
          <t>Domestic Supply</t>
        </is>
      </c>
      <c r="F985" s="5" t="inlineStr">
        <is>
          <t>2024-09-06 08:00</t>
        </is>
      </c>
      <c r="G985" s="11" t="n">
        <v>20613.22</v>
      </c>
      <c r="H985" s="5" t="inlineStr">
        <is>
          <t>m3</t>
        </is>
      </c>
      <c r="I985" s="5" t="inlineStr">
        <is>
          <t>cumulative</t>
        </is>
      </c>
      <c r="J985" s="5" t="inlineStr">
        <is>
          <t>KL</t>
        </is>
      </c>
      <c r="K985" s="5" t="inlineStr"/>
      <c r="L985" s="7">
        <f>IFERROR(IF(F985&lt;F984,"NEGATIVE",ROUND(F985-F984,2)),"")</f>
        <v/>
      </c>
    </row>
    <row r="986" ht="22" customHeight="1">
      <c r="B986" s="8" t="inlineStr">
        <is>
          <t>R00982</t>
        </is>
      </c>
      <c r="C986" s="8" t="inlineStr">
        <is>
          <t>MTR-DOM-006</t>
        </is>
      </c>
      <c r="D986" s="8" t="inlineStr">
        <is>
          <t>Utilities</t>
        </is>
      </c>
      <c r="E986" s="8" t="inlineStr">
        <is>
          <t>Domestic Supply</t>
        </is>
      </c>
      <c r="F986" s="8" t="inlineStr">
        <is>
          <t>2024-09-07 08:00</t>
        </is>
      </c>
      <c r="G986" s="12" t="n">
        <v>20621.66</v>
      </c>
      <c r="H986" s="8" t="inlineStr">
        <is>
          <t>m3</t>
        </is>
      </c>
      <c r="I986" s="8" t="inlineStr">
        <is>
          <t>cumulative</t>
        </is>
      </c>
      <c r="J986" s="8" t="inlineStr">
        <is>
          <t>KL</t>
        </is>
      </c>
      <c r="K986" s="8" t="inlineStr"/>
      <c r="L986" s="10">
        <f>IFERROR(IF(F986&lt;F985,"NEGATIVE",ROUND(F986-F985,2)),"")</f>
        <v/>
      </c>
    </row>
    <row r="987" ht="22" customHeight="1">
      <c r="B987" s="5" t="inlineStr">
        <is>
          <t>R00983</t>
        </is>
      </c>
      <c r="C987" s="5" t="inlineStr">
        <is>
          <t>MTR-DOM-006</t>
        </is>
      </c>
      <c r="D987" s="5" t="inlineStr">
        <is>
          <t>Utilities</t>
        </is>
      </c>
      <c r="E987" s="5" t="inlineStr">
        <is>
          <t>Domestic Supply</t>
        </is>
      </c>
      <c r="F987" s="5" t="inlineStr">
        <is>
          <t>2024-09-08 08:00</t>
        </is>
      </c>
      <c r="G987" s="11" t="n">
        <v>20627.82</v>
      </c>
      <c r="H987" s="5" t="inlineStr">
        <is>
          <t>m3</t>
        </is>
      </c>
      <c r="I987" s="5" t="inlineStr">
        <is>
          <t>cumulative</t>
        </is>
      </c>
      <c r="J987" s="5" t="inlineStr">
        <is>
          <t>KL</t>
        </is>
      </c>
      <c r="K987" s="5" t="inlineStr"/>
      <c r="L987" s="7">
        <f>IFERROR(IF(F987&lt;F986,"NEGATIVE",ROUND(F987-F986,2)),"")</f>
        <v/>
      </c>
    </row>
    <row r="988" ht="22" customHeight="1">
      <c r="B988" s="8" t="inlineStr">
        <is>
          <t>R00984</t>
        </is>
      </c>
      <c r="C988" s="8" t="inlineStr">
        <is>
          <t>MTR-DOM-006</t>
        </is>
      </c>
      <c r="D988" s="8" t="inlineStr">
        <is>
          <t>Utilities</t>
        </is>
      </c>
      <c r="E988" s="8" t="inlineStr">
        <is>
          <t>Domestic Supply</t>
        </is>
      </c>
      <c r="F988" s="8" t="inlineStr">
        <is>
          <t>2024-09-09 08:00</t>
        </is>
      </c>
      <c r="G988" s="12" t="n">
        <v>20639.44</v>
      </c>
      <c r="H988" s="8" t="inlineStr">
        <is>
          <t>m3</t>
        </is>
      </c>
      <c r="I988" s="8" t="inlineStr">
        <is>
          <t>cumulative</t>
        </is>
      </c>
      <c r="J988" s="8" t="inlineStr">
        <is>
          <t>GH</t>
        </is>
      </c>
      <c r="K988" s="8" t="inlineStr"/>
      <c r="L988" s="10">
        <f>IFERROR(IF(F988&lt;F987,"NEGATIVE",ROUND(F988-F987,2)),"")</f>
        <v/>
      </c>
    </row>
    <row r="989" ht="22" customHeight="1">
      <c r="B989" s="5" t="inlineStr">
        <is>
          <t>R00985</t>
        </is>
      </c>
      <c r="C989" s="5" t="inlineStr">
        <is>
          <t>MTR-DOM-006</t>
        </is>
      </c>
      <c r="D989" s="5" t="inlineStr">
        <is>
          <t>Utilities</t>
        </is>
      </c>
      <c r="E989" s="5" t="inlineStr">
        <is>
          <t>Domestic Supply</t>
        </is>
      </c>
      <c r="F989" s="5" t="inlineStr">
        <is>
          <t>2024-09-10 08:00</t>
        </is>
      </c>
      <c r="G989" s="11" t="n">
        <v>20648.75</v>
      </c>
      <c r="H989" s="5" t="inlineStr">
        <is>
          <t>m3</t>
        </is>
      </c>
      <c r="I989" s="5" t="inlineStr">
        <is>
          <t>cumulative</t>
        </is>
      </c>
      <c r="J989" s="5" t="inlineStr">
        <is>
          <t>GH</t>
        </is>
      </c>
      <c r="K989" s="5" t="inlineStr"/>
      <c r="L989" s="7">
        <f>IFERROR(IF(F989&lt;F988,"NEGATIVE",ROUND(F989-F988,2)),"")</f>
        <v/>
      </c>
    </row>
    <row r="990" ht="22" customHeight="1">
      <c r="B990" s="8" t="inlineStr">
        <is>
          <t>R00986</t>
        </is>
      </c>
      <c r="C990" s="8" t="inlineStr">
        <is>
          <t>MTR-DOM-006</t>
        </is>
      </c>
      <c r="D990" s="8" t="inlineStr">
        <is>
          <t>Utilities</t>
        </is>
      </c>
      <c r="E990" s="8" t="inlineStr">
        <is>
          <t>Domestic Supply</t>
        </is>
      </c>
      <c r="F990" s="8" t="inlineStr">
        <is>
          <t>2024-09-11 08:00</t>
        </is>
      </c>
      <c r="G990" s="12" t="n">
        <v>20658.7</v>
      </c>
      <c r="H990" s="8" t="inlineStr">
        <is>
          <t>m3</t>
        </is>
      </c>
      <c r="I990" s="8" t="inlineStr">
        <is>
          <t>cumulative</t>
        </is>
      </c>
      <c r="J990" s="8" t="inlineStr">
        <is>
          <t>EF</t>
        </is>
      </c>
      <c r="K990" s="8" t="inlineStr"/>
      <c r="L990" s="10">
        <f>IFERROR(IF(F990&lt;F989,"NEGATIVE",ROUND(F990-F989,2)),"")</f>
        <v/>
      </c>
    </row>
    <row r="991" ht="22" customHeight="1">
      <c r="B991" s="5" t="inlineStr">
        <is>
          <t>R00987</t>
        </is>
      </c>
      <c r="C991" s="5" t="inlineStr">
        <is>
          <t>MTR-DOM-006</t>
        </is>
      </c>
      <c r="D991" s="5" t="inlineStr">
        <is>
          <t>Utilities</t>
        </is>
      </c>
      <c r="E991" s="5" t="inlineStr">
        <is>
          <t>Domestic Supply</t>
        </is>
      </c>
      <c r="F991" s="5" t="inlineStr">
        <is>
          <t>2024-09-12 08:00</t>
        </is>
      </c>
      <c r="G991" s="11" t="n">
        <v>20669.92</v>
      </c>
      <c r="H991" s="5" t="inlineStr">
        <is>
          <t>m3</t>
        </is>
      </c>
      <c r="I991" s="5" t="inlineStr">
        <is>
          <t>cumulative</t>
        </is>
      </c>
      <c r="J991" s="5" t="inlineStr">
        <is>
          <t>CD</t>
        </is>
      </c>
      <c r="K991" s="5" t="inlineStr"/>
      <c r="L991" s="7">
        <f>IFERROR(IF(F991&lt;F990,"NEGATIVE",ROUND(F991-F990,2)),"")</f>
        <v/>
      </c>
    </row>
    <row r="992" ht="22" customHeight="1">
      <c r="B992" s="8" t="inlineStr">
        <is>
          <t>R00988</t>
        </is>
      </c>
      <c r="C992" s="8" t="inlineStr">
        <is>
          <t>MTR-DOM-006</t>
        </is>
      </c>
      <c r="D992" s="8" t="inlineStr">
        <is>
          <t>Utilities</t>
        </is>
      </c>
      <c r="E992" s="8" t="inlineStr">
        <is>
          <t>Domestic Supply</t>
        </is>
      </c>
      <c r="F992" s="8" t="inlineStr">
        <is>
          <t>2024-09-13 08:00</t>
        </is>
      </c>
      <c r="G992" s="12" t="n">
        <v>20678.95</v>
      </c>
      <c r="H992" s="8" t="inlineStr">
        <is>
          <t>m3</t>
        </is>
      </c>
      <c r="I992" s="8" t="inlineStr">
        <is>
          <t>cumulative</t>
        </is>
      </c>
      <c r="J992" s="8" t="inlineStr">
        <is>
          <t>KL</t>
        </is>
      </c>
      <c r="K992" s="8" t="inlineStr"/>
      <c r="L992" s="10">
        <f>IFERROR(IF(F992&lt;F991,"NEGATIVE",ROUND(F992-F991,2)),"")</f>
        <v/>
      </c>
    </row>
    <row r="993" ht="22" customHeight="1">
      <c r="B993" s="5" t="inlineStr">
        <is>
          <t>R00989</t>
        </is>
      </c>
      <c r="C993" s="5" t="inlineStr">
        <is>
          <t>MTR-DOM-006</t>
        </is>
      </c>
      <c r="D993" s="5" t="inlineStr">
        <is>
          <t>Utilities</t>
        </is>
      </c>
      <c r="E993" s="5" t="inlineStr">
        <is>
          <t>Domestic Supply</t>
        </is>
      </c>
      <c r="F993" s="5" t="inlineStr">
        <is>
          <t>2024-09-14 08:00</t>
        </is>
      </c>
      <c r="G993" s="11" t="n">
        <v>20686.5</v>
      </c>
      <c r="H993" s="5" t="inlineStr">
        <is>
          <t>m3</t>
        </is>
      </c>
      <c r="I993" s="5" t="inlineStr">
        <is>
          <t>cumulative</t>
        </is>
      </c>
      <c r="J993" s="5" t="inlineStr">
        <is>
          <t>EF</t>
        </is>
      </c>
      <c r="K993" s="5" t="inlineStr"/>
      <c r="L993" s="7">
        <f>IFERROR(IF(F993&lt;F992,"NEGATIVE",ROUND(F993-F992,2)),"")</f>
        <v/>
      </c>
    </row>
    <row r="994" ht="22" customHeight="1">
      <c r="B994" s="8" t="inlineStr">
        <is>
          <t>R00990</t>
        </is>
      </c>
      <c r="C994" s="8" t="inlineStr">
        <is>
          <t>MTR-DOM-006</t>
        </is>
      </c>
      <c r="D994" s="8" t="inlineStr">
        <is>
          <t>Utilities</t>
        </is>
      </c>
      <c r="E994" s="8" t="inlineStr">
        <is>
          <t>Domestic Supply</t>
        </is>
      </c>
      <c r="F994" s="8" t="inlineStr">
        <is>
          <t>2024-09-15 08:00</t>
        </is>
      </c>
      <c r="G994" s="12" t="n">
        <v>20692.29</v>
      </c>
      <c r="H994" s="8" t="inlineStr">
        <is>
          <t>m3</t>
        </is>
      </c>
      <c r="I994" s="8" t="inlineStr">
        <is>
          <t>cumulative</t>
        </is>
      </c>
      <c r="J994" s="8" t="inlineStr">
        <is>
          <t>GH</t>
        </is>
      </c>
      <c r="K994" s="8" t="inlineStr"/>
      <c r="L994" s="10">
        <f>IFERROR(IF(F994&lt;F993,"NEGATIVE",ROUND(F994-F993,2)),"")</f>
        <v/>
      </c>
    </row>
    <row r="995" ht="22" customHeight="1">
      <c r="B995" s="5" t="inlineStr">
        <is>
          <t>R00991</t>
        </is>
      </c>
      <c r="C995" s="5" t="inlineStr">
        <is>
          <t>MTR-DOM-006</t>
        </is>
      </c>
      <c r="D995" s="5" t="inlineStr">
        <is>
          <t>Utilities</t>
        </is>
      </c>
      <c r="E995" s="5" t="inlineStr">
        <is>
          <t>Domestic Supply</t>
        </is>
      </c>
      <c r="F995" s="5" t="inlineStr">
        <is>
          <t>2024-09-16 08:00</t>
        </is>
      </c>
      <c r="G995" s="11" t="n">
        <v>20701.73</v>
      </c>
      <c r="H995" s="5" t="inlineStr">
        <is>
          <t>m3</t>
        </is>
      </c>
      <c r="I995" s="5" t="inlineStr">
        <is>
          <t>cumulative</t>
        </is>
      </c>
      <c r="J995" s="5" t="inlineStr">
        <is>
          <t>AB</t>
        </is>
      </c>
      <c r="K995" s="5" t="inlineStr"/>
      <c r="L995" s="7">
        <f>IFERROR(IF(F995&lt;F994,"NEGATIVE",ROUND(F995-F994,2)),"")</f>
        <v/>
      </c>
    </row>
    <row r="996" ht="22" customHeight="1">
      <c r="B996" s="8" t="inlineStr">
        <is>
          <t>R00992</t>
        </is>
      </c>
      <c r="C996" s="8" t="inlineStr">
        <is>
          <t>MTR-DOM-006</t>
        </is>
      </c>
      <c r="D996" s="8" t="inlineStr">
        <is>
          <t>Utilities</t>
        </is>
      </c>
      <c r="E996" s="8" t="inlineStr">
        <is>
          <t>Domestic Supply</t>
        </is>
      </c>
      <c r="F996" s="8" t="inlineStr">
        <is>
          <t>2024-09-17 08:00</t>
        </is>
      </c>
      <c r="G996" s="12" t="n">
        <v>20712.63</v>
      </c>
      <c r="H996" s="8" t="inlineStr">
        <is>
          <t>m3</t>
        </is>
      </c>
      <c r="I996" s="8" t="inlineStr">
        <is>
          <t>cumulative</t>
        </is>
      </c>
      <c r="J996" s="8" t="inlineStr">
        <is>
          <t>KL</t>
        </is>
      </c>
      <c r="K996" s="8" t="inlineStr"/>
      <c r="L996" s="10">
        <f>IFERROR(IF(F996&lt;F995,"NEGATIVE",ROUND(F996-F995,2)),"")</f>
        <v/>
      </c>
    </row>
    <row r="997" ht="22" customHeight="1">
      <c r="B997" s="5" t="inlineStr">
        <is>
          <t>R00993</t>
        </is>
      </c>
      <c r="C997" s="5" t="inlineStr">
        <is>
          <t>MTR-DOM-006</t>
        </is>
      </c>
      <c r="D997" s="5" t="inlineStr">
        <is>
          <t>Utilities</t>
        </is>
      </c>
      <c r="E997" s="5" t="inlineStr">
        <is>
          <t>Domestic Supply</t>
        </is>
      </c>
      <c r="F997" s="5" t="inlineStr">
        <is>
          <t>2024-09-18 08:00</t>
        </is>
      </c>
      <c r="G997" s="11" t="n">
        <v>20722.56</v>
      </c>
      <c r="H997" s="5" t="inlineStr">
        <is>
          <t>m3</t>
        </is>
      </c>
      <c r="I997" s="5" t="inlineStr">
        <is>
          <t>cumulative</t>
        </is>
      </c>
      <c r="J997" s="5" t="inlineStr">
        <is>
          <t>AB</t>
        </is>
      </c>
      <c r="K997" s="5" t="inlineStr"/>
      <c r="L997" s="7">
        <f>IFERROR(IF(F997&lt;F996,"NEGATIVE",ROUND(F997-F996,2)),"")</f>
        <v/>
      </c>
    </row>
    <row r="998" ht="22" customHeight="1">
      <c r="B998" s="8" t="inlineStr">
        <is>
          <t>R00994</t>
        </is>
      </c>
      <c r="C998" s="8" t="inlineStr">
        <is>
          <t>MTR-DOM-006</t>
        </is>
      </c>
      <c r="D998" s="8" t="inlineStr">
        <is>
          <t>Utilities</t>
        </is>
      </c>
      <c r="E998" s="8" t="inlineStr">
        <is>
          <t>Domestic Supply</t>
        </is>
      </c>
      <c r="F998" s="8" t="inlineStr">
        <is>
          <t>2024-09-19 08:00</t>
        </is>
      </c>
      <c r="G998" s="12" t="n">
        <v>20734.69</v>
      </c>
      <c r="H998" s="8" t="inlineStr">
        <is>
          <t>m3</t>
        </is>
      </c>
      <c r="I998" s="8" t="inlineStr">
        <is>
          <t>cumulative</t>
        </is>
      </c>
      <c r="J998" s="8" t="inlineStr">
        <is>
          <t>EF</t>
        </is>
      </c>
      <c r="K998" s="8" t="inlineStr"/>
      <c r="L998" s="10">
        <f>IFERROR(IF(F998&lt;F997,"NEGATIVE",ROUND(F998-F997,2)),"")</f>
        <v/>
      </c>
    </row>
    <row r="999" ht="22" customHeight="1">
      <c r="B999" s="5" t="inlineStr">
        <is>
          <t>R00995</t>
        </is>
      </c>
      <c r="C999" s="5" t="inlineStr">
        <is>
          <t>MTR-DOM-006</t>
        </is>
      </c>
      <c r="D999" s="5" t="inlineStr">
        <is>
          <t>Utilities</t>
        </is>
      </c>
      <c r="E999" s="5" t="inlineStr">
        <is>
          <t>Domestic Supply</t>
        </is>
      </c>
      <c r="F999" s="5" t="inlineStr">
        <is>
          <t>2024-09-20 08:00</t>
        </is>
      </c>
      <c r="G999" s="11" t="n">
        <v>20743.73</v>
      </c>
      <c r="H999" s="5" t="inlineStr">
        <is>
          <t>m3</t>
        </is>
      </c>
      <c r="I999" s="5" t="inlineStr">
        <is>
          <t>cumulative</t>
        </is>
      </c>
      <c r="J999" s="5" t="inlineStr">
        <is>
          <t>CD</t>
        </is>
      </c>
      <c r="K999" s="5" t="inlineStr"/>
      <c r="L999" s="7">
        <f>IFERROR(IF(F999&lt;F998,"NEGATIVE",ROUND(F999-F998,2)),"")</f>
        <v/>
      </c>
    </row>
    <row r="1000" ht="22" customHeight="1">
      <c r="B1000" s="8" t="inlineStr">
        <is>
          <t>R00996</t>
        </is>
      </c>
      <c r="C1000" s="8" t="inlineStr">
        <is>
          <t>MTR-DOM-006</t>
        </is>
      </c>
      <c r="D1000" s="8" t="inlineStr">
        <is>
          <t>Utilities</t>
        </is>
      </c>
      <c r="E1000" s="8" t="inlineStr">
        <is>
          <t>Domestic Supply</t>
        </is>
      </c>
      <c r="F1000" s="8" t="inlineStr">
        <is>
          <t>2024-09-21 08:00</t>
        </is>
      </c>
      <c r="G1000" s="12" t="n">
        <v>20751.22</v>
      </c>
      <c r="H1000" s="8" t="inlineStr">
        <is>
          <t>m3</t>
        </is>
      </c>
      <c r="I1000" s="8" t="inlineStr">
        <is>
          <t>cumulative</t>
        </is>
      </c>
      <c r="J1000" s="8" t="inlineStr">
        <is>
          <t>IJ</t>
        </is>
      </c>
      <c r="K1000" s="8" t="inlineStr"/>
      <c r="L1000" s="10">
        <f>IFERROR(IF(F1000&lt;F999,"NEGATIVE",ROUND(F1000-F999,2)),"")</f>
        <v/>
      </c>
    </row>
    <row r="1001" ht="22" customHeight="1">
      <c r="B1001" s="5" t="inlineStr">
        <is>
          <t>R00997</t>
        </is>
      </c>
      <c r="C1001" s="5" t="inlineStr">
        <is>
          <t>MTR-DOM-006</t>
        </is>
      </c>
      <c r="D1001" s="5" t="inlineStr">
        <is>
          <t>Utilities</t>
        </is>
      </c>
      <c r="E1001" s="5" t="inlineStr">
        <is>
          <t>Domestic Supply</t>
        </is>
      </c>
      <c r="F1001" s="5" t="inlineStr">
        <is>
          <t>2024-09-22 08:00</t>
        </is>
      </c>
      <c r="G1001" s="11" t="n">
        <v>20756.91</v>
      </c>
      <c r="H1001" s="5" t="inlineStr">
        <is>
          <t>m3</t>
        </is>
      </c>
      <c r="I1001" s="5" t="inlineStr">
        <is>
          <t>cumulative</t>
        </is>
      </c>
      <c r="J1001" s="5" t="inlineStr">
        <is>
          <t>KL</t>
        </is>
      </c>
      <c r="K1001" s="5" t="inlineStr"/>
      <c r="L1001" s="7">
        <f>IFERROR(IF(F1001&lt;F1000,"NEGATIVE",ROUND(F1001-F1000,2)),"")</f>
        <v/>
      </c>
    </row>
    <row r="1002" ht="22" customHeight="1">
      <c r="B1002" s="8" t="inlineStr">
        <is>
          <t>R00998</t>
        </is>
      </c>
      <c r="C1002" s="8" t="inlineStr">
        <is>
          <t>MTR-DOM-006</t>
        </is>
      </c>
      <c r="D1002" s="8" t="inlineStr">
        <is>
          <t>Utilities</t>
        </is>
      </c>
      <c r="E1002" s="8" t="inlineStr">
        <is>
          <t>Domestic Supply</t>
        </is>
      </c>
      <c r="F1002" s="8" t="inlineStr">
        <is>
          <t>2024-09-23 08:00</t>
        </is>
      </c>
      <c r="G1002" s="12" t="n">
        <v>20767.35</v>
      </c>
      <c r="H1002" s="8" t="inlineStr">
        <is>
          <t>m3</t>
        </is>
      </c>
      <c r="I1002" s="8" t="inlineStr">
        <is>
          <t>cumulative</t>
        </is>
      </c>
      <c r="J1002" s="8" t="inlineStr">
        <is>
          <t>IJ</t>
        </is>
      </c>
      <c r="K1002" s="8" t="inlineStr"/>
      <c r="L1002" s="10">
        <f>IFERROR(IF(F1002&lt;F1001,"NEGATIVE",ROUND(F1002-F1001,2)),"")</f>
        <v/>
      </c>
    </row>
    <row r="1003" ht="22" customHeight="1">
      <c r="B1003" s="5" t="inlineStr">
        <is>
          <t>R00999</t>
        </is>
      </c>
      <c r="C1003" s="5" t="inlineStr">
        <is>
          <t>MTR-DOM-006</t>
        </is>
      </c>
      <c r="D1003" s="5" t="inlineStr">
        <is>
          <t>Utilities</t>
        </is>
      </c>
      <c r="E1003" s="5" t="inlineStr">
        <is>
          <t>Domestic Supply</t>
        </is>
      </c>
      <c r="F1003" s="5" t="inlineStr">
        <is>
          <t>2024-09-24 08:00</t>
        </is>
      </c>
      <c r="G1003" s="11" t="n">
        <v>20779.37</v>
      </c>
      <c r="H1003" s="5" t="inlineStr">
        <is>
          <t>m3</t>
        </is>
      </c>
      <c r="I1003" s="5" t="inlineStr">
        <is>
          <t>cumulative</t>
        </is>
      </c>
      <c r="J1003" s="5" t="inlineStr">
        <is>
          <t>IJ</t>
        </is>
      </c>
      <c r="K1003" s="5" t="inlineStr"/>
      <c r="L1003" s="7">
        <f>IFERROR(IF(F1003&lt;F1002,"NEGATIVE",ROUND(F1003-F1002,2)),"")</f>
        <v/>
      </c>
    </row>
    <row r="1004" ht="22" customHeight="1">
      <c r="B1004" s="8" t="inlineStr">
        <is>
          <t>R01000</t>
        </is>
      </c>
      <c r="C1004" s="8" t="inlineStr">
        <is>
          <t>MTR-DOM-006</t>
        </is>
      </c>
      <c r="D1004" s="8" t="inlineStr">
        <is>
          <t>Utilities</t>
        </is>
      </c>
      <c r="E1004" s="8" t="inlineStr">
        <is>
          <t>Domestic Supply</t>
        </is>
      </c>
      <c r="F1004" s="8" t="inlineStr">
        <is>
          <t>2024-09-25 08:00</t>
        </is>
      </c>
      <c r="G1004" s="12" t="n">
        <v>20789.43</v>
      </c>
      <c r="H1004" s="8" t="inlineStr">
        <is>
          <t>m3</t>
        </is>
      </c>
      <c r="I1004" s="8" t="inlineStr">
        <is>
          <t>cumulative</t>
        </is>
      </c>
      <c r="J1004" s="8" t="inlineStr">
        <is>
          <t>GH</t>
        </is>
      </c>
      <c r="K1004" s="8" t="inlineStr"/>
      <c r="L1004" s="10">
        <f>IFERROR(IF(F1004&lt;F1003,"NEGATIVE",ROUND(F1004-F1003,2)),"")</f>
        <v/>
      </c>
    </row>
    <row r="1005" ht="22" customHeight="1">
      <c r="B1005" s="5" t="inlineStr">
        <is>
          <t>R01001</t>
        </is>
      </c>
      <c r="C1005" s="5" t="inlineStr">
        <is>
          <t>MTR-DOM-006</t>
        </is>
      </c>
      <c r="D1005" s="5" t="inlineStr">
        <is>
          <t>Utilities</t>
        </is>
      </c>
      <c r="E1005" s="5" t="inlineStr">
        <is>
          <t>Domestic Supply</t>
        </is>
      </c>
      <c r="F1005" s="5" t="inlineStr">
        <is>
          <t>2024-09-26 08:00</t>
        </is>
      </c>
      <c r="G1005" s="11" t="n">
        <v>20798.96</v>
      </c>
      <c r="H1005" s="5" t="inlineStr">
        <is>
          <t>m3</t>
        </is>
      </c>
      <c r="I1005" s="5" t="inlineStr">
        <is>
          <t>cumulative</t>
        </is>
      </c>
      <c r="J1005" s="5" t="inlineStr">
        <is>
          <t>CD</t>
        </is>
      </c>
      <c r="K1005" s="5" t="inlineStr"/>
      <c r="L1005" s="7">
        <f>IFERROR(IF(F1005&lt;F1004,"NEGATIVE",ROUND(F1005-F1004,2)),"")</f>
        <v/>
      </c>
    </row>
    <row r="1006" ht="22" customHeight="1">
      <c r="B1006" s="8" t="inlineStr">
        <is>
          <t>R01002</t>
        </is>
      </c>
      <c r="C1006" s="8" t="inlineStr">
        <is>
          <t>MTR-DOM-006</t>
        </is>
      </c>
      <c r="D1006" s="8" t="inlineStr">
        <is>
          <t>Utilities</t>
        </is>
      </c>
      <c r="E1006" s="8" t="inlineStr">
        <is>
          <t>Domestic Supply</t>
        </is>
      </c>
      <c r="F1006" s="8" t="inlineStr">
        <is>
          <t>2024-09-27 08:00</t>
        </is>
      </c>
      <c r="G1006" s="12" t="n">
        <v>20808.73</v>
      </c>
      <c r="H1006" s="8" t="inlineStr">
        <is>
          <t>m3</t>
        </is>
      </c>
      <c r="I1006" s="8" t="inlineStr">
        <is>
          <t>cumulative</t>
        </is>
      </c>
      <c r="J1006" s="8" t="inlineStr">
        <is>
          <t>GH</t>
        </is>
      </c>
      <c r="K1006" s="8" t="inlineStr"/>
      <c r="L1006" s="10">
        <f>IFERROR(IF(F1006&lt;F1005,"NEGATIVE",ROUND(F1006-F1005,2)),"")</f>
        <v/>
      </c>
    </row>
    <row r="1007" ht="22" customHeight="1">
      <c r="B1007" s="5" t="inlineStr">
        <is>
          <t>R01003</t>
        </is>
      </c>
      <c r="C1007" s="5" t="inlineStr">
        <is>
          <t>MTR-DOM-006</t>
        </is>
      </c>
      <c r="D1007" s="5" t="inlineStr">
        <is>
          <t>Utilities</t>
        </is>
      </c>
      <c r="E1007" s="5" t="inlineStr">
        <is>
          <t>Domestic Supply</t>
        </is>
      </c>
      <c r="F1007" s="5" t="inlineStr">
        <is>
          <t>2024-09-28 08:00</t>
        </is>
      </c>
      <c r="G1007" s="11" t="n">
        <v>20817.08</v>
      </c>
      <c r="H1007" s="5" t="inlineStr">
        <is>
          <t>m3</t>
        </is>
      </c>
      <c r="I1007" s="5" t="inlineStr">
        <is>
          <t>cumulative</t>
        </is>
      </c>
      <c r="J1007" s="5" t="inlineStr">
        <is>
          <t>KL</t>
        </is>
      </c>
      <c r="K1007" s="5" t="inlineStr"/>
      <c r="L1007" s="7">
        <f>IFERROR(IF(F1007&lt;F1006,"NEGATIVE",ROUND(F1007-F1006,2)),"")</f>
        <v/>
      </c>
    </row>
    <row r="1008" ht="22" customHeight="1">
      <c r="B1008" s="8" t="inlineStr">
        <is>
          <t>R01004</t>
        </is>
      </c>
      <c r="C1008" s="8" t="inlineStr">
        <is>
          <t>MTR-DOM-006</t>
        </is>
      </c>
      <c r="D1008" s="8" t="inlineStr">
        <is>
          <t>Utilities</t>
        </is>
      </c>
      <c r="E1008" s="8" t="inlineStr">
        <is>
          <t>Domestic Supply</t>
        </is>
      </c>
      <c r="F1008" s="8" t="inlineStr">
        <is>
          <t>2024-09-29 08:00</t>
        </is>
      </c>
      <c r="G1008" s="12" t="n">
        <v>20821.91</v>
      </c>
      <c r="H1008" s="8" t="inlineStr">
        <is>
          <t>m3</t>
        </is>
      </c>
      <c r="I1008" s="8" t="inlineStr">
        <is>
          <t>cumulative</t>
        </is>
      </c>
      <c r="J1008" s="8" t="inlineStr">
        <is>
          <t>GH</t>
        </is>
      </c>
      <c r="K1008" s="8" t="inlineStr"/>
      <c r="L1008" s="10">
        <f>IFERROR(IF(F1008&lt;F1007,"NEGATIVE",ROUND(F1008-F1007,2)),"")</f>
        <v/>
      </c>
    </row>
    <row r="1009" ht="22" customHeight="1">
      <c r="B1009" s="5" t="inlineStr">
        <is>
          <t>R01005</t>
        </is>
      </c>
      <c r="C1009" s="5" t="inlineStr">
        <is>
          <t>MTR-DOM-006</t>
        </is>
      </c>
      <c r="D1009" s="5" t="inlineStr">
        <is>
          <t>Utilities</t>
        </is>
      </c>
      <c r="E1009" s="5" t="inlineStr">
        <is>
          <t>Domestic Supply</t>
        </is>
      </c>
      <c r="F1009" s="5" t="inlineStr">
        <is>
          <t>2024-09-30 08:00</t>
        </is>
      </c>
      <c r="G1009" s="11" t="n">
        <v>20832.88</v>
      </c>
      <c r="H1009" s="5" t="inlineStr">
        <is>
          <t>m3</t>
        </is>
      </c>
      <c r="I1009" s="5" t="inlineStr">
        <is>
          <t>cumulative</t>
        </is>
      </c>
      <c r="J1009" s="5" t="inlineStr">
        <is>
          <t>GH</t>
        </is>
      </c>
      <c r="K1009" s="5" t="inlineStr"/>
      <c r="L1009" s="7">
        <f>IFERROR(IF(F1009&lt;F1008,"NEGATIVE",ROUND(F1009-F1008,2)),"")</f>
        <v/>
      </c>
    </row>
    <row r="1010" ht="22" customHeight="1">
      <c r="B1010" s="8" t="inlineStr">
        <is>
          <t>R01006</t>
        </is>
      </c>
      <c r="C1010" s="8" t="inlineStr">
        <is>
          <t>MTR-DOM-006</t>
        </is>
      </c>
      <c r="D1010" s="8" t="inlineStr">
        <is>
          <t>Utilities</t>
        </is>
      </c>
      <c r="E1010" s="8" t="inlineStr">
        <is>
          <t>Domestic Supply</t>
        </is>
      </c>
      <c r="F1010" s="8" t="inlineStr">
        <is>
          <t>2024-10-01 08:00</t>
        </is>
      </c>
      <c r="G1010" s="12" t="n">
        <v>20841.71</v>
      </c>
      <c r="H1010" s="8" t="inlineStr">
        <is>
          <t>m3</t>
        </is>
      </c>
      <c r="I1010" s="8" t="inlineStr">
        <is>
          <t>cumulative</t>
        </is>
      </c>
      <c r="J1010" s="8" t="inlineStr">
        <is>
          <t>IJ</t>
        </is>
      </c>
      <c r="K1010" s="8" t="inlineStr"/>
      <c r="L1010" s="10">
        <f>IFERROR(IF(F1010&lt;F1009,"NEGATIVE",ROUND(F1010-F1009,2)),"")</f>
        <v/>
      </c>
    </row>
    <row r="1011" ht="22" customHeight="1">
      <c r="B1011" s="5" t="inlineStr">
        <is>
          <t>R01007</t>
        </is>
      </c>
      <c r="C1011" s="5" t="inlineStr">
        <is>
          <t>MTR-DOM-006</t>
        </is>
      </c>
      <c r="D1011" s="5" t="inlineStr">
        <is>
          <t>Utilities</t>
        </is>
      </c>
      <c r="E1011" s="5" t="inlineStr">
        <is>
          <t>Domestic Supply</t>
        </is>
      </c>
      <c r="F1011" s="5" t="inlineStr">
        <is>
          <t>2024-10-02 08:00</t>
        </is>
      </c>
      <c r="G1011" s="11" t="n">
        <v>20851.1</v>
      </c>
      <c r="H1011" s="5" t="inlineStr">
        <is>
          <t>m3</t>
        </is>
      </c>
      <c r="I1011" s="5" t="inlineStr">
        <is>
          <t>cumulative</t>
        </is>
      </c>
      <c r="J1011" s="5" t="inlineStr">
        <is>
          <t>CD</t>
        </is>
      </c>
      <c r="K1011" s="5" t="inlineStr"/>
      <c r="L1011" s="7">
        <f>IFERROR(IF(F1011&lt;F1010,"NEGATIVE",ROUND(F1011-F1010,2)),"")</f>
        <v/>
      </c>
    </row>
    <row r="1012" ht="22" customHeight="1">
      <c r="B1012" s="8" t="inlineStr">
        <is>
          <t>R01008</t>
        </is>
      </c>
      <c r="C1012" s="8" t="inlineStr">
        <is>
          <t>MTR-DOM-006</t>
        </is>
      </c>
      <c r="D1012" s="8" t="inlineStr">
        <is>
          <t>Utilities</t>
        </is>
      </c>
      <c r="E1012" s="8" t="inlineStr">
        <is>
          <t>Domestic Supply</t>
        </is>
      </c>
      <c r="F1012" s="8" t="inlineStr">
        <is>
          <t>2024-10-03 08:00</t>
        </is>
      </c>
      <c r="G1012" s="12" t="n">
        <v>20861.13</v>
      </c>
      <c r="H1012" s="8" t="inlineStr">
        <is>
          <t>m3</t>
        </is>
      </c>
      <c r="I1012" s="8" t="inlineStr">
        <is>
          <t>cumulative</t>
        </is>
      </c>
      <c r="J1012" s="8" t="inlineStr">
        <is>
          <t>EF</t>
        </is>
      </c>
      <c r="K1012" s="8" t="inlineStr"/>
      <c r="L1012" s="10">
        <f>IFERROR(IF(F1012&lt;F1011,"NEGATIVE",ROUND(F1012-F1011,2)),"")</f>
        <v/>
      </c>
    </row>
    <row r="1013" ht="22" customHeight="1">
      <c r="B1013" s="5" t="inlineStr">
        <is>
          <t>R01009</t>
        </is>
      </c>
      <c r="C1013" s="5" t="inlineStr">
        <is>
          <t>MTR-DOM-006</t>
        </is>
      </c>
      <c r="D1013" s="5" t="inlineStr">
        <is>
          <t>Utilities</t>
        </is>
      </c>
      <c r="E1013" s="5" t="inlineStr">
        <is>
          <t>Domestic Supply</t>
        </is>
      </c>
      <c r="F1013" s="5" t="inlineStr">
        <is>
          <t>2024-10-04 08:00</t>
        </is>
      </c>
      <c r="G1013" s="11" t="n">
        <v>20871.23</v>
      </c>
      <c r="H1013" s="5" t="inlineStr">
        <is>
          <t>m3</t>
        </is>
      </c>
      <c r="I1013" s="5" t="inlineStr">
        <is>
          <t>cumulative</t>
        </is>
      </c>
      <c r="J1013" s="5" t="inlineStr">
        <is>
          <t>CD</t>
        </is>
      </c>
      <c r="K1013" s="5" t="inlineStr"/>
      <c r="L1013" s="7">
        <f>IFERROR(IF(F1013&lt;F1012,"NEGATIVE",ROUND(F1013-F1012,2)),"")</f>
        <v/>
      </c>
    </row>
    <row r="1014" ht="22" customHeight="1">
      <c r="B1014" s="8" t="inlineStr">
        <is>
          <t>R01010</t>
        </is>
      </c>
      <c r="C1014" s="8" t="inlineStr">
        <is>
          <t>MTR-DOM-006</t>
        </is>
      </c>
      <c r="D1014" s="8" t="inlineStr">
        <is>
          <t>Utilities</t>
        </is>
      </c>
      <c r="E1014" s="8" t="inlineStr">
        <is>
          <t>Domestic Supply</t>
        </is>
      </c>
      <c r="F1014" s="8" t="inlineStr">
        <is>
          <t>2024-10-05 08:00</t>
        </is>
      </c>
      <c r="G1014" s="12" t="n">
        <v>20880.68</v>
      </c>
      <c r="H1014" s="8" t="inlineStr">
        <is>
          <t>m3</t>
        </is>
      </c>
      <c r="I1014" s="8" t="inlineStr">
        <is>
          <t>cumulative</t>
        </is>
      </c>
      <c r="J1014" s="8" t="inlineStr">
        <is>
          <t>CD</t>
        </is>
      </c>
      <c r="K1014" s="8" t="inlineStr"/>
      <c r="L1014" s="10">
        <f>IFERROR(IF(F1014&lt;F1013,"NEGATIVE",ROUND(F1014-F1013,2)),"")</f>
        <v/>
      </c>
    </row>
    <row r="1015" ht="22" customHeight="1">
      <c r="B1015" s="5" t="inlineStr">
        <is>
          <t>R01011</t>
        </is>
      </c>
      <c r="C1015" s="5" t="inlineStr">
        <is>
          <t>MTR-DOM-006</t>
        </is>
      </c>
      <c r="D1015" s="5" t="inlineStr">
        <is>
          <t>Utilities</t>
        </is>
      </c>
      <c r="E1015" s="5" t="inlineStr">
        <is>
          <t>Domestic Supply</t>
        </is>
      </c>
      <c r="F1015" s="5" t="inlineStr">
        <is>
          <t>2024-10-06 08:00</t>
        </is>
      </c>
      <c r="G1015" s="11" t="n">
        <v>20886</v>
      </c>
      <c r="H1015" s="5" t="inlineStr">
        <is>
          <t>m3</t>
        </is>
      </c>
      <c r="I1015" s="5" t="inlineStr">
        <is>
          <t>cumulative</t>
        </is>
      </c>
      <c r="J1015" s="5" t="inlineStr">
        <is>
          <t>GH</t>
        </is>
      </c>
      <c r="K1015" s="5" t="inlineStr"/>
      <c r="L1015" s="7">
        <f>IFERROR(IF(F1015&lt;F1014,"NEGATIVE",ROUND(F1015-F1014,2)),"")</f>
        <v/>
      </c>
    </row>
    <row r="1016" ht="22" customHeight="1">
      <c r="B1016" s="8" t="inlineStr">
        <is>
          <t>R01012</t>
        </is>
      </c>
      <c r="C1016" s="8" t="inlineStr">
        <is>
          <t>MTR-DOM-006</t>
        </is>
      </c>
      <c r="D1016" s="8" t="inlineStr">
        <is>
          <t>Utilities</t>
        </is>
      </c>
      <c r="E1016" s="8" t="inlineStr">
        <is>
          <t>Domestic Supply</t>
        </is>
      </c>
      <c r="F1016" s="8" t="inlineStr">
        <is>
          <t>2024-10-07 08:00</t>
        </is>
      </c>
      <c r="G1016" s="12" t="n">
        <v>20895.21</v>
      </c>
      <c r="H1016" s="8" t="inlineStr">
        <is>
          <t>m3</t>
        </is>
      </c>
      <c r="I1016" s="8" t="inlineStr">
        <is>
          <t>cumulative</t>
        </is>
      </c>
      <c r="J1016" s="8" t="inlineStr">
        <is>
          <t>KL</t>
        </is>
      </c>
      <c r="K1016" s="8" t="inlineStr"/>
      <c r="L1016" s="10">
        <f>IFERROR(IF(F1016&lt;F1015,"NEGATIVE",ROUND(F1016-F1015,2)),"")</f>
        <v/>
      </c>
    </row>
    <row r="1017" ht="22" customHeight="1">
      <c r="B1017" s="5" t="inlineStr">
        <is>
          <t>R01013</t>
        </is>
      </c>
      <c r="C1017" s="5" t="inlineStr">
        <is>
          <t>MTR-DOM-006</t>
        </is>
      </c>
      <c r="D1017" s="5" t="inlineStr">
        <is>
          <t>Utilities</t>
        </is>
      </c>
      <c r="E1017" s="5" t="inlineStr">
        <is>
          <t>Domestic Supply</t>
        </is>
      </c>
      <c r="F1017" s="5" t="inlineStr">
        <is>
          <t>2024-10-08 08:00</t>
        </is>
      </c>
      <c r="G1017" s="11" t="n">
        <v>20906.61</v>
      </c>
      <c r="H1017" s="5" t="inlineStr">
        <is>
          <t>m3</t>
        </is>
      </c>
      <c r="I1017" s="5" t="inlineStr">
        <is>
          <t>cumulative</t>
        </is>
      </c>
      <c r="J1017" s="5" t="inlineStr">
        <is>
          <t>IJ</t>
        </is>
      </c>
      <c r="K1017" s="5" t="inlineStr"/>
      <c r="L1017" s="7">
        <f>IFERROR(IF(F1017&lt;F1016,"NEGATIVE",ROUND(F1017-F1016,2)),"")</f>
        <v/>
      </c>
    </row>
    <row r="1018" ht="22" customHeight="1">
      <c r="B1018" s="8" t="inlineStr">
        <is>
          <t>R01014</t>
        </is>
      </c>
      <c r="C1018" s="8" t="inlineStr">
        <is>
          <t>MTR-DOM-006</t>
        </is>
      </c>
      <c r="D1018" s="8" t="inlineStr">
        <is>
          <t>Utilities</t>
        </is>
      </c>
      <c r="E1018" s="8" t="inlineStr">
        <is>
          <t>Domestic Supply</t>
        </is>
      </c>
      <c r="F1018" s="8" t="inlineStr">
        <is>
          <t>2024-10-09 08:00</t>
        </is>
      </c>
      <c r="G1018" s="12" t="n">
        <v>20915.77</v>
      </c>
      <c r="H1018" s="8" t="inlineStr">
        <is>
          <t>m3</t>
        </is>
      </c>
      <c r="I1018" s="8" t="inlineStr">
        <is>
          <t>cumulative</t>
        </is>
      </c>
      <c r="J1018" s="8" t="inlineStr">
        <is>
          <t>GH</t>
        </is>
      </c>
      <c r="K1018" s="8" t="inlineStr"/>
      <c r="L1018" s="10">
        <f>IFERROR(IF(F1018&lt;F1017,"NEGATIVE",ROUND(F1018-F1017,2)),"")</f>
        <v/>
      </c>
    </row>
    <row r="1019" ht="22" customHeight="1">
      <c r="B1019" s="5" t="inlineStr">
        <is>
          <t>R01015</t>
        </is>
      </c>
      <c r="C1019" s="5" t="inlineStr">
        <is>
          <t>MTR-DOM-006</t>
        </is>
      </c>
      <c r="D1019" s="5" t="inlineStr">
        <is>
          <t>Utilities</t>
        </is>
      </c>
      <c r="E1019" s="5" t="inlineStr">
        <is>
          <t>Domestic Supply</t>
        </is>
      </c>
      <c r="F1019" s="5" t="inlineStr">
        <is>
          <t>2024-10-10 08:00</t>
        </is>
      </c>
      <c r="G1019" s="11" t="n">
        <v>20925.14</v>
      </c>
      <c r="H1019" s="5" t="inlineStr">
        <is>
          <t>m3</t>
        </is>
      </c>
      <c r="I1019" s="5" t="inlineStr">
        <is>
          <t>cumulative</t>
        </is>
      </c>
      <c r="J1019" s="5" t="inlineStr">
        <is>
          <t>KL</t>
        </is>
      </c>
      <c r="K1019" s="5" t="inlineStr"/>
      <c r="L1019" s="7">
        <f>IFERROR(IF(F1019&lt;F1018,"NEGATIVE",ROUND(F1019-F1018,2)),"")</f>
        <v/>
      </c>
    </row>
    <row r="1020" ht="22" customHeight="1">
      <c r="B1020" s="8" t="inlineStr">
        <is>
          <t>R01016</t>
        </is>
      </c>
      <c r="C1020" s="8" t="inlineStr">
        <is>
          <t>MTR-DOM-006</t>
        </is>
      </c>
      <c r="D1020" s="8" t="inlineStr">
        <is>
          <t>Utilities</t>
        </is>
      </c>
      <c r="E1020" s="8" t="inlineStr">
        <is>
          <t>Domestic Supply</t>
        </is>
      </c>
      <c r="F1020" s="8" t="inlineStr">
        <is>
          <t>2024-10-11 08:00</t>
        </is>
      </c>
      <c r="G1020" s="12" t="n">
        <v>20935.12</v>
      </c>
      <c r="H1020" s="8" t="inlineStr">
        <is>
          <t>m3</t>
        </is>
      </c>
      <c r="I1020" s="8" t="inlineStr">
        <is>
          <t>cumulative</t>
        </is>
      </c>
      <c r="J1020" s="8" t="inlineStr">
        <is>
          <t>AB</t>
        </is>
      </c>
      <c r="K1020" s="8" t="inlineStr"/>
      <c r="L1020" s="10">
        <f>IFERROR(IF(F1020&lt;F1019,"NEGATIVE",ROUND(F1020-F1019,2)),"")</f>
        <v/>
      </c>
    </row>
    <row r="1021" ht="22" customHeight="1">
      <c r="B1021" s="5" t="inlineStr">
        <is>
          <t>R01017</t>
        </is>
      </c>
      <c r="C1021" s="5" t="inlineStr">
        <is>
          <t>MTR-DOM-006</t>
        </is>
      </c>
      <c r="D1021" s="5" t="inlineStr">
        <is>
          <t>Utilities</t>
        </is>
      </c>
      <c r="E1021" s="5" t="inlineStr">
        <is>
          <t>Domestic Supply</t>
        </is>
      </c>
      <c r="F1021" s="5" t="inlineStr">
        <is>
          <t>2024-10-12 08:00</t>
        </is>
      </c>
      <c r="G1021" s="11" t="n">
        <v>20943.75</v>
      </c>
      <c r="H1021" s="5" t="inlineStr">
        <is>
          <t>m3</t>
        </is>
      </c>
      <c r="I1021" s="5" t="inlineStr">
        <is>
          <t>cumulative</t>
        </is>
      </c>
      <c r="J1021" s="5" t="inlineStr">
        <is>
          <t>KL</t>
        </is>
      </c>
      <c r="K1021" s="5" t="inlineStr"/>
      <c r="L1021" s="7">
        <f>IFERROR(IF(F1021&lt;F1020,"NEGATIVE",ROUND(F1021-F1020,2)),"")</f>
        <v/>
      </c>
    </row>
    <row r="1022" ht="22" customHeight="1">
      <c r="B1022" s="8" t="inlineStr">
        <is>
          <t>R01018</t>
        </is>
      </c>
      <c r="C1022" s="8" t="inlineStr">
        <is>
          <t>MTR-DOM-006</t>
        </is>
      </c>
      <c r="D1022" s="8" t="inlineStr">
        <is>
          <t>Utilities</t>
        </is>
      </c>
      <c r="E1022" s="8" t="inlineStr">
        <is>
          <t>Domestic Supply</t>
        </is>
      </c>
      <c r="F1022" s="8" t="inlineStr">
        <is>
          <t>2024-10-13 08:00</t>
        </is>
      </c>
      <c r="G1022" s="12" t="n">
        <v>20948.74</v>
      </c>
      <c r="H1022" s="8" t="inlineStr">
        <is>
          <t>m3</t>
        </is>
      </c>
      <c r="I1022" s="8" t="inlineStr">
        <is>
          <t>cumulative</t>
        </is>
      </c>
      <c r="J1022" s="8" t="inlineStr">
        <is>
          <t>IJ</t>
        </is>
      </c>
      <c r="K1022" s="8" t="inlineStr"/>
      <c r="L1022" s="10">
        <f>IFERROR(IF(F1022&lt;F1021,"NEGATIVE",ROUND(F1022-F1021,2)),"")</f>
        <v/>
      </c>
    </row>
    <row r="1023" ht="22" customHeight="1">
      <c r="B1023" s="5" t="inlineStr">
        <is>
          <t>R01019</t>
        </is>
      </c>
      <c r="C1023" s="5" t="inlineStr">
        <is>
          <t>MTR-DOM-006</t>
        </is>
      </c>
      <c r="D1023" s="5" t="inlineStr">
        <is>
          <t>Utilities</t>
        </is>
      </c>
      <c r="E1023" s="5" t="inlineStr">
        <is>
          <t>Domestic Supply</t>
        </is>
      </c>
      <c r="F1023" s="5" t="inlineStr">
        <is>
          <t>2024-10-14 08:00</t>
        </is>
      </c>
      <c r="G1023" s="11" t="n">
        <v>20958.33</v>
      </c>
      <c r="H1023" s="5" t="inlineStr">
        <is>
          <t>m3</t>
        </is>
      </c>
      <c r="I1023" s="5" t="inlineStr">
        <is>
          <t>cumulative</t>
        </is>
      </c>
      <c r="J1023" s="5" t="inlineStr">
        <is>
          <t>AB</t>
        </is>
      </c>
      <c r="K1023" s="5" t="inlineStr"/>
      <c r="L1023" s="7">
        <f>IFERROR(IF(F1023&lt;F1022,"NEGATIVE",ROUND(F1023-F1022,2)),"")</f>
        <v/>
      </c>
    </row>
    <row r="1024" ht="22" customHeight="1">
      <c r="B1024" s="8" t="inlineStr">
        <is>
          <t>R01020</t>
        </is>
      </c>
      <c r="C1024" s="8" t="inlineStr">
        <is>
          <t>MTR-DOM-006</t>
        </is>
      </c>
      <c r="D1024" s="8" t="inlineStr">
        <is>
          <t>Utilities</t>
        </is>
      </c>
      <c r="E1024" s="8" t="inlineStr">
        <is>
          <t>Domestic Supply</t>
        </is>
      </c>
      <c r="F1024" s="8" t="inlineStr">
        <is>
          <t>2024-10-15 08:00</t>
        </is>
      </c>
      <c r="G1024" s="12" t="n">
        <v>20967.39</v>
      </c>
      <c r="H1024" s="8" t="inlineStr">
        <is>
          <t>m3</t>
        </is>
      </c>
      <c r="I1024" s="8" t="inlineStr">
        <is>
          <t>cumulative</t>
        </is>
      </c>
      <c r="J1024" s="8" t="inlineStr">
        <is>
          <t>KL</t>
        </is>
      </c>
      <c r="K1024" s="8" t="inlineStr"/>
      <c r="L1024" s="10">
        <f>IFERROR(IF(F1024&lt;F1023,"NEGATIVE",ROUND(F1024-F1023,2)),"")</f>
        <v/>
      </c>
    </row>
    <row r="1025" ht="22" customHeight="1">
      <c r="B1025" s="5" t="inlineStr">
        <is>
          <t>R01021</t>
        </is>
      </c>
      <c r="C1025" s="5" t="inlineStr">
        <is>
          <t>MTR-DOM-006</t>
        </is>
      </c>
      <c r="D1025" s="5" t="inlineStr">
        <is>
          <t>Utilities</t>
        </is>
      </c>
      <c r="E1025" s="5" t="inlineStr">
        <is>
          <t>Domestic Supply</t>
        </is>
      </c>
      <c r="F1025" s="5" t="inlineStr">
        <is>
          <t>2024-10-16 08:00</t>
        </is>
      </c>
      <c r="G1025" s="11" t="n">
        <v>20976.69</v>
      </c>
      <c r="H1025" s="5" t="inlineStr">
        <is>
          <t>m3</t>
        </is>
      </c>
      <c r="I1025" s="5" t="inlineStr">
        <is>
          <t>cumulative</t>
        </is>
      </c>
      <c r="J1025" s="5" t="inlineStr">
        <is>
          <t>IJ</t>
        </is>
      </c>
      <c r="K1025" s="5" t="inlineStr"/>
      <c r="L1025" s="7">
        <f>IFERROR(IF(F1025&lt;F1024,"NEGATIVE",ROUND(F1025-F1024,2)),"")</f>
        <v/>
      </c>
    </row>
    <row r="1026" ht="22" customHeight="1">
      <c r="B1026" s="8" t="inlineStr">
        <is>
          <t>R01022</t>
        </is>
      </c>
      <c r="C1026" s="8" t="inlineStr">
        <is>
          <t>MTR-DOM-006</t>
        </is>
      </c>
      <c r="D1026" s="8" t="inlineStr">
        <is>
          <t>Utilities</t>
        </is>
      </c>
      <c r="E1026" s="8" t="inlineStr">
        <is>
          <t>Domestic Supply</t>
        </is>
      </c>
      <c r="F1026" s="8" t="inlineStr">
        <is>
          <t>2024-10-17 08:00</t>
        </is>
      </c>
      <c r="G1026" s="12" t="n">
        <v>20988.38</v>
      </c>
      <c r="H1026" s="8" t="inlineStr">
        <is>
          <t>m3</t>
        </is>
      </c>
      <c r="I1026" s="8" t="inlineStr">
        <is>
          <t>cumulative</t>
        </is>
      </c>
      <c r="J1026" s="8" t="inlineStr">
        <is>
          <t>GH</t>
        </is>
      </c>
      <c r="K1026" s="8" t="inlineStr"/>
      <c r="L1026" s="10">
        <f>IFERROR(IF(F1026&lt;F1025,"NEGATIVE",ROUND(F1026-F1025,2)),"")</f>
        <v/>
      </c>
    </row>
    <row r="1027" ht="22" customHeight="1">
      <c r="B1027" s="5" t="inlineStr">
        <is>
          <t>R01023</t>
        </is>
      </c>
      <c r="C1027" s="5" t="inlineStr">
        <is>
          <t>MTR-DOM-006</t>
        </is>
      </c>
      <c r="D1027" s="5" t="inlineStr">
        <is>
          <t>Utilities</t>
        </is>
      </c>
      <c r="E1027" s="5" t="inlineStr">
        <is>
          <t>Domestic Supply</t>
        </is>
      </c>
      <c r="F1027" s="5" t="inlineStr">
        <is>
          <t>2024-10-18 08:00</t>
        </is>
      </c>
      <c r="G1027" s="11" t="n">
        <v>20999.97</v>
      </c>
      <c r="H1027" s="5" t="inlineStr">
        <is>
          <t>m3</t>
        </is>
      </c>
      <c r="I1027" s="5" t="inlineStr">
        <is>
          <t>cumulative</t>
        </is>
      </c>
      <c r="J1027" s="5" t="inlineStr">
        <is>
          <t>CD</t>
        </is>
      </c>
      <c r="K1027" s="5" t="inlineStr"/>
      <c r="L1027" s="7">
        <f>IFERROR(IF(F1027&lt;F1026,"NEGATIVE",ROUND(F1027-F1026,2)),"")</f>
        <v/>
      </c>
    </row>
    <row r="1028" ht="22" customHeight="1">
      <c r="B1028" s="8" t="inlineStr">
        <is>
          <t>R01024</t>
        </is>
      </c>
      <c r="C1028" s="8" t="inlineStr">
        <is>
          <t>MTR-DOM-006</t>
        </is>
      </c>
      <c r="D1028" s="8" t="inlineStr">
        <is>
          <t>Utilities</t>
        </is>
      </c>
      <c r="E1028" s="8" t="inlineStr">
        <is>
          <t>Domestic Supply</t>
        </is>
      </c>
      <c r="F1028" s="8" t="inlineStr">
        <is>
          <t>2024-10-19 08:00</t>
        </is>
      </c>
      <c r="G1028" s="12" t="n">
        <v>21009.21</v>
      </c>
      <c r="H1028" s="8" t="inlineStr">
        <is>
          <t>m3</t>
        </is>
      </c>
      <c r="I1028" s="8" t="inlineStr">
        <is>
          <t>cumulative</t>
        </is>
      </c>
      <c r="J1028" s="8" t="inlineStr">
        <is>
          <t>AB</t>
        </is>
      </c>
      <c r="K1028" s="8" t="inlineStr"/>
      <c r="L1028" s="10">
        <f>IFERROR(IF(F1028&lt;F1027,"NEGATIVE",ROUND(F1028-F1027,2)),"")</f>
        <v/>
      </c>
    </row>
    <row r="1029" ht="22" customHeight="1">
      <c r="B1029" s="5" t="inlineStr">
        <is>
          <t>R01025</t>
        </is>
      </c>
      <c r="C1029" s="5" t="inlineStr">
        <is>
          <t>MTR-DOM-006</t>
        </is>
      </c>
      <c r="D1029" s="5" t="inlineStr">
        <is>
          <t>Utilities</t>
        </is>
      </c>
      <c r="E1029" s="5" t="inlineStr">
        <is>
          <t>Domestic Supply</t>
        </is>
      </c>
      <c r="F1029" s="5" t="inlineStr">
        <is>
          <t>2024-10-20 08:00</t>
        </is>
      </c>
      <c r="G1029" s="11" t="n">
        <v>21015.08</v>
      </c>
      <c r="H1029" s="5" t="inlineStr">
        <is>
          <t>m3</t>
        </is>
      </c>
      <c r="I1029" s="5" t="inlineStr">
        <is>
          <t>cumulative</t>
        </is>
      </c>
      <c r="J1029" s="5" t="inlineStr">
        <is>
          <t>GH</t>
        </is>
      </c>
      <c r="K1029" s="5" t="inlineStr"/>
      <c r="L1029" s="7">
        <f>IFERROR(IF(F1029&lt;F1028,"NEGATIVE",ROUND(F1029-F1028,2)),"")</f>
        <v/>
      </c>
    </row>
    <row r="1030" ht="22" customHeight="1">
      <c r="B1030" s="8" t="inlineStr">
        <is>
          <t>R01026</t>
        </is>
      </c>
      <c r="C1030" s="8" t="inlineStr">
        <is>
          <t>MTR-DOM-006</t>
        </is>
      </c>
      <c r="D1030" s="8" t="inlineStr">
        <is>
          <t>Utilities</t>
        </is>
      </c>
      <c r="E1030" s="8" t="inlineStr">
        <is>
          <t>Domestic Supply</t>
        </is>
      </c>
      <c r="F1030" s="8" t="inlineStr">
        <is>
          <t>2024-10-21 08:00</t>
        </is>
      </c>
      <c r="G1030" s="12" t="n">
        <v>21025</v>
      </c>
      <c r="H1030" s="8" t="inlineStr">
        <is>
          <t>m3</t>
        </is>
      </c>
      <c r="I1030" s="8" t="inlineStr">
        <is>
          <t>cumulative</t>
        </is>
      </c>
      <c r="J1030" s="8" t="inlineStr">
        <is>
          <t>KL</t>
        </is>
      </c>
      <c r="K1030" s="8" t="inlineStr"/>
      <c r="L1030" s="10">
        <f>IFERROR(IF(F1030&lt;F1029,"NEGATIVE",ROUND(F1030-F1029,2)),"")</f>
        <v/>
      </c>
    </row>
    <row r="1031" ht="22" customHeight="1">
      <c r="B1031" s="5" t="inlineStr">
        <is>
          <t>R01027</t>
        </is>
      </c>
      <c r="C1031" s="5" t="inlineStr">
        <is>
          <t>MTR-DOM-006</t>
        </is>
      </c>
      <c r="D1031" s="5" t="inlineStr">
        <is>
          <t>Utilities</t>
        </is>
      </c>
      <c r="E1031" s="5" t="inlineStr">
        <is>
          <t>Domestic Supply</t>
        </is>
      </c>
      <c r="F1031" s="5" t="inlineStr">
        <is>
          <t>2024-10-22 08:00</t>
        </is>
      </c>
      <c r="G1031" s="11" t="n">
        <v>21034.74</v>
      </c>
      <c r="H1031" s="5" t="inlineStr">
        <is>
          <t>m3</t>
        </is>
      </c>
      <c r="I1031" s="5" t="inlineStr">
        <is>
          <t>cumulative</t>
        </is>
      </c>
      <c r="J1031" s="5" t="inlineStr">
        <is>
          <t>IJ</t>
        </is>
      </c>
      <c r="K1031" s="5" t="inlineStr"/>
      <c r="L1031" s="7">
        <f>IFERROR(IF(F1031&lt;F1030,"NEGATIVE",ROUND(F1031-F1030,2)),"")</f>
        <v/>
      </c>
    </row>
    <row r="1032" ht="22" customHeight="1">
      <c r="B1032" s="8" t="inlineStr">
        <is>
          <t>R01028</t>
        </is>
      </c>
      <c r="C1032" s="8" t="inlineStr">
        <is>
          <t>MTR-DOM-006</t>
        </is>
      </c>
      <c r="D1032" s="8" t="inlineStr">
        <is>
          <t>Utilities</t>
        </is>
      </c>
      <c r="E1032" s="8" t="inlineStr">
        <is>
          <t>Domestic Supply</t>
        </is>
      </c>
      <c r="F1032" s="8" t="inlineStr">
        <is>
          <t>2024-10-23 08:00</t>
        </is>
      </c>
      <c r="G1032" s="12" t="n">
        <v>21045.46</v>
      </c>
      <c r="H1032" s="8" t="inlineStr">
        <is>
          <t>m3</t>
        </is>
      </c>
      <c r="I1032" s="8" t="inlineStr">
        <is>
          <t>cumulative</t>
        </is>
      </c>
      <c r="J1032" s="8" t="inlineStr">
        <is>
          <t>AB</t>
        </is>
      </c>
      <c r="K1032" s="8" t="inlineStr"/>
      <c r="L1032" s="10">
        <f>IFERROR(IF(F1032&lt;F1031,"NEGATIVE",ROUND(F1032-F1031,2)),"")</f>
        <v/>
      </c>
    </row>
    <row r="1033" ht="22" customHeight="1">
      <c r="B1033" s="5" t="inlineStr">
        <is>
          <t>R01029</t>
        </is>
      </c>
      <c r="C1033" s="5" t="inlineStr">
        <is>
          <t>MTR-DOM-006</t>
        </is>
      </c>
      <c r="D1033" s="5" t="inlineStr">
        <is>
          <t>Utilities</t>
        </is>
      </c>
      <c r="E1033" s="5" t="inlineStr">
        <is>
          <t>Domestic Supply</t>
        </is>
      </c>
      <c r="F1033" s="5" t="inlineStr">
        <is>
          <t>2024-10-24 08:00</t>
        </is>
      </c>
      <c r="G1033" s="11" t="n">
        <v>21056.65</v>
      </c>
      <c r="H1033" s="5" t="inlineStr">
        <is>
          <t>m3</t>
        </is>
      </c>
      <c r="I1033" s="5" t="inlineStr">
        <is>
          <t>cumulative</t>
        </is>
      </c>
      <c r="J1033" s="5" t="inlineStr">
        <is>
          <t>KL</t>
        </is>
      </c>
      <c r="K1033" s="5" t="inlineStr"/>
      <c r="L1033" s="7">
        <f>IFERROR(IF(F1033&lt;F1032,"NEGATIVE",ROUND(F1033-F1032,2)),"")</f>
        <v/>
      </c>
    </row>
    <row r="1034" ht="22" customHeight="1">
      <c r="B1034" s="8" t="inlineStr">
        <is>
          <t>R01030</t>
        </is>
      </c>
      <c r="C1034" s="8" t="inlineStr">
        <is>
          <t>MTR-DOM-006</t>
        </is>
      </c>
      <c r="D1034" s="8" t="inlineStr">
        <is>
          <t>Utilities</t>
        </is>
      </c>
      <c r="E1034" s="8" t="inlineStr">
        <is>
          <t>Domestic Supply</t>
        </is>
      </c>
      <c r="F1034" s="8" t="inlineStr">
        <is>
          <t>2024-10-25 08:00</t>
        </is>
      </c>
      <c r="G1034" s="12" t="n">
        <v>21065.72</v>
      </c>
      <c r="H1034" s="8" t="inlineStr">
        <is>
          <t>m3</t>
        </is>
      </c>
      <c r="I1034" s="8" t="inlineStr">
        <is>
          <t>cumulative</t>
        </is>
      </c>
      <c r="J1034" s="8" t="inlineStr">
        <is>
          <t>GH</t>
        </is>
      </c>
      <c r="K1034" s="8" t="inlineStr"/>
      <c r="L1034" s="10">
        <f>IFERROR(IF(F1034&lt;F1033,"NEGATIVE",ROUND(F1034-F1033,2)),"")</f>
        <v/>
      </c>
    </row>
    <row r="1035" ht="22" customHeight="1">
      <c r="B1035" s="5" t="inlineStr">
        <is>
          <t>R01031</t>
        </is>
      </c>
      <c r="C1035" s="5" t="inlineStr">
        <is>
          <t>MTR-DOM-006</t>
        </is>
      </c>
      <c r="D1035" s="5" t="inlineStr">
        <is>
          <t>Utilities</t>
        </is>
      </c>
      <c r="E1035" s="5" t="inlineStr">
        <is>
          <t>Domestic Supply</t>
        </is>
      </c>
      <c r="F1035" s="5" t="inlineStr">
        <is>
          <t>2024-10-26 08:00</t>
        </is>
      </c>
      <c r="G1035" s="11" t="n">
        <v>21073.46</v>
      </c>
      <c r="H1035" s="5" t="inlineStr">
        <is>
          <t>m3</t>
        </is>
      </c>
      <c r="I1035" s="5" t="inlineStr">
        <is>
          <t>cumulative</t>
        </is>
      </c>
      <c r="J1035" s="5" t="inlineStr">
        <is>
          <t>AB</t>
        </is>
      </c>
      <c r="K1035" s="5" t="inlineStr"/>
      <c r="L1035" s="7">
        <f>IFERROR(IF(F1035&lt;F1034,"NEGATIVE",ROUND(F1035-F1034,2)),"")</f>
        <v/>
      </c>
    </row>
    <row r="1036" ht="22" customHeight="1">
      <c r="B1036" s="8" t="inlineStr">
        <is>
          <t>R01032</t>
        </is>
      </c>
      <c r="C1036" s="8" t="inlineStr">
        <is>
          <t>MTR-DOM-006</t>
        </is>
      </c>
      <c r="D1036" s="8" t="inlineStr">
        <is>
          <t>Utilities</t>
        </is>
      </c>
      <c r="E1036" s="8" t="inlineStr">
        <is>
          <t>Domestic Supply</t>
        </is>
      </c>
      <c r="F1036" s="8" t="inlineStr">
        <is>
          <t>2024-10-27 08:00</t>
        </is>
      </c>
      <c r="G1036" s="12" t="n">
        <v>21079.49</v>
      </c>
      <c r="H1036" s="8" t="inlineStr">
        <is>
          <t>m3</t>
        </is>
      </c>
      <c r="I1036" s="8" t="inlineStr">
        <is>
          <t>cumulative</t>
        </is>
      </c>
      <c r="J1036" s="8" t="inlineStr">
        <is>
          <t>KL</t>
        </is>
      </c>
      <c r="K1036" s="8" t="inlineStr"/>
      <c r="L1036" s="10">
        <f>IFERROR(IF(F1036&lt;F1035,"NEGATIVE",ROUND(F1036-F1035,2)),"")</f>
        <v/>
      </c>
    </row>
    <row r="1037" ht="22" customHeight="1">
      <c r="B1037" s="5" t="inlineStr">
        <is>
          <t>R01033</t>
        </is>
      </c>
      <c r="C1037" s="5" t="inlineStr">
        <is>
          <t>MTR-DOM-006</t>
        </is>
      </c>
      <c r="D1037" s="5" t="inlineStr">
        <is>
          <t>Utilities</t>
        </is>
      </c>
      <c r="E1037" s="5" t="inlineStr">
        <is>
          <t>Domestic Supply</t>
        </is>
      </c>
      <c r="F1037" s="5" t="inlineStr">
        <is>
          <t>2024-10-28 08:00</t>
        </is>
      </c>
      <c r="G1037" s="11" t="n">
        <v>21090.48</v>
      </c>
      <c r="H1037" s="5" t="inlineStr">
        <is>
          <t>m3</t>
        </is>
      </c>
      <c r="I1037" s="5" t="inlineStr">
        <is>
          <t>cumulative</t>
        </is>
      </c>
      <c r="J1037" s="5" t="inlineStr">
        <is>
          <t>KL</t>
        </is>
      </c>
      <c r="K1037" s="5" t="inlineStr"/>
      <c r="L1037" s="7">
        <f>IFERROR(IF(F1037&lt;F1036,"NEGATIVE",ROUND(F1037-F1036,2)),"")</f>
        <v/>
      </c>
    </row>
    <row r="1038" ht="22" customHeight="1">
      <c r="B1038" s="8" t="inlineStr">
        <is>
          <t>R01034</t>
        </is>
      </c>
      <c r="C1038" s="8" t="inlineStr">
        <is>
          <t>MTR-DOM-006</t>
        </is>
      </c>
      <c r="D1038" s="8" t="inlineStr">
        <is>
          <t>Utilities</t>
        </is>
      </c>
      <c r="E1038" s="8" t="inlineStr">
        <is>
          <t>Domestic Supply</t>
        </is>
      </c>
      <c r="F1038" s="8" t="inlineStr">
        <is>
          <t>2024-10-29 08:00</t>
        </is>
      </c>
      <c r="G1038" s="12" t="n">
        <v>21099.25</v>
      </c>
      <c r="H1038" s="8" t="inlineStr">
        <is>
          <t>m3</t>
        </is>
      </c>
      <c r="I1038" s="8" t="inlineStr">
        <is>
          <t>cumulative</t>
        </is>
      </c>
      <c r="J1038" s="8" t="inlineStr">
        <is>
          <t>AB</t>
        </is>
      </c>
      <c r="K1038" s="8" t="inlineStr"/>
      <c r="L1038" s="10">
        <f>IFERROR(IF(F1038&lt;F1037,"NEGATIVE",ROUND(F1038-F1037,2)),"")</f>
        <v/>
      </c>
    </row>
    <row r="1039" ht="22" customHeight="1">
      <c r="B1039" s="5" t="inlineStr">
        <is>
          <t>R01035</t>
        </is>
      </c>
      <c r="C1039" s="5" t="inlineStr">
        <is>
          <t>MTR-DOM-006</t>
        </is>
      </c>
      <c r="D1039" s="5" t="inlineStr">
        <is>
          <t>Utilities</t>
        </is>
      </c>
      <c r="E1039" s="5" t="inlineStr">
        <is>
          <t>Domestic Supply</t>
        </is>
      </c>
      <c r="F1039" s="5" t="inlineStr">
        <is>
          <t>2024-10-30 08:00</t>
        </is>
      </c>
      <c r="G1039" s="11" t="n">
        <v>21109.47</v>
      </c>
      <c r="H1039" s="5" t="inlineStr">
        <is>
          <t>m3</t>
        </is>
      </c>
      <c r="I1039" s="5" t="inlineStr">
        <is>
          <t>cumulative</t>
        </is>
      </c>
      <c r="J1039" s="5" t="inlineStr">
        <is>
          <t>AB</t>
        </is>
      </c>
      <c r="K1039" s="5" t="inlineStr"/>
      <c r="L1039" s="7">
        <f>IFERROR(IF(F1039&lt;F1038,"NEGATIVE",ROUND(F1039-F1038,2)),"")</f>
        <v/>
      </c>
    </row>
    <row r="1040" ht="22" customHeight="1">
      <c r="B1040" s="8" t="inlineStr">
        <is>
          <t>R01036</t>
        </is>
      </c>
      <c r="C1040" s="8" t="inlineStr">
        <is>
          <t>MTR-DOM-006</t>
        </is>
      </c>
      <c r="D1040" s="8" t="inlineStr">
        <is>
          <t>Utilities</t>
        </is>
      </c>
      <c r="E1040" s="8" t="inlineStr">
        <is>
          <t>Domestic Supply</t>
        </is>
      </c>
      <c r="F1040" s="8" t="inlineStr">
        <is>
          <t>2024-10-31 08:00</t>
        </is>
      </c>
      <c r="G1040" s="12" t="n">
        <v>21119.37</v>
      </c>
      <c r="H1040" s="8" t="inlineStr">
        <is>
          <t>m3</t>
        </is>
      </c>
      <c r="I1040" s="8" t="inlineStr">
        <is>
          <t>cumulative</t>
        </is>
      </c>
      <c r="J1040" s="8" t="inlineStr">
        <is>
          <t>GH</t>
        </is>
      </c>
      <c r="K1040" s="8" t="inlineStr"/>
      <c r="L1040" s="10">
        <f>IFERROR(IF(F1040&lt;F1039,"NEGATIVE",ROUND(F1040-F1039,2)),"")</f>
        <v/>
      </c>
    </row>
    <row r="1041" ht="22" customHeight="1">
      <c r="B1041" s="5" t="inlineStr">
        <is>
          <t>R01037</t>
        </is>
      </c>
      <c r="C1041" s="5" t="inlineStr">
        <is>
          <t>MTR-DOM-006</t>
        </is>
      </c>
      <c r="D1041" s="5" t="inlineStr">
        <is>
          <t>Utilities</t>
        </is>
      </c>
      <c r="E1041" s="5" t="inlineStr">
        <is>
          <t>Domestic Supply</t>
        </is>
      </c>
      <c r="F1041" s="5" t="inlineStr">
        <is>
          <t>2024-11-01 08:00</t>
        </is>
      </c>
      <c r="G1041" s="11" t="n">
        <v>21129.89</v>
      </c>
      <c r="H1041" s="5" t="inlineStr">
        <is>
          <t>m3</t>
        </is>
      </c>
      <c r="I1041" s="5" t="inlineStr">
        <is>
          <t>cumulative</t>
        </is>
      </c>
      <c r="J1041" s="5" t="inlineStr">
        <is>
          <t>IJ</t>
        </is>
      </c>
      <c r="K1041" s="5" t="inlineStr"/>
      <c r="L1041" s="7">
        <f>IFERROR(IF(F1041&lt;F1040,"NEGATIVE",ROUND(F1041-F1040,2)),"")</f>
        <v/>
      </c>
    </row>
    <row r="1042" ht="22" customHeight="1">
      <c r="B1042" s="8" t="inlineStr">
        <is>
          <t>R01038</t>
        </is>
      </c>
      <c r="C1042" s="8" t="inlineStr">
        <is>
          <t>MTR-DOM-006</t>
        </is>
      </c>
      <c r="D1042" s="8" t="inlineStr">
        <is>
          <t>Utilities</t>
        </is>
      </c>
      <c r="E1042" s="8" t="inlineStr">
        <is>
          <t>Domestic Supply</t>
        </is>
      </c>
      <c r="F1042" s="8" t="inlineStr">
        <is>
          <t>2024-11-02 08:00</t>
        </is>
      </c>
      <c r="G1042" s="12" t="n">
        <v>21138.18</v>
      </c>
      <c r="H1042" s="8" t="inlineStr">
        <is>
          <t>m3</t>
        </is>
      </c>
      <c r="I1042" s="8" t="inlineStr">
        <is>
          <t>cumulative</t>
        </is>
      </c>
      <c r="J1042" s="8" t="inlineStr">
        <is>
          <t>CD</t>
        </is>
      </c>
      <c r="K1042" s="8" t="inlineStr"/>
      <c r="L1042" s="10">
        <f>IFERROR(IF(F1042&lt;F1041,"NEGATIVE",ROUND(F1042-F1041,2)),"")</f>
        <v/>
      </c>
    </row>
    <row r="1043" ht="22" customHeight="1">
      <c r="B1043" s="5" t="inlineStr">
        <is>
          <t>R01039</t>
        </is>
      </c>
      <c r="C1043" s="5" t="inlineStr">
        <is>
          <t>MTR-DOM-006</t>
        </is>
      </c>
      <c r="D1043" s="5" t="inlineStr">
        <is>
          <t>Utilities</t>
        </is>
      </c>
      <c r="E1043" s="5" t="inlineStr">
        <is>
          <t>Domestic Supply</t>
        </is>
      </c>
      <c r="F1043" s="5" t="inlineStr">
        <is>
          <t>2024-11-03 08:00</t>
        </is>
      </c>
      <c r="G1043" s="11" t="n">
        <v>21142.87</v>
      </c>
      <c r="H1043" s="5" t="inlineStr">
        <is>
          <t>m3</t>
        </is>
      </c>
      <c r="I1043" s="5" t="inlineStr">
        <is>
          <t>cumulative</t>
        </is>
      </c>
      <c r="J1043" s="5" t="inlineStr">
        <is>
          <t>GH</t>
        </is>
      </c>
      <c r="K1043" s="5" t="inlineStr"/>
      <c r="L1043" s="7">
        <f>IFERROR(IF(F1043&lt;F1042,"NEGATIVE",ROUND(F1043-F1042,2)),"")</f>
        <v/>
      </c>
    </row>
    <row r="1044" ht="22" customHeight="1">
      <c r="B1044" s="8" t="inlineStr">
        <is>
          <t>R01040</t>
        </is>
      </c>
      <c r="C1044" s="8" t="inlineStr">
        <is>
          <t>MTR-DOM-006</t>
        </is>
      </c>
      <c r="D1044" s="8" t="inlineStr">
        <is>
          <t>Utilities</t>
        </is>
      </c>
      <c r="E1044" s="8" t="inlineStr">
        <is>
          <t>Domestic Supply</t>
        </is>
      </c>
      <c r="F1044" s="8" t="inlineStr">
        <is>
          <t>2024-11-04 08:00</t>
        </is>
      </c>
      <c r="G1044" s="12" t="n">
        <v>21151.83</v>
      </c>
      <c r="H1044" s="8" t="inlineStr">
        <is>
          <t>m3</t>
        </is>
      </c>
      <c r="I1044" s="8" t="inlineStr">
        <is>
          <t>cumulative</t>
        </is>
      </c>
      <c r="J1044" s="8" t="inlineStr">
        <is>
          <t>IJ</t>
        </is>
      </c>
      <c r="K1044" s="8" t="inlineStr"/>
      <c r="L1044" s="10">
        <f>IFERROR(IF(F1044&lt;F1043,"NEGATIVE",ROUND(F1044-F1043,2)),"")</f>
        <v/>
      </c>
    </row>
    <row r="1045" ht="22" customHeight="1">
      <c r="B1045" s="5" t="inlineStr">
        <is>
          <t>R01041</t>
        </is>
      </c>
      <c r="C1045" s="5" t="inlineStr">
        <is>
          <t>MTR-DOM-006</t>
        </is>
      </c>
      <c r="D1045" s="5" t="inlineStr">
        <is>
          <t>Utilities</t>
        </is>
      </c>
      <c r="E1045" s="5" t="inlineStr">
        <is>
          <t>Domestic Supply</t>
        </is>
      </c>
      <c r="F1045" s="5" t="inlineStr">
        <is>
          <t>2024-11-05 08:00</t>
        </is>
      </c>
      <c r="G1045" s="11" t="n">
        <v>21161.72</v>
      </c>
      <c r="H1045" s="5" t="inlineStr">
        <is>
          <t>m3</t>
        </is>
      </c>
      <c r="I1045" s="5" t="inlineStr">
        <is>
          <t>cumulative</t>
        </is>
      </c>
      <c r="J1045" s="5" t="inlineStr">
        <is>
          <t>AB</t>
        </is>
      </c>
      <c r="K1045" s="5" t="inlineStr"/>
      <c r="L1045" s="7">
        <f>IFERROR(IF(F1045&lt;F1044,"NEGATIVE",ROUND(F1045-F1044,2)),"")</f>
        <v/>
      </c>
    </row>
    <row r="1046" ht="22" customHeight="1">
      <c r="B1046" s="8" t="inlineStr">
        <is>
          <t>R01042</t>
        </is>
      </c>
      <c r="C1046" s="8" t="inlineStr">
        <is>
          <t>MTR-DOM-006</t>
        </is>
      </c>
      <c r="D1046" s="8" t="inlineStr">
        <is>
          <t>Utilities</t>
        </is>
      </c>
      <c r="E1046" s="8" t="inlineStr">
        <is>
          <t>Domestic Supply</t>
        </is>
      </c>
      <c r="F1046" s="8" t="inlineStr">
        <is>
          <t>2024-11-06 08:00</t>
        </is>
      </c>
      <c r="G1046" s="12" t="n">
        <v>21173.01</v>
      </c>
      <c r="H1046" s="8" t="inlineStr">
        <is>
          <t>m3</t>
        </is>
      </c>
      <c r="I1046" s="8" t="inlineStr">
        <is>
          <t>cumulative</t>
        </is>
      </c>
      <c r="J1046" s="8" t="inlineStr">
        <is>
          <t>IJ</t>
        </is>
      </c>
      <c r="K1046" s="8" t="inlineStr"/>
      <c r="L1046" s="10">
        <f>IFERROR(IF(F1046&lt;F1045,"NEGATIVE",ROUND(F1046-F1045,2)),"")</f>
        <v/>
      </c>
    </row>
    <row r="1047" ht="22" customHeight="1">
      <c r="B1047" s="5" t="inlineStr">
        <is>
          <t>R01043</t>
        </is>
      </c>
      <c r="C1047" s="5" t="inlineStr">
        <is>
          <t>MTR-DOM-006</t>
        </is>
      </c>
      <c r="D1047" s="5" t="inlineStr">
        <is>
          <t>Utilities</t>
        </is>
      </c>
      <c r="E1047" s="5" t="inlineStr">
        <is>
          <t>Domestic Supply</t>
        </is>
      </c>
      <c r="F1047" s="5" t="inlineStr">
        <is>
          <t>2024-11-07 08:00</t>
        </is>
      </c>
      <c r="G1047" s="11" t="n">
        <v>21181.64</v>
      </c>
      <c r="H1047" s="5" t="inlineStr">
        <is>
          <t>m3</t>
        </is>
      </c>
      <c r="I1047" s="5" t="inlineStr">
        <is>
          <t>cumulative</t>
        </is>
      </c>
      <c r="J1047" s="5" t="inlineStr">
        <is>
          <t>EF</t>
        </is>
      </c>
      <c r="K1047" s="5" t="inlineStr"/>
      <c r="L1047" s="7">
        <f>IFERROR(IF(F1047&lt;F1046,"NEGATIVE",ROUND(F1047-F1046,2)),"")</f>
        <v/>
      </c>
    </row>
    <row r="1048" ht="22" customHeight="1">
      <c r="B1048" s="8" t="inlineStr">
        <is>
          <t>R01044</t>
        </is>
      </c>
      <c r="C1048" s="8" t="inlineStr">
        <is>
          <t>MTR-DOM-006</t>
        </is>
      </c>
      <c r="D1048" s="8" t="inlineStr">
        <is>
          <t>Utilities</t>
        </is>
      </c>
      <c r="E1048" s="8" t="inlineStr">
        <is>
          <t>Domestic Supply</t>
        </is>
      </c>
      <c r="F1048" s="8" t="inlineStr">
        <is>
          <t>2024-11-08 08:00</t>
        </is>
      </c>
      <c r="G1048" s="12" t="n">
        <v>21192.4</v>
      </c>
      <c r="H1048" s="8" t="inlineStr">
        <is>
          <t>m3</t>
        </is>
      </c>
      <c r="I1048" s="8" t="inlineStr">
        <is>
          <t>cumulative</t>
        </is>
      </c>
      <c r="J1048" s="8" t="inlineStr">
        <is>
          <t>EF</t>
        </is>
      </c>
      <c r="K1048" s="8" t="inlineStr"/>
      <c r="L1048" s="10">
        <f>IFERROR(IF(F1048&lt;F1047,"NEGATIVE",ROUND(F1048-F1047,2)),"")</f>
        <v/>
      </c>
    </row>
    <row r="1049" ht="22" customHeight="1">
      <c r="B1049" s="5" t="inlineStr">
        <is>
          <t>R01045</t>
        </is>
      </c>
      <c r="C1049" s="5" t="inlineStr">
        <is>
          <t>MTR-DOM-006</t>
        </is>
      </c>
      <c r="D1049" s="5" t="inlineStr">
        <is>
          <t>Utilities</t>
        </is>
      </c>
      <c r="E1049" s="5" t="inlineStr">
        <is>
          <t>Domestic Supply</t>
        </is>
      </c>
      <c r="F1049" s="5" t="inlineStr">
        <is>
          <t>2024-11-09 08:00</t>
        </is>
      </c>
      <c r="G1049" s="11" t="n">
        <v>21199.62</v>
      </c>
      <c r="H1049" s="5" t="inlineStr">
        <is>
          <t>m3</t>
        </is>
      </c>
      <c r="I1049" s="5" t="inlineStr">
        <is>
          <t>cumulative</t>
        </is>
      </c>
      <c r="J1049" s="5" t="inlineStr">
        <is>
          <t>KL</t>
        </is>
      </c>
      <c r="K1049" s="5" t="inlineStr"/>
      <c r="L1049" s="7">
        <f>IFERROR(IF(F1049&lt;F1048,"NEGATIVE",ROUND(F1049-F1048,2)),"")</f>
        <v/>
      </c>
    </row>
    <row r="1050" ht="22" customHeight="1">
      <c r="B1050" s="8" t="inlineStr">
        <is>
          <t>R01046</t>
        </is>
      </c>
      <c r="C1050" s="8" t="inlineStr">
        <is>
          <t>MTR-DOM-006</t>
        </is>
      </c>
      <c r="D1050" s="8" t="inlineStr">
        <is>
          <t>Utilities</t>
        </is>
      </c>
      <c r="E1050" s="8" t="inlineStr">
        <is>
          <t>Domestic Supply</t>
        </is>
      </c>
      <c r="F1050" s="8" t="inlineStr">
        <is>
          <t>2024-11-10 08:00</t>
        </is>
      </c>
      <c r="G1050" s="12" t="n">
        <v>21205.25</v>
      </c>
      <c r="H1050" s="8" t="inlineStr">
        <is>
          <t>m3</t>
        </is>
      </c>
      <c r="I1050" s="8" t="inlineStr">
        <is>
          <t>cumulative</t>
        </is>
      </c>
      <c r="J1050" s="8" t="inlineStr">
        <is>
          <t>IJ</t>
        </is>
      </c>
      <c r="K1050" s="8" t="inlineStr"/>
      <c r="L1050" s="10">
        <f>IFERROR(IF(F1050&lt;F1049,"NEGATIVE",ROUND(F1050-F1049,2)),"")</f>
        <v/>
      </c>
    </row>
    <row r="1051" ht="22" customHeight="1">
      <c r="B1051" s="5" t="inlineStr">
        <is>
          <t>R01047</t>
        </is>
      </c>
      <c r="C1051" s="5" t="inlineStr">
        <is>
          <t>MTR-DOM-006</t>
        </is>
      </c>
      <c r="D1051" s="5" t="inlineStr">
        <is>
          <t>Utilities</t>
        </is>
      </c>
      <c r="E1051" s="5" t="inlineStr">
        <is>
          <t>Domestic Supply</t>
        </is>
      </c>
      <c r="F1051" s="5" t="inlineStr">
        <is>
          <t>2024-11-11 08:00</t>
        </is>
      </c>
      <c r="G1051" s="11" t="n">
        <v>21216.41</v>
      </c>
      <c r="H1051" s="5" t="inlineStr">
        <is>
          <t>m3</t>
        </is>
      </c>
      <c r="I1051" s="5" t="inlineStr">
        <is>
          <t>cumulative</t>
        </is>
      </c>
      <c r="J1051" s="5" t="inlineStr">
        <is>
          <t>AB</t>
        </is>
      </c>
      <c r="K1051" s="5" t="inlineStr"/>
      <c r="L1051" s="7">
        <f>IFERROR(IF(F1051&lt;F1050,"NEGATIVE",ROUND(F1051-F1050,2)),"")</f>
        <v/>
      </c>
    </row>
    <row r="1052" ht="22" customHeight="1">
      <c r="B1052" s="8" t="inlineStr">
        <is>
          <t>R01048</t>
        </is>
      </c>
      <c r="C1052" s="8" t="inlineStr">
        <is>
          <t>MTR-DOM-006</t>
        </is>
      </c>
      <c r="D1052" s="8" t="inlineStr">
        <is>
          <t>Utilities</t>
        </is>
      </c>
      <c r="E1052" s="8" t="inlineStr">
        <is>
          <t>Domestic Supply</t>
        </is>
      </c>
      <c r="F1052" s="8" t="inlineStr">
        <is>
          <t>2024-11-12 08:00</t>
        </is>
      </c>
      <c r="G1052" s="12" t="n">
        <v>21227.4</v>
      </c>
      <c r="H1052" s="8" t="inlineStr">
        <is>
          <t>m3</t>
        </is>
      </c>
      <c r="I1052" s="8" t="inlineStr">
        <is>
          <t>cumulative</t>
        </is>
      </c>
      <c r="J1052" s="8" t="inlineStr">
        <is>
          <t>IJ</t>
        </is>
      </c>
      <c r="K1052" s="8" t="inlineStr"/>
      <c r="L1052" s="10">
        <f>IFERROR(IF(F1052&lt;F1051,"NEGATIVE",ROUND(F1052-F1051,2)),"")</f>
        <v/>
      </c>
    </row>
    <row r="1053" ht="22" customHeight="1">
      <c r="B1053" s="5" t="inlineStr">
        <is>
          <t>R01049</t>
        </is>
      </c>
      <c r="C1053" s="5" t="inlineStr">
        <is>
          <t>MTR-DOM-006</t>
        </is>
      </c>
      <c r="D1053" s="5" t="inlineStr">
        <is>
          <t>Utilities</t>
        </is>
      </c>
      <c r="E1053" s="5" t="inlineStr">
        <is>
          <t>Domestic Supply</t>
        </is>
      </c>
      <c r="F1053" s="5" t="inlineStr">
        <is>
          <t>2024-11-13 08:00</t>
        </is>
      </c>
      <c r="G1053" s="11" t="n">
        <v>21236.95</v>
      </c>
      <c r="H1053" s="5" t="inlineStr">
        <is>
          <t>m3</t>
        </is>
      </c>
      <c r="I1053" s="5" t="inlineStr">
        <is>
          <t>cumulative</t>
        </is>
      </c>
      <c r="J1053" s="5" t="inlineStr">
        <is>
          <t>EF</t>
        </is>
      </c>
      <c r="K1053" s="5" t="inlineStr"/>
      <c r="L1053" s="7">
        <f>IFERROR(IF(F1053&lt;F1052,"NEGATIVE",ROUND(F1053-F1052,2)),"")</f>
        <v/>
      </c>
    </row>
    <row r="1054" ht="22" customHeight="1">
      <c r="B1054" s="8" t="inlineStr">
        <is>
          <t>R01050</t>
        </is>
      </c>
      <c r="C1054" s="8" t="inlineStr">
        <is>
          <t>MTR-DOM-006</t>
        </is>
      </c>
      <c r="D1054" s="8" t="inlineStr">
        <is>
          <t>Utilities</t>
        </is>
      </c>
      <c r="E1054" s="8" t="inlineStr">
        <is>
          <t>Domestic Supply</t>
        </is>
      </c>
      <c r="F1054" s="8" t="inlineStr">
        <is>
          <t>2024-11-14 08:00</t>
        </is>
      </c>
      <c r="G1054" s="12" t="n">
        <v>21246.14</v>
      </c>
      <c r="H1054" s="8" t="inlineStr">
        <is>
          <t>m3</t>
        </is>
      </c>
      <c r="I1054" s="8" t="inlineStr">
        <is>
          <t>cumulative</t>
        </is>
      </c>
      <c r="J1054" s="8" t="inlineStr">
        <is>
          <t>CD</t>
        </is>
      </c>
      <c r="K1054" s="8" t="inlineStr"/>
      <c r="L1054" s="10">
        <f>IFERROR(IF(F1054&lt;F1053,"NEGATIVE",ROUND(F1054-F1053,2)),"")</f>
        <v/>
      </c>
    </row>
    <row r="1055" ht="22" customHeight="1">
      <c r="B1055" s="5" t="inlineStr">
        <is>
          <t>R01051</t>
        </is>
      </c>
      <c r="C1055" s="5" t="inlineStr">
        <is>
          <t>MTR-DOM-006</t>
        </is>
      </c>
      <c r="D1055" s="5" t="inlineStr">
        <is>
          <t>Utilities</t>
        </is>
      </c>
      <c r="E1055" s="5" t="inlineStr">
        <is>
          <t>Domestic Supply</t>
        </is>
      </c>
      <c r="F1055" s="5" t="inlineStr">
        <is>
          <t>2024-11-15 08:00</t>
        </is>
      </c>
      <c r="G1055" s="11" t="n">
        <v>21255.41</v>
      </c>
      <c r="H1055" s="5" t="inlineStr">
        <is>
          <t>m3</t>
        </is>
      </c>
      <c r="I1055" s="5" t="inlineStr">
        <is>
          <t>cumulative</t>
        </is>
      </c>
      <c r="J1055" s="5" t="inlineStr">
        <is>
          <t>EF</t>
        </is>
      </c>
      <c r="K1055" s="5" t="inlineStr"/>
      <c r="L1055" s="7">
        <f>IFERROR(IF(F1055&lt;F1054,"NEGATIVE",ROUND(F1055-F1054,2)),"")</f>
        <v/>
      </c>
    </row>
    <row r="1056" ht="22" customHeight="1">
      <c r="B1056" s="8" t="inlineStr">
        <is>
          <t>R01052</t>
        </is>
      </c>
      <c r="C1056" s="8" t="inlineStr">
        <is>
          <t>MTR-DOM-006</t>
        </is>
      </c>
      <c r="D1056" s="8" t="inlineStr">
        <is>
          <t>Utilities</t>
        </is>
      </c>
      <c r="E1056" s="8" t="inlineStr">
        <is>
          <t>Domestic Supply</t>
        </is>
      </c>
      <c r="F1056" s="8" t="inlineStr">
        <is>
          <t>2024-11-16 08:00</t>
        </is>
      </c>
      <c r="G1056" s="12" t="n">
        <v>21263.57</v>
      </c>
      <c r="H1056" s="8" t="inlineStr">
        <is>
          <t>m3</t>
        </is>
      </c>
      <c r="I1056" s="8" t="inlineStr">
        <is>
          <t>cumulative</t>
        </is>
      </c>
      <c r="J1056" s="8" t="inlineStr">
        <is>
          <t>IJ</t>
        </is>
      </c>
      <c r="K1056" s="8" t="inlineStr"/>
      <c r="L1056" s="10">
        <f>IFERROR(IF(F1056&lt;F1055,"NEGATIVE",ROUND(F1056-F1055,2)),"")</f>
        <v/>
      </c>
    </row>
    <row r="1057" ht="22" customHeight="1">
      <c r="B1057" s="5" t="inlineStr">
        <is>
          <t>R01053</t>
        </is>
      </c>
      <c r="C1057" s="5" t="inlineStr">
        <is>
          <t>MTR-DOM-006</t>
        </is>
      </c>
      <c r="D1057" s="5" t="inlineStr">
        <is>
          <t>Utilities</t>
        </is>
      </c>
      <c r="E1057" s="5" t="inlineStr">
        <is>
          <t>Domestic Supply</t>
        </is>
      </c>
      <c r="F1057" s="5" t="inlineStr">
        <is>
          <t>2024-11-17 08:00</t>
        </is>
      </c>
      <c r="G1057" s="11" t="n">
        <v>21269.11</v>
      </c>
      <c r="H1057" s="5" t="inlineStr">
        <is>
          <t>m3</t>
        </is>
      </c>
      <c r="I1057" s="5" t="inlineStr">
        <is>
          <t>cumulative</t>
        </is>
      </c>
      <c r="J1057" s="5" t="inlineStr">
        <is>
          <t>GH</t>
        </is>
      </c>
      <c r="K1057" s="5" t="inlineStr"/>
      <c r="L1057" s="7">
        <f>IFERROR(IF(F1057&lt;F1056,"NEGATIVE",ROUND(F1057-F1056,2)),"")</f>
        <v/>
      </c>
    </row>
    <row r="1058" ht="22" customHeight="1">
      <c r="B1058" s="8" t="inlineStr">
        <is>
          <t>R01054</t>
        </is>
      </c>
      <c r="C1058" s="8" t="inlineStr">
        <is>
          <t>MTR-DOM-006</t>
        </is>
      </c>
      <c r="D1058" s="8" t="inlineStr">
        <is>
          <t>Utilities</t>
        </is>
      </c>
      <c r="E1058" s="8" t="inlineStr">
        <is>
          <t>Domestic Supply</t>
        </is>
      </c>
      <c r="F1058" s="8" t="inlineStr">
        <is>
          <t>2024-11-18 08:00</t>
        </is>
      </c>
      <c r="G1058" s="12" t="n">
        <v>21279.18</v>
      </c>
      <c r="H1058" s="8" t="inlineStr">
        <is>
          <t>m3</t>
        </is>
      </c>
      <c r="I1058" s="8" t="inlineStr">
        <is>
          <t>cumulative</t>
        </is>
      </c>
      <c r="J1058" s="8" t="inlineStr">
        <is>
          <t>CD</t>
        </is>
      </c>
      <c r="K1058" s="8" t="inlineStr"/>
      <c r="L1058" s="10">
        <f>IFERROR(IF(F1058&lt;F1057,"NEGATIVE",ROUND(F1058-F1057,2)),"")</f>
        <v/>
      </c>
    </row>
    <row r="1059" ht="22" customHeight="1">
      <c r="B1059" s="5" t="inlineStr">
        <is>
          <t>R01055</t>
        </is>
      </c>
      <c r="C1059" s="5" t="inlineStr">
        <is>
          <t>MTR-DOM-006</t>
        </is>
      </c>
      <c r="D1059" s="5" t="inlineStr">
        <is>
          <t>Utilities</t>
        </is>
      </c>
      <c r="E1059" s="5" t="inlineStr">
        <is>
          <t>Domestic Supply</t>
        </is>
      </c>
      <c r="F1059" s="5" t="inlineStr">
        <is>
          <t>2024-11-19 08:00</t>
        </is>
      </c>
      <c r="G1059" s="11" t="n">
        <v>21290.42</v>
      </c>
      <c r="H1059" s="5" t="inlineStr">
        <is>
          <t>m3</t>
        </is>
      </c>
      <c r="I1059" s="5" t="inlineStr">
        <is>
          <t>cumulative</t>
        </is>
      </c>
      <c r="J1059" s="5" t="inlineStr">
        <is>
          <t>GH</t>
        </is>
      </c>
      <c r="K1059" s="5" t="inlineStr"/>
      <c r="L1059" s="7">
        <f>IFERROR(IF(F1059&lt;F1058,"NEGATIVE",ROUND(F1059-F1058,2)),"")</f>
        <v/>
      </c>
    </row>
    <row r="1060" ht="22" customHeight="1">
      <c r="B1060" s="8" t="inlineStr">
        <is>
          <t>R01056</t>
        </is>
      </c>
      <c r="C1060" s="8" t="inlineStr">
        <is>
          <t>MTR-DOM-006</t>
        </is>
      </c>
      <c r="D1060" s="8" t="inlineStr">
        <is>
          <t>Utilities</t>
        </is>
      </c>
      <c r="E1060" s="8" t="inlineStr">
        <is>
          <t>Domestic Supply</t>
        </is>
      </c>
      <c r="F1060" s="8" t="inlineStr">
        <is>
          <t>2024-11-20 08:00</t>
        </is>
      </c>
      <c r="G1060" s="12" t="n">
        <v>21301.29</v>
      </c>
      <c r="H1060" s="8" t="inlineStr">
        <is>
          <t>m3</t>
        </is>
      </c>
      <c r="I1060" s="8" t="inlineStr">
        <is>
          <t>cumulative</t>
        </is>
      </c>
      <c r="J1060" s="8" t="inlineStr">
        <is>
          <t>KL</t>
        </is>
      </c>
      <c r="K1060" s="8" t="inlineStr"/>
      <c r="L1060" s="10">
        <f>IFERROR(IF(F1060&lt;F1059,"NEGATIVE",ROUND(F1060-F1059,2)),"")</f>
        <v/>
      </c>
    </row>
    <row r="1061" ht="22" customHeight="1">
      <c r="B1061" s="5" t="inlineStr">
        <is>
          <t>R01057</t>
        </is>
      </c>
      <c r="C1061" s="5" t="inlineStr">
        <is>
          <t>MTR-DOM-006</t>
        </is>
      </c>
      <c r="D1061" s="5" t="inlineStr">
        <is>
          <t>Utilities</t>
        </is>
      </c>
      <c r="E1061" s="5" t="inlineStr">
        <is>
          <t>Domestic Supply</t>
        </is>
      </c>
      <c r="F1061" s="5" t="inlineStr">
        <is>
          <t>2024-11-21 08:00</t>
        </is>
      </c>
      <c r="G1061" s="11" t="n">
        <v>21311.98</v>
      </c>
      <c r="H1061" s="5" t="inlineStr">
        <is>
          <t>m3</t>
        </is>
      </c>
      <c r="I1061" s="5" t="inlineStr">
        <is>
          <t>cumulative</t>
        </is>
      </c>
      <c r="J1061" s="5" t="inlineStr">
        <is>
          <t>IJ</t>
        </is>
      </c>
      <c r="K1061" s="5" t="inlineStr"/>
      <c r="L1061" s="7">
        <f>IFERROR(IF(F1061&lt;F1060,"NEGATIVE",ROUND(F1061-F1060,2)),"")</f>
        <v/>
      </c>
    </row>
    <row r="1062" ht="22" customHeight="1">
      <c r="B1062" s="8" t="inlineStr">
        <is>
          <t>R01058</t>
        </is>
      </c>
      <c r="C1062" s="8" t="inlineStr">
        <is>
          <t>MTR-DOM-006</t>
        </is>
      </c>
      <c r="D1062" s="8" t="inlineStr">
        <is>
          <t>Utilities</t>
        </is>
      </c>
      <c r="E1062" s="8" t="inlineStr">
        <is>
          <t>Domestic Supply</t>
        </is>
      </c>
      <c r="F1062" s="8" t="inlineStr">
        <is>
          <t>2024-11-22 08:00</t>
        </is>
      </c>
      <c r="G1062" s="12" t="n">
        <v>21322.86</v>
      </c>
      <c r="H1062" s="8" t="inlineStr">
        <is>
          <t>m3</t>
        </is>
      </c>
      <c r="I1062" s="8" t="inlineStr">
        <is>
          <t>cumulative</t>
        </is>
      </c>
      <c r="J1062" s="8" t="inlineStr">
        <is>
          <t>EF</t>
        </is>
      </c>
      <c r="K1062" s="8" t="inlineStr"/>
      <c r="L1062" s="10">
        <f>IFERROR(IF(F1062&lt;F1061,"NEGATIVE",ROUND(F1062-F1061,2)),"")</f>
        <v/>
      </c>
    </row>
    <row r="1063" ht="22" customHeight="1">
      <c r="B1063" s="5" t="inlineStr">
        <is>
          <t>R01059</t>
        </is>
      </c>
      <c r="C1063" s="5" t="inlineStr">
        <is>
          <t>MTR-DOM-006</t>
        </is>
      </c>
      <c r="D1063" s="5" t="inlineStr">
        <is>
          <t>Utilities</t>
        </is>
      </c>
      <c r="E1063" s="5" t="inlineStr">
        <is>
          <t>Domestic Supply</t>
        </is>
      </c>
      <c r="F1063" s="5" t="inlineStr">
        <is>
          <t>2024-11-23 08:00</t>
        </is>
      </c>
      <c r="G1063" s="11" t="n">
        <v>21330.97</v>
      </c>
      <c r="H1063" s="5" t="inlineStr">
        <is>
          <t>m3</t>
        </is>
      </c>
      <c r="I1063" s="5" t="inlineStr">
        <is>
          <t>cumulative</t>
        </is>
      </c>
      <c r="J1063" s="5" t="inlineStr">
        <is>
          <t>KL</t>
        </is>
      </c>
      <c r="K1063" s="5" t="inlineStr"/>
      <c r="L1063" s="7">
        <f>IFERROR(IF(F1063&lt;F1062,"NEGATIVE",ROUND(F1063-F1062,2)),"")</f>
        <v/>
      </c>
    </row>
    <row r="1064" ht="22" customHeight="1">
      <c r="B1064" s="8" t="inlineStr">
        <is>
          <t>R01060</t>
        </is>
      </c>
      <c r="C1064" s="8" t="inlineStr">
        <is>
          <t>MTR-DOM-006</t>
        </is>
      </c>
      <c r="D1064" s="8" t="inlineStr">
        <is>
          <t>Utilities</t>
        </is>
      </c>
      <c r="E1064" s="8" t="inlineStr">
        <is>
          <t>Domestic Supply</t>
        </is>
      </c>
      <c r="F1064" s="8" t="inlineStr">
        <is>
          <t>2024-11-24 08:00</t>
        </is>
      </c>
      <c r="G1064" s="12" t="n">
        <v>21335.66</v>
      </c>
      <c r="H1064" s="8" t="inlineStr">
        <is>
          <t>m3</t>
        </is>
      </c>
      <c r="I1064" s="8" t="inlineStr">
        <is>
          <t>cumulative</t>
        </is>
      </c>
      <c r="J1064" s="8" t="inlineStr">
        <is>
          <t>KL</t>
        </is>
      </c>
      <c r="K1064" s="8" t="inlineStr"/>
      <c r="L1064" s="10">
        <f>IFERROR(IF(F1064&lt;F1063,"NEGATIVE",ROUND(F1064-F1063,2)),"")</f>
        <v/>
      </c>
    </row>
    <row r="1065" ht="22" customHeight="1">
      <c r="B1065" s="5" t="inlineStr">
        <is>
          <t>R01061</t>
        </is>
      </c>
      <c r="C1065" s="5" t="inlineStr">
        <is>
          <t>MTR-DOM-006</t>
        </is>
      </c>
      <c r="D1065" s="5" t="inlineStr">
        <is>
          <t>Utilities</t>
        </is>
      </c>
      <c r="E1065" s="5" t="inlineStr">
        <is>
          <t>Domestic Supply</t>
        </is>
      </c>
      <c r="F1065" s="5" t="inlineStr">
        <is>
          <t>2024-11-25 08:00</t>
        </is>
      </c>
      <c r="G1065" s="11" t="n">
        <v>21346.46</v>
      </c>
      <c r="H1065" s="5" t="inlineStr">
        <is>
          <t>m3</t>
        </is>
      </c>
      <c r="I1065" s="5" t="inlineStr">
        <is>
          <t>cumulative</t>
        </is>
      </c>
      <c r="J1065" s="5" t="inlineStr">
        <is>
          <t>CD</t>
        </is>
      </c>
      <c r="K1065" s="5" t="inlineStr"/>
      <c r="L1065" s="7">
        <f>IFERROR(IF(F1065&lt;F1064,"NEGATIVE",ROUND(F1065-F1064,2)),"")</f>
        <v/>
      </c>
    </row>
    <row r="1066" ht="22" customHeight="1">
      <c r="B1066" s="8" t="inlineStr">
        <is>
          <t>R01062</t>
        </is>
      </c>
      <c r="C1066" s="8" t="inlineStr">
        <is>
          <t>MTR-DOM-006</t>
        </is>
      </c>
      <c r="D1066" s="8" t="inlineStr">
        <is>
          <t>Utilities</t>
        </is>
      </c>
      <c r="E1066" s="8" t="inlineStr">
        <is>
          <t>Domestic Supply</t>
        </is>
      </c>
      <c r="F1066" s="8" t="inlineStr">
        <is>
          <t>2024-11-26 08:00</t>
        </is>
      </c>
      <c r="G1066" s="12" t="n">
        <v>21356.13</v>
      </c>
      <c r="H1066" s="8" t="inlineStr">
        <is>
          <t>m3</t>
        </is>
      </c>
      <c r="I1066" s="8" t="inlineStr">
        <is>
          <t>cumulative</t>
        </is>
      </c>
      <c r="J1066" s="8" t="inlineStr">
        <is>
          <t>AB</t>
        </is>
      </c>
      <c r="K1066" s="8" t="inlineStr"/>
      <c r="L1066" s="10">
        <f>IFERROR(IF(F1066&lt;F1065,"NEGATIVE",ROUND(F1066-F1065,2)),"")</f>
        <v/>
      </c>
    </row>
    <row r="1067" ht="22" customHeight="1">
      <c r="B1067" s="5" t="inlineStr">
        <is>
          <t>R01063</t>
        </is>
      </c>
      <c r="C1067" s="5" t="inlineStr">
        <is>
          <t>MTR-DOM-006</t>
        </is>
      </c>
      <c r="D1067" s="5" t="inlineStr">
        <is>
          <t>Utilities</t>
        </is>
      </c>
      <c r="E1067" s="5" t="inlineStr">
        <is>
          <t>Domestic Supply</t>
        </is>
      </c>
      <c r="F1067" s="5" t="inlineStr">
        <is>
          <t>2024-11-27 08:00</t>
        </is>
      </c>
      <c r="G1067" s="11" t="n">
        <v>21365.39</v>
      </c>
      <c r="H1067" s="5" t="inlineStr">
        <is>
          <t>m3</t>
        </is>
      </c>
      <c r="I1067" s="5" t="inlineStr">
        <is>
          <t>cumulative</t>
        </is>
      </c>
      <c r="J1067" s="5" t="inlineStr">
        <is>
          <t>KL</t>
        </is>
      </c>
      <c r="K1067" s="5" t="inlineStr"/>
      <c r="L1067" s="7">
        <f>IFERROR(IF(F1067&lt;F1066,"NEGATIVE",ROUND(F1067-F1066,2)),"")</f>
        <v/>
      </c>
    </row>
    <row r="1068" ht="22" customHeight="1">
      <c r="B1068" s="8" t="inlineStr">
        <is>
          <t>R01064</t>
        </is>
      </c>
      <c r="C1068" s="8" t="inlineStr">
        <is>
          <t>MTR-DOM-006</t>
        </is>
      </c>
      <c r="D1068" s="8" t="inlineStr">
        <is>
          <t>Utilities</t>
        </is>
      </c>
      <c r="E1068" s="8" t="inlineStr">
        <is>
          <t>Domestic Supply</t>
        </is>
      </c>
      <c r="F1068" s="8" t="inlineStr">
        <is>
          <t>2024-11-28 08:00</t>
        </is>
      </c>
      <c r="G1068" s="12" t="n">
        <v>21375.27</v>
      </c>
      <c r="H1068" s="8" t="inlineStr">
        <is>
          <t>m3</t>
        </is>
      </c>
      <c r="I1068" s="8" t="inlineStr">
        <is>
          <t>cumulative</t>
        </is>
      </c>
      <c r="J1068" s="8" t="inlineStr">
        <is>
          <t>IJ</t>
        </is>
      </c>
      <c r="K1068" s="8" t="inlineStr"/>
      <c r="L1068" s="10">
        <f>IFERROR(IF(F1068&lt;F1067,"NEGATIVE",ROUND(F1068-F1067,2)),"")</f>
        <v/>
      </c>
    </row>
    <row r="1069" ht="22" customHeight="1">
      <c r="B1069" s="5" t="inlineStr">
        <is>
          <t>R01065</t>
        </is>
      </c>
      <c r="C1069" s="5" t="inlineStr">
        <is>
          <t>MTR-DOM-006</t>
        </is>
      </c>
      <c r="D1069" s="5" t="inlineStr">
        <is>
          <t>Utilities</t>
        </is>
      </c>
      <c r="E1069" s="5" t="inlineStr">
        <is>
          <t>Domestic Supply</t>
        </is>
      </c>
      <c r="F1069" s="5" t="inlineStr">
        <is>
          <t>2024-11-29 08:00</t>
        </is>
      </c>
      <c r="G1069" s="11" t="n">
        <v>21384.28</v>
      </c>
      <c r="H1069" s="5" t="inlineStr">
        <is>
          <t>m3</t>
        </is>
      </c>
      <c r="I1069" s="5" t="inlineStr">
        <is>
          <t>cumulative</t>
        </is>
      </c>
      <c r="J1069" s="5" t="inlineStr">
        <is>
          <t>GH</t>
        </is>
      </c>
      <c r="K1069" s="5" t="inlineStr"/>
      <c r="L1069" s="7">
        <f>IFERROR(IF(F1069&lt;F1068,"NEGATIVE",ROUND(F1069-F1068,2)),"")</f>
        <v/>
      </c>
    </row>
    <row r="1070" ht="22" customHeight="1">
      <c r="B1070" s="8" t="inlineStr">
        <is>
          <t>R01066</t>
        </is>
      </c>
      <c r="C1070" s="8" t="inlineStr">
        <is>
          <t>MTR-DOM-006</t>
        </is>
      </c>
      <c r="D1070" s="8" t="inlineStr">
        <is>
          <t>Utilities</t>
        </is>
      </c>
      <c r="E1070" s="8" t="inlineStr">
        <is>
          <t>Domestic Supply</t>
        </is>
      </c>
      <c r="F1070" s="8" t="inlineStr">
        <is>
          <t>2024-11-30 08:00</t>
        </is>
      </c>
      <c r="G1070" s="12" t="n">
        <v>21392.76</v>
      </c>
      <c r="H1070" s="8" t="inlineStr">
        <is>
          <t>m3</t>
        </is>
      </c>
      <c r="I1070" s="8" t="inlineStr">
        <is>
          <t>cumulative</t>
        </is>
      </c>
      <c r="J1070" s="8" t="inlineStr">
        <is>
          <t>AB</t>
        </is>
      </c>
      <c r="K1070" s="8" t="inlineStr"/>
      <c r="L1070" s="10">
        <f>IFERROR(IF(F1070&lt;F1069,"NEGATIVE",ROUND(F1070-F1069,2)),"")</f>
        <v/>
      </c>
    </row>
    <row r="1071" ht="22" customHeight="1">
      <c r="B1071" s="5" t="inlineStr">
        <is>
          <t>R01067</t>
        </is>
      </c>
      <c r="C1071" s="5" t="inlineStr">
        <is>
          <t>MTR-DOM-006</t>
        </is>
      </c>
      <c r="D1071" s="5" t="inlineStr">
        <is>
          <t>Utilities</t>
        </is>
      </c>
      <c r="E1071" s="5" t="inlineStr">
        <is>
          <t>Domestic Supply</t>
        </is>
      </c>
      <c r="F1071" s="5" t="inlineStr">
        <is>
          <t>2024-12-01 08:00</t>
        </is>
      </c>
      <c r="G1071" s="11" t="n">
        <v>21397.17</v>
      </c>
      <c r="H1071" s="5" t="inlineStr">
        <is>
          <t>m3</t>
        </is>
      </c>
      <c r="I1071" s="5" t="inlineStr">
        <is>
          <t>cumulative</t>
        </is>
      </c>
      <c r="J1071" s="5" t="inlineStr">
        <is>
          <t>AB</t>
        </is>
      </c>
      <c r="K1071" s="5" t="inlineStr"/>
      <c r="L1071" s="7">
        <f>IFERROR(IF(F1071&lt;F1070,"NEGATIVE",ROUND(F1071-F1070,2)),"")</f>
        <v/>
      </c>
    </row>
    <row r="1072" ht="22" customHeight="1">
      <c r="B1072" s="8" t="inlineStr">
        <is>
          <t>R01068</t>
        </is>
      </c>
      <c r="C1072" s="8" t="inlineStr">
        <is>
          <t>MTR-DOM-006</t>
        </is>
      </c>
      <c r="D1072" s="8" t="inlineStr">
        <is>
          <t>Utilities</t>
        </is>
      </c>
      <c r="E1072" s="8" t="inlineStr">
        <is>
          <t>Domestic Supply</t>
        </is>
      </c>
      <c r="F1072" s="8" t="inlineStr">
        <is>
          <t>2024-12-02 08:00</t>
        </is>
      </c>
      <c r="G1072" s="12" t="n">
        <v>21406.67</v>
      </c>
      <c r="H1072" s="8" t="inlineStr">
        <is>
          <t>m3</t>
        </is>
      </c>
      <c r="I1072" s="8" t="inlineStr">
        <is>
          <t>cumulative</t>
        </is>
      </c>
      <c r="J1072" s="8" t="inlineStr">
        <is>
          <t>AB</t>
        </is>
      </c>
      <c r="K1072" s="8" t="inlineStr"/>
      <c r="L1072" s="10">
        <f>IFERROR(IF(F1072&lt;F1071,"NEGATIVE",ROUND(F1072-F1071,2)),"")</f>
        <v/>
      </c>
    </row>
    <row r="1073" ht="22" customHeight="1">
      <c r="B1073" s="5" t="inlineStr">
        <is>
          <t>R01069</t>
        </is>
      </c>
      <c r="C1073" s="5" t="inlineStr">
        <is>
          <t>MTR-DOM-006</t>
        </is>
      </c>
      <c r="D1073" s="5" t="inlineStr">
        <is>
          <t>Utilities</t>
        </is>
      </c>
      <c r="E1073" s="5" t="inlineStr">
        <is>
          <t>Domestic Supply</t>
        </is>
      </c>
      <c r="F1073" s="5" t="inlineStr">
        <is>
          <t>2024-12-03 08:00</t>
        </is>
      </c>
      <c r="G1073" s="11" t="n">
        <v>21417.24</v>
      </c>
      <c r="H1073" s="5" t="inlineStr">
        <is>
          <t>m3</t>
        </is>
      </c>
      <c r="I1073" s="5" t="inlineStr">
        <is>
          <t>cumulative</t>
        </is>
      </c>
      <c r="J1073" s="5" t="inlineStr">
        <is>
          <t>GH</t>
        </is>
      </c>
      <c r="K1073" s="5" t="inlineStr"/>
      <c r="L1073" s="7">
        <f>IFERROR(IF(F1073&lt;F1072,"NEGATIVE",ROUND(F1073-F1072,2)),"")</f>
        <v/>
      </c>
    </row>
    <row r="1074" ht="22" customHeight="1">
      <c r="B1074" s="8" t="inlineStr">
        <is>
          <t>R01070</t>
        </is>
      </c>
      <c r="C1074" s="8" t="inlineStr">
        <is>
          <t>MTR-DOM-006</t>
        </is>
      </c>
      <c r="D1074" s="8" t="inlineStr">
        <is>
          <t>Utilities</t>
        </is>
      </c>
      <c r="E1074" s="8" t="inlineStr">
        <is>
          <t>Domestic Supply</t>
        </is>
      </c>
      <c r="F1074" s="8" t="inlineStr">
        <is>
          <t>2024-12-04 08:00</t>
        </is>
      </c>
      <c r="G1074" s="12" t="n">
        <v>21426.96</v>
      </c>
      <c r="H1074" s="8" t="inlineStr">
        <is>
          <t>m3</t>
        </is>
      </c>
      <c r="I1074" s="8" t="inlineStr">
        <is>
          <t>cumulative</t>
        </is>
      </c>
      <c r="J1074" s="8" t="inlineStr">
        <is>
          <t>CD</t>
        </is>
      </c>
      <c r="K1074" s="8" t="inlineStr"/>
      <c r="L1074" s="10">
        <f>IFERROR(IF(F1074&lt;F1073,"NEGATIVE",ROUND(F1074-F1073,2)),"")</f>
        <v/>
      </c>
    </row>
    <row r="1075" ht="22" customHeight="1">
      <c r="B1075" s="5" t="inlineStr">
        <is>
          <t>R01071</t>
        </is>
      </c>
      <c r="C1075" s="5" t="inlineStr">
        <is>
          <t>MTR-DOM-006</t>
        </is>
      </c>
      <c r="D1075" s="5" t="inlineStr">
        <is>
          <t>Utilities</t>
        </is>
      </c>
      <c r="E1075" s="5" t="inlineStr">
        <is>
          <t>Domestic Supply</t>
        </is>
      </c>
      <c r="F1075" s="5" t="inlineStr">
        <is>
          <t>2024-12-05 08:00</t>
        </is>
      </c>
      <c r="G1075" s="11" t="n">
        <v>21438.01</v>
      </c>
      <c r="H1075" s="5" t="inlineStr">
        <is>
          <t>m3</t>
        </is>
      </c>
      <c r="I1075" s="5" t="inlineStr">
        <is>
          <t>cumulative</t>
        </is>
      </c>
      <c r="J1075" s="5" t="inlineStr">
        <is>
          <t>IJ</t>
        </is>
      </c>
      <c r="K1075" s="5" t="inlineStr"/>
      <c r="L1075" s="7">
        <f>IFERROR(IF(F1075&lt;F1074,"NEGATIVE",ROUND(F1075-F1074,2)),"")</f>
        <v/>
      </c>
    </row>
    <row r="1076" ht="22" customHeight="1">
      <c r="B1076" s="8" t="inlineStr">
        <is>
          <t>R01072</t>
        </is>
      </c>
      <c r="C1076" s="8" t="inlineStr">
        <is>
          <t>MTR-DOM-006</t>
        </is>
      </c>
      <c r="D1076" s="8" t="inlineStr">
        <is>
          <t>Utilities</t>
        </is>
      </c>
      <c r="E1076" s="8" t="inlineStr">
        <is>
          <t>Domestic Supply</t>
        </is>
      </c>
      <c r="F1076" s="8" t="inlineStr">
        <is>
          <t>2024-12-06 08:00</t>
        </is>
      </c>
      <c r="G1076" s="12" t="n">
        <v>21446.57</v>
      </c>
      <c r="H1076" s="8" t="inlineStr">
        <is>
          <t>m3</t>
        </is>
      </c>
      <c r="I1076" s="8" t="inlineStr">
        <is>
          <t>cumulative</t>
        </is>
      </c>
      <c r="J1076" s="8" t="inlineStr">
        <is>
          <t>CD</t>
        </is>
      </c>
      <c r="K1076" s="8" t="inlineStr"/>
      <c r="L1076" s="10">
        <f>IFERROR(IF(F1076&lt;F1075,"NEGATIVE",ROUND(F1076-F1075,2)),"")</f>
        <v/>
      </c>
    </row>
    <row r="1077" ht="22" customHeight="1">
      <c r="B1077" s="5" t="inlineStr">
        <is>
          <t>R01073</t>
        </is>
      </c>
      <c r="C1077" s="5" t="inlineStr">
        <is>
          <t>MTR-DOM-006</t>
        </is>
      </c>
      <c r="D1077" s="5" t="inlineStr">
        <is>
          <t>Utilities</t>
        </is>
      </c>
      <c r="E1077" s="5" t="inlineStr">
        <is>
          <t>Domestic Supply</t>
        </is>
      </c>
      <c r="F1077" s="5" t="inlineStr">
        <is>
          <t>2024-12-07 08:00</t>
        </is>
      </c>
      <c r="G1077" s="11" t="n">
        <v>21454.84</v>
      </c>
      <c r="H1077" s="5" t="inlineStr">
        <is>
          <t>m3</t>
        </is>
      </c>
      <c r="I1077" s="5" t="inlineStr">
        <is>
          <t>cumulative</t>
        </is>
      </c>
      <c r="J1077" s="5" t="inlineStr">
        <is>
          <t>CD</t>
        </is>
      </c>
      <c r="K1077" s="5" t="inlineStr"/>
      <c r="L1077" s="7">
        <f>IFERROR(IF(F1077&lt;F1076,"NEGATIVE",ROUND(F1077-F1076,2)),"")</f>
        <v/>
      </c>
    </row>
    <row r="1078" ht="22" customHeight="1">
      <c r="B1078" s="8" t="inlineStr">
        <is>
          <t>R01074</t>
        </is>
      </c>
      <c r="C1078" s="8" t="inlineStr">
        <is>
          <t>MTR-DOM-006</t>
        </is>
      </c>
      <c r="D1078" s="8" t="inlineStr">
        <is>
          <t>Utilities</t>
        </is>
      </c>
      <c r="E1078" s="8" t="inlineStr">
        <is>
          <t>Domestic Supply</t>
        </is>
      </c>
      <c r="F1078" s="8" t="inlineStr">
        <is>
          <t>2024-12-08 08:00</t>
        </is>
      </c>
      <c r="G1078" s="12" t="n">
        <v>21459.79</v>
      </c>
      <c r="H1078" s="8" t="inlineStr">
        <is>
          <t>m3</t>
        </is>
      </c>
      <c r="I1078" s="8" t="inlineStr">
        <is>
          <t>cumulative</t>
        </is>
      </c>
      <c r="J1078" s="8" t="inlineStr">
        <is>
          <t>GH</t>
        </is>
      </c>
      <c r="K1078" s="8" t="inlineStr"/>
      <c r="L1078" s="10">
        <f>IFERROR(IF(F1078&lt;F1077,"NEGATIVE",ROUND(F1078-F1077,2)),"")</f>
        <v/>
      </c>
    </row>
    <row r="1079" ht="22" customHeight="1">
      <c r="B1079" s="5" t="inlineStr">
        <is>
          <t>R01075</t>
        </is>
      </c>
      <c r="C1079" s="5" t="inlineStr">
        <is>
          <t>MTR-DOM-006</t>
        </is>
      </c>
      <c r="D1079" s="5" t="inlineStr">
        <is>
          <t>Utilities</t>
        </is>
      </c>
      <c r="E1079" s="5" t="inlineStr">
        <is>
          <t>Domestic Supply</t>
        </is>
      </c>
      <c r="F1079" s="5" t="inlineStr">
        <is>
          <t>2024-12-09 08:00</t>
        </is>
      </c>
      <c r="G1079" s="11" t="n">
        <v>21470.18</v>
      </c>
      <c r="H1079" s="5" t="inlineStr">
        <is>
          <t>m3</t>
        </is>
      </c>
      <c r="I1079" s="5" t="inlineStr">
        <is>
          <t>cumulative</t>
        </is>
      </c>
      <c r="J1079" s="5" t="inlineStr">
        <is>
          <t>CD</t>
        </is>
      </c>
      <c r="K1079" s="5" t="inlineStr"/>
      <c r="L1079" s="7">
        <f>IFERROR(IF(F1079&lt;F1078,"NEGATIVE",ROUND(F1079-F1078,2)),"")</f>
        <v/>
      </c>
    </row>
    <row r="1080" ht="22" customHeight="1">
      <c r="B1080" s="8" t="inlineStr">
        <is>
          <t>R01076</t>
        </is>
      </c>
      <c r="C1080" s="8" t="inlineStr">
        <is>
          <t>MTR-DOM-006</t>
        </is>
      </c>
      <c r="D1080" s="8" t="inlineStr">
        <is>
          <t>Utilities</t>
        </is>
      </c>
      <c r="E1080" s="8" t="inlineStr">
        <is>
          <t>Domestic Supply</t>
        </is>
      </c>
      <c r="F1080" s="8" t="inlineStr">
        <is>
          <t>2024-12-10 08:00</t>
        </is>
      </c>
      <c r="G1080" s="12" t="n">
        <v>21481.02</v>
      </c>
      <c r="H1080" s="8" t="inlineStr">
        <is>
          <t>m3</t>
        </is>
      </c>
      <c r="I1080" s="8" t="inlineStr">
        <is>
          <t>cumulative</t>
        </is>
      </c>
      <c r="J1080" s="8" t="inlineStr">
        <is>
          <t>KL</t>
        </is>
      </c>
      <c r="K1080" s="8" t="inlineStr"/>
      <c r="L1080" s="10">
        <f>IFERROR(IF(F1080&lt;F1079,"NEGATIVE",ROUND(F1080-F1079,2)),"")</f>
        <v/>
      </c>
    </row>
    <row r="1081" ht="22" customHeight="1">
      <c r="B1081" s="5" t="inlineStr">
        <is>
          <t>R01077</t>
        </is>
      </c>
      <c r="C1081" s="5" t="inlineStr">
        <is>
          <t>MTR-DOM-006</t>
        </is>
      </c>
      <c r="D1081" s="5" t="inlineStr">
        <is>
          <t>Utilities</t>
        </is>
      </c>
      <c r="E1081" s="5" t="inlineStr">
        <is>
          <t>Domestic Supply</t>
        </is>
      </c>
      <c r="F1081" s="5" t="inlineStr">
        <is>
          <t>2024-12-11 08:00</t>
        </is>
      </c>
      <c r="G1081" s="11" t="n">
        <v>21489.33</v>
      </c>
      <c r="H1081" s="5" t="inlineStr">
        <is>
          <t>m3</t>
        </is>
      </c>
      <c r="I1081" s="5" t="inlineStr">
        <is>
          <t>cumulative</t>
        </is>
      </c>
      <c r="J1081" s="5" t="inlineStr">
        <is>
          <t>KL</t>
        </is>
      </c>
      <c r="K1081" s="5" t="inlineStr"/>
      <c r="L1081" s="7">
        <f>IFERROR(IF(F1081&lt;F1080,"NEGATIVE",ROUND(F1081-F1080,2)),"")</f>
        <v/>
      </c>
    </row>
    <row r="1082" ht="22" customHeight="1">
      <c r="B1082" s="8" t="inlineStr">
        <is>
          <t>R01078</t>
        </is>
      </c>
      <c r="C1082" s="8" t="inlineStr">
        <is>
          <t>MTR-DOM-006</t>
        </is>
      </c>
      <c r="D1082" s="8" t="inlineStr">
        <is>
          <t>Utilities</t>
        </is>
      </c>
      <c r="E1082" s="8" t="inlineStr">
        <is>
          <t>Domestic Supply</t>
        </is>
      </c>
      <c r="F1082" s="8" t="inlineStr">
        <is>
          <t>2024-12-12 08:00</t>
        </is>
      </c>
      <c r="G1082" s="12" t="n">
        <v>21499.41</v>
      </c>
      <c r="H1082" s="8" t="inlineStr">
        <is>
          <t>m3</t>
        </is>
      </c>
      <c r="I1082" s="8" t="inlineStr">
        <is>
          <t>cumulative</t>
        </is>
      </c>
      <c r="J1082" s="8" t="inlineStr">
        <is>
          <t>GH</t>
        </is>
      </c>
      <c r="K1082" s="8" t="inlineStr"/>
      <c r="L1082" s="10">
        <f>IFERROR(IF(F1082&lt;F1081,"NEGATIVE",ROUND(F1082-F1081,2)),"")</f>
        <v/>
      </c>
    </row>
    <row r="1083" ht="22" customHeight="1">
      <c r="B1083" s="5" t="inlineStr">
        <is>
          <t>R01079</t>
        </is>
      </c>
      <c r="C1083" s="5" t="inlineStr">
        <is>
          <t>MTR-DOM-006</t>
        </is>
      </c>
      <c r="D1083" s="5" t="inlineStr">
        <is>
          <t>Utilities</t>
        </is>
      </c>
      <c r="E1083" s="5" t="inlineStr">
        <is>
          <t>Domestic Supply</t>
        </is>
      </c>
      <c r="F1083" s="5" t="inlineStr">
        <is>
          <t>2024-12-13 08:00</t>
        </is>
      </c>
      <c r="G1083" s="11" t="n">
        <v>21507.84</v>
      </c>
      <c r="H1083" s="5" t="inlineStr">
        <is>
          <t>m3</t>
        </is>
      </c>
      <c r="I1083" s="5" t="inlineStr">
        <is>
          <t>cumulative</t>
        </is>
      </c>
      <c r="J1083" s="5" t="inlineStr">
        <is>
          <t>KL</t>
        </is>
      </c>
      <c r="K1083" s="5" t="inlineStr"/>
      <c r="L1083" s="7">
        <f>IFERROR(IF(F1083&lt;F1082,"NEGATIVE",ROUND(F1083-F1082,2)),"")</f>
        <v/>
      </c>
    </row>
    <row r="1084" ht="22" customHeight="1">
      <c r="B1084" s="8" t="inlineStr">
        <is>
          <t>R01080</t>
        </is>
      </c>
      <c r="C1084" s="8" t="inlineStr">
        <is>
          <t>MTR-DOM-006</t>
        </is>
      </c>
      <c r="D1084" s="8" t="inlineStr">
        <is>
          <t>Utilities</t>
        </is>
      </c>
      <c r="E1084" s="8" t="inlineStr">
        <is>
          <t>Domestic Supply</t>
        </is>
      </c>
      <c r="F1084" s="8" t="inlineStr">
        <is>
          <t>2024-12-14 08:00</t>
        </is>
      </c>
      <c r="G1084" s="12" t="n">
        <v>21514.66</v>
      </c>
      <c r="H1084" s="8" t="inlineStr">
        <is>
          <t>m3</t>
        </is>
      </c>
      <c r="I1084" s="8" t="inlineStr">
        <is>
          <t>cumulative</t>
        </is>
      </c>
      <c r="J1084" s="8" t="inlineStr">
        <is>
          <t>CD</t>
        </is>
      </c>
      <c r="K1084" s="8" t="inlineStr"/>
      <c r="L1084" s="10">
        <f>IFERROR(IF(F1084&lt;F1083,"NEGATIVE",ROUND(F1084-F1083,2)),"")</f>
        <v/>
      </c>
    </row>
    <row r="1085" ht="22" customHeight="1">
      <c r="B1085" s="5" t="inlineStr">
        <is>
          <t>R01081</t>
        </is>
      </c>
      <c r="C1085" s="5" t="inlineStr">
        <is>
          <t>MTR-DOM-006</t>
        </is>
      </c>
      <c r="D1085" s="5" t="inlineStr">
        <is>
          <t>Utilities</t>
        </is>
      </c>
      <c r="E1085" s="5" t="inlineStr">
        <is>
          <t>Domestic Supply</t>
        </is>
      </c>
      <c r="F1085" s="5" t="inlineStr">
        <is>
          <t>2024-12-15 08:00</t>
        </is>
      </c>
      <c r="G1085" s="11" t="n">
        <v>21519.68</v>
      </c>
      <c r="H1085" s="5" t="inlineStr">
        <is>
          <t>m3</t>
        </is>
      </c>
      <c r="I1085" s="5" t="inlineStr">
        <is>
          <t>cumulative</t>
        </is>
      </c>
      <c r="J1085" s="5" t="inlineStr">
        <is>
          <t>AB</t>
        </is>
      </c>
      <c r="K1085" s="5" t="inlineStr"/>
      <c r="L1085" s="7">
        <f>IFERROR(IF(F1085&lt;F1084,"NEGATIVE",ROUND(F1085-F1084,2)),"")</f>
        <v/>
      </c>
    </row>
    <row r="1086" ht="22" customHeight="1">
      <c r="B1086" s="8" t="inlineStr">
        <is>
          <t>R01082</t>
        </is>
      </c>
      <c r="C1086" s="8" t="inlineStr">
        <is>
          <t>MTR-DOM-006</t>
        </is>
      </c>
      <c r="D1086" s="8" t="inlineStr">
        <is>
          <t>Utilities</t>
        </is>
      </c>
      <c r="E1086" s="8" t="inlineStr">
        <is>
          <t>Domestic Supply</t>
        </is>
      </c>
      <c r="F1086" s="8" t="inlineStr">
        <is>
          <t>2024-12-16 08:00</t>
        </is>
      </c>
      <c r="G1086" s="12" t="n">
        <v>21530.77</v>
      </c>
      <c r="H1086" s="8" t="inlineStr">
        <is>
          <t>m3</t>
        </is>
      </c>
      <c r="I1086" s="8" t="inlineStr">
        <is>
          <t>cumulative</t>
        </is>
      </c>
      <c r="J1086" s="8" t="inlineStr">
        <is>
          <t>KL</t>
        </is>
      </c>
      <c r="K1086" s="8" t="inlineStr"/>
      <c r="L1086" s="10">
        <f>IFERROR(IF(F1086&lt;F1085,"NEGATIVE",ROUND(F1086-F1085,2)),"")</f>
        <v/>
      </c>
    </row>
    <row r="1087" ht="22" customHeight="1">
      <c r="B1087" s="5" t="inlineStr">
        <is>
          <t>R01083</t>
        </is>
      </c>
      <c r="C1087" s="5" t="inlineStr">
        <is>
          <t>MTR-DOM-006</t>
        </is>
      </c>
      <c r="D1087" s="5" t="inlineStr">
        <is>
          <t>Utilities</t>
        </is>
      </c>
      <c r="E1087" s="5" t="inlineStr">
        <is>
          <t>Domestic Supply</t>
        </is>
      </c>
      <c r="F1087" s="5" t="inlineStr">
        <is>
          <t>2024-12-17 08:00</t>
        </is>
      </c>
      <c r="G1087" s="11" t="n">
        <v>21540.01</v>
      </c>
      <c r="H1087" s="5" t="inlineStr">
        <is>
          <t>m3</t>
        </is>
      </c>
      <c r="I1087" s="5" t="inlineStr">
        <is>
          <t>cumulative</t>
        </is>
      </c>
      <c r="J1087" s="5" t="inlineStr">
        <is>
          <t>IJ</t>
        </is>
      </c>
      <c r="K1087" s="5" t="inlineStr"/>
      <c r="L1087" s="7">
        <f>IFERROR(IF(F1087&lt;F1086,"NEGATIVE",ROUND(F1087-F1086,2)),"")</f>
        <v/>
      </c>
    </row>
    <row r="1088" ht="22" customHeight="1">
      <c r="B1088" s="8" t="inlineStr">
        <is>
          <t>R01084</t>
        </is>
      </c>
      <c r="C1088" s="8" t="inlineStr">
        <is>
          <t>MTR-DOM-006</t>
        </is>
      </c>
      <c r="D1088" s="8" t="inlineStr">
        <is>
          <t>Utilities</t>
        </is>
      </c>
      <c r="E1088" s="8" t="inlineStr">
        <is>
          <t>Domestic Supply</t>
        </is>
      </c>
      <c r="F1088" s="8" t="inlineStr">
        <is>
          <t>2024-12-18 08:00</t>
        </is>
      </c>
      <c r="G1088" s="12" t="n">
        <v>21550.71</v>
      </c>
      <c r="H1088" s="8" t="inlineStr">
        <is>
          <t>m3</t>
        </is>
      </c>
      <c r="I1088" s="8" t="inlineStr">
        <is>
          <t>cumulative</t>
        </is>
      </c>
      <c r="J1088" s="8" t="inlineStr">
        <is>
          <t>EF</t>
        </is>
      </c>
      <c r="K1088" s="8" t="inlineStr"/>
      <c r="L1088" s="10">
        <f>IFERROR(IF(F1088&lt;F1087,"NEGATIVE",ROUND(F1088-F1087,2)),"")</f>
        <v/>
      </c>
    </row>
    <row r="1089" ht="22" customHeight="1">
      <c r="B1089" s="5" t="inlineStr">
        <is>
          <t>R01085</t>
        </is>
      </c>
      <c r="C1089" s="5" t="inlineStr">
        <is>
          <t>MTR-DOM-006</t>
        </is>
      </c>
      <c r="D1089" s="5" t="inlineStr">
        <is>
          <t>Utilities</t>
        </is>
      </c>
      <c r="E1089" s="5" t="inlineStr">
        <is>
          <t>Domestic Supply</t>
        </is>
      </c>
      <c r="F1089" s="5" t="inlineStr">
        <is>
          <t>2024-12-19 08:00</t>
        </is>
      </c>
      <c r="G1089" s="11" t="n">
        <v>21559.3</v>
      </c>
      <c r="H1089" s="5" t="inlineStr">
        <is>
          <t>m3</t>
        </is>
      </c>
      <c r="I1089" s="5" t="inlineStr">
        <is>
          <t>cumulative</t>
        </is>
      </c>
      <c r="J1089" s="5" t="inlineStr">
        <is>
          <t>IJ</t>
        </is>
      </c>
      <c r="K1089" s="5" t="inlineStr"/>
      <c r="L1089" s="7">
        <f>IFERROR(IF(F1089&lt;F1088,"NEGATIVE",ROUND(F1089-F1088,2)),"")</f>
        <v/>
      </c>
    </row>
    <row r="1090" ht="22" customHeight="1">
      <c r="B1090" s="8" t="inlineStr">
        <is>
          <t>R01086</t>
        </is>
      </c>
      <c r="C1090" s="8" t="inlineStr">
        <is>
          <t>MTR-DOM-006</t>
        </is>
      </c>
      <c r="D1090" s="8" t="inlineStr">
        <is>
          <t>Utilities</t>
        </is>
      </c>
      <c r="E1090" s="8" t="inlineStr">
        <is>
          <t>Domestic Supply</t>
        </is>
      </c>
      <c r="F1090" s="8" t="inlineStr">
        <is>
          <t>2024-12-20 08:00</t>
        </is>
      </c>
      <c r="G1090" s="12" t="n">
        <v>21570.28</v>
      </c>
      <c r="H1090" s="8" t="inlineStr">
        <is>
          <t>m3</t>
        </is>
      </c>
      <c r="I1090" s="8" t="inlineStr">
        <is>
          <t>cumulative</t>
        </is>
      </c>
      <c r="J1090" s="8" t="inlineStr">
        <is>
          <t>KL</t>
        </is>
      </c>
      <c r="K1090" s="8" t="inlineStr"/>
      <c r="L1090" s="10">
        <f>IFERROR(IF(F1090&lt;F1089,"NEGATIVE",ROUND(F1090-F1089,2)),"")</f>
        <v/>
      </c>
    </row>
    <row r="1091" ht="22" customHeight="1">
      <c r="B1091" s="5" t="inlineStr">
        <is>
          <t>R01087</t>
        </is>
      </c>
      <c r="C1091" s="5" t="inlineStr">
        <is>
          <t>MTR-DOM-006</t>
        </is>
      </c>
      <c r="D1091" s="5" t="inlineStr">
        <is>
          <t>Utilities</t>
        </is>
      </c>
      <c r="E1091" s="5" t="inlineStr">
        <is>
          <t>Domestic Supply</t>
        </is>
      </c>
      <c r="F1091" s="5" t="inlineStr">
        <is>
          <t>2024-12-21 08:00</t>
        </is>
      </c>
      <c r="G1091" s="11" t="n">
        <v>21578.29</v>
      </c>
      <c r="H1091" s="5" t="inlineStr">
        <is>
          <t>m3</t>
        </is>
      </c>
      <c r="I1091" s="5" t="inlineStr">
        <is>
          <t>cumulative</t>
        </is>
      </c>
      <c r="J1091" s="5" t="inlineStr">
        <is>
          <t>GH</t>
        </is>
      </c>
      <c r="K1091" s="5" t="inlineStr"/>
      <c r="L1091" s="7">
        <f>IFERROR(IF(F1091&lt;F1090,"NEGATIVE",ROUND(F1091-F1090,2)),"")</f>
        <v/>
      </c>
    </row>
    <row r="1092" ht="22" customHeight="1">
      <c r="B1092" s="8" t="inlineStr">
        <is>
          <t>R01088</t>
        </is>
      </c>
      <c r="C1092" s="8" t="inlineStr">
        <is>
          <t>MTR-DOM-006</t>
        </is>
      </c>
      <c r="D1092" s="8" t="inlineStr">
        <is>
          <t>Utilities</t>
        </is>
      </c>
      <c r="E1092" s="8" t="inlineStr">
        <is>
          <t>Domestic Supply</t>
        </is>
      </c>
      <c r="F1092" s="8" t="inlineStr">
        <is>
          <t>2024-12-22 08:00</t>
        </is>
      </c>
      <c r="G1092" s="12" t="n">
        <v>21583.54</v>
      </c>
      <c r="H1092" s="8" t="inlineStr">
        <is>
          <t>m3</t>
        </is>
      </c>
      <c r="I1092" s="8" t="inlineStr">
        <is>
          <t>cumulative</t>
        </is>
      </c>
      <c r="J1092" s="8" t="inlineStr">
        <is>
          <t>EF</t>
        </is>
      </c>
      <c r="K1092" s="8" t="inlineStr"/>
      <c r="L1092" s="10">
        <f>IFERROR(IF(F1092&lt;F1091,"NEGATIVE",ROUND(F1092-F1091,2)),"")</f>
        <v/>
      </c>
    </row>
    <row r="1093" ht="22" customHeight="1">
      <c r="B1093" s="5" t="inlineStr">
        <is>
          <t>R01089</t>
        </is>
      </c>
      <c r="C1093" s="5" t="inlineStr">
        <is>
          <t>MTR-DOM-006</t>
        </is>
      </c>
      <c r="D1093" s="5" t="inlineStr">
        <is>
          <t>Utilities</t>
        </is>
      </c>
      <c r="E1093" s="5" t="inlineStr">
        <is>
          <t>Domestic Supply</t>
        </is>
      </c>
      <c r="F1093" s="5" t="inlineStr">
        <is>
          <t>2024-12-23 08:00</t>
        </is>
      </c>
      <c r="G1093" s="11" t="n">
        <v>21594.16</v>
      </c>
      <c r="H1093" s="5" t="inlineStr">
        <is>
          <t>m3</t>
        </is>
      </c>
      <c r="I1093" s="5" t="inlineStr">
        <is>
          <t>cumulative</t>
        </is>
      </c>
      <c r="J1093" s="5" t="inlineStr">
        <is>
          <t>CD</t>
        </is>
      </c>
      <c r="K1093" s="5" t="inlineStr"/>
      <c r="L1093" s="7">
        <f>IFERROR(IF(F1093&lt;F1092,"NEGATIVE",ROUND(F1093-F1092,2)),"")</f>
        <v/>
      </c>
    </row>
    <row r="1094" ht="22" customHeight="1">
      <c r="B1094" s="8" t="inlineStr">
        <is>
          <t>R01090</t>
        </is>
      </c>
      <c r="C1094" s="8" t="inlineStr">
        <is>
          <t>MTR-DOM-006</t>
        </is>
      </c>
      <c r="D1094" s="8" t="inlineStr">
        <is>
          <t>Utilities</t>
        </is>
      </c>
      <c r="E1094" s="8" t="inlineStr">
        <is>
          <t>Domestic Supply</t>
        </is>
      </c>
      <c r="F1094" s="8" t="inlineStr">
        <is>
          <t>2024-12-24 08:00</t>
        </is>
      </c>
      <c r="G1094" s="12" t="n">
        <v>21604.28</v>
      </c>
      <c r="H1094" s="8" t="inlineStr">
        <is>
          <t>m3</t>
        </is>
      </c>
      <c r="I1094" s="8" t="inlineStr">
        <is>
          <t>cumulative</t>
        </is>
      </c>
      <c r="J1094" s="8" t="inlineStr">
        <is>
          <t>CD</t>
        </is>
      </c>
      <c r="K1094" s="8" t="inlineStr"/>
      <c r="L1094" s="10">
        <f>IFERROR(IF(F1094&lt;F1093,"NEGATIVE",ROUND(F1094-F1093,2)),"")</f>
        <v/>
      </c>
    </row>
    <row r="1095" ht="22" customHeight="1">
      <c r="B1095" s="5" t="inlineStr">
        <is>
          <t>R01091</t>
        </is>
      </c>
      <c r="C1095" s="5" t="inlineStr">
        <is>
          <t>MTR-DOM-006</t>
        </is>
      </c>
      <c r="D1095" s="5" t="inlineStr">
        <is>
          <t>Utilities</t>
        </is>
      </c>
      <c r="E1095" s="5" t="inlineStr">
        <is>
          <t>Domestic Supply</t>
        </is>
      </c>
      <c r="F1095" s="5" t="inlineStr">
        <is>
          <t>2024-12-25 08:00</t>
        </is>
      </c>
      <c r="G1095" s="11" t="n">
        <v>21614.02</v>
      </c>
      <c r="H1095" s="5" t="inlineStr">
        <is>
          <t>m3</t>
        </is>
      </c>
      <c r="I1095" s="5" t="inlineStr">
        <is>
          <t>cumulative</t>
        </is>
      </c>
      <c r="J1095" s="5" t="inlineStr">
        <is>
          <t>KL</t>
        </is>
      </c>
      <c r="K1095" s="5" t="inlineStr"/>
      <c r="L1095" s="7">
        <f>IFERROR(IF(F1095&lt;F1094,"NEGATIVE",ROUND(F1095-F1094,2)),"")</f>
        <v/>
      </c>
    </row>
    <row r="1096" ht="22" customHeight="1">
      <c r="B1096" s="8" t="inlineStr">
        <is>
          <t>R01092</t>
        </is>
      </c>
      <c r="C1096" s="8" t="inlineStr">
        <is>
          <t>MTR-DOM-006</t>
        </is>
      </c>
      <c r="D1096" s="8" t="inlineStr">
        <is>
          <t>Utilities</t>
        </is>
      </c>
      <c r="E1096" s="8" t="inlineStr">
        <is>
          <t>Domestic Supply</t>
        </is>
      </c>
      <c r="F1096" s="8" t="inlineStr">
        <is>
          <t>2024-12-26 08:00</t>
        </is>
      </c>
      <c r="G1096" s="12" t="n">
        <v>21624.48</v>
      </c>
      <c r="H1096" s="8" t="inlineStr">
        <is>
          <t>m3</t>
        </is>
      </c>
      <c r="I1096" s="8" t="inlineStr">
        <is>
          <t>cumulative</t>
        </is>
      </c>
      <c r="J1096" s="8" t="inlineStr">
        <is>
          <t>IJ</t>
        </is>
      </c>
      <c r="K1096" s="8" t="inlineStr"/>
      <c r="L1096" s="10">
        <f>IFERROR(IF(F1096&lt;F1095,"NEGATIVE",ROUND(F1096-F1095,2)),"")</f>
        <v/>
      </c>
    </row>
    <row r="1097" ht="22" customHeight="1">
      <c r="B1097" s="5" t="inlineStr">
        <is>
          <t>R01093</t>
        </is>
      </c>
      <c r="C1097" s="5" t="inlineStr">
        <is>
          <t>MTR-DOM-006</t>
        </is>
      </c>
      <c r="D1097" s="5" t="inlineStr">
        <is>
          <t>Utilities</t>
        </is>
      </c>
      <c r="E1097" s="5" t="inlineStr">
        <is>
          <t>Domestic Supply</t>
        </is>
      </c>
      <c r="F1097" s="5" t="inlineStr">
        <is>
          <t>2024-12-27 08:00</t>
        </is>
      </c>
      <c r="G1097" s="11" t="n">
        <v>21634.94</v>
      </c>
      <c r="H1097" s="5" t="inlineStr">
        <is>
          <t>m3</t>
        </is>
      </c>
      <c r="I1097" s="5" t="inlineStr">
        <is>
          <t>cumulative</t>
        </is>
      </c>
      <c r="J1097" s="5" t="inlineStr">
        <is>
          <t>CD</t>
        </is>
      </c>
      <c r="K1097" s="5" t="inlineStr"/>
      <c r="L1097" s="7">
        <f>IFERROR(IF(F1097&lt;F1096,"NEGATIVE",ROUND(F1097-F1096,2)),"")</f>
        <v/>
      </c>
    </row>
    <row r="1098" ht="22" customHeight="1">
      <c r="B1098" s="8" t="inlineStr">
        <is>
          <t>R01094</t>
        </is>
      </c>
      <c r="C1098" s="8" t="inlineStr">
        <is>
          <t>MTR-DOM-006</t>
        </is>
      </c>
      <c r="D1098" s="8" t="inlineStr">
        <is>
          <t>Utilities</t>
        </is>
      </c>
      <c r="E1098" s="8" t="inlineStr">
        <is>
          <t>Domestic Supply</t>
        </is>
      </c>
      <c r="F1098" s="8" t="inlineStr">
        <is>
          <t>2024-12-28 08:00</t>
        </is>
      </c>
      <c r="G1098" s="12" t="n">
        <v>21641.88</v>
      </c>
      <c r="H1098" s="8" t="inlineStr">
        <is>
          <t>m3</t>
        </is>
      </c>
      <c r="I1098" s="8" t="inlineStr">
        <is>
          <t>cumulative</t>
        </is>
      </c>
      <c r="J1098" s="8" t="inlineStr">
        <is>
          <t>KL</t>
        </is>
      </c>
      <c r="K1098" s="8" t="inlineStr"/>
      <c r="L1098" s="10">
        <f>IFERROR(IF(F1098&lt;F1097,"NEGATIVE",ROUND(F1098-F1097,2)),"")</f>
        <v/>
      </c>
    </row>
    <row r="1099" ht="22" customHeight="1">
      <c r="B1099" s="5" t="inlineStr">
        <is>
          <t>R01095</t>
        </is>
      </c>
      <c r="C1099" s="5" t="inlineStr">
        <is>
          <t>MTR-DOM-006</t>
        </is>
      </c>
      <c r="D1099" s="5" t="inlineStr">
        <is>
          <t>Utilities</t>
        </is>
      </c>
      <c r="E1099" s="5" t="inlineStr">
        <is>
          <t>Domestic Supply</t>
        </is>
      </c>
      <c r="F1099" s="5" t="inlineStr">
        <is>
          <t>2024-12-29 08:00</t>
        </is>
      </c>
      <c r="G1099" s="11" t="n">
        <v>21646.29</v>
      </c>
      <c r="H1099" s="5" t="inlineStr">
        <is>
          <t>m3</t>
        </is>
      </c>
      <c r="I1099" s="5" t="inlineStr">
        <is>
          <t>cumulative</t>
        </is>
      </c>
      <c r="J1099" s="5" t="inlineStr">
        <is>
          <t>GH</t>
        </is>
      </c>
      <c r="K1099" s="5" t="inlineStr"/>
      <c r="L1099" s="7">
        <f>IFERROR(IF(F1099&lt;F1098,"NEGATIVE",ROUND(F1099-F1098,2)),"")</f>
        <v/>
      </c>
    </row>
    <row r="1100" ht="22" customHeight="1">
      <c r="B1100" s="8" t="inlineStr">
        <is>
          <t>R01096</t>
        </is>
      </c>
      <c r="C1100" s="8" t="inlineStr">
        <is>
          <t>MTR-DOM-006</t>
        </is>
      </c>
      <c r="D1100" s="8" t="inlineStr">
        <is>
          <t>Utilities</t>
        </is>
      </c>
      <c r="E1100" s="8" t="inlineStr">
        <is>
          <t>Domestic Supply</t>
        </is>
      </c>
      <c r="F1100" s="8" t="inlineStr">
        <is>
          <t>2024-12-30 08:00</t>
        </is>
      </c>
      <c r="G1100" s="12" t="n">
        <v>21656.99</v>
      </c>
      <c r="H1100" s="8" t="inlineStr">
        <is>
          <t>m3</t>
        </is>
      </c>
      <c r="I1100" s="8" t="inlineStr">
        <is>
          <t>cumulative</t>
        </is>
      </c>
      <c r="J1100" s="8" t="inlineStr">
        <is>
          <t>KL</t>
        </is>
      </c>
      <c r="K1100" s="8" t="inlineStr"/>
      <c r="L1100" s="10">
        <f>IFERROR(IF(F1100&lt;F1099,"NEGATIVE",ROUND(F1100-F1099,2)),"")</f>
        <v/>
      </c>
    </row>
    <row r="1101" ht="22" customHeight="1">
      <c r="B1101" s="5" t="inlineStr">
        <is>
          <t>R01097</t>
        </is>
      </c>
      <c r="C1101" s="5" t="inlineStr">
        <is>
          <t>MTR-DOM-006</t>
        </is>
      </c>
      <c r="D1101" s="5" t="inlineStr">
        <is>
          <t>Utilities</t>
        </is>
      </c>
      <c r="E1101" s="5" t="inlineStr">
        <is>
          <t>Domestic Supply</t>
        </is>
      </c>
      <c r="F1101" s="5" t="inlineStr">
        <is>
          <t>2024-12-31 08:00</t>
        </is>
      </c>
      <c r="G1101" s="11" t="n">
        <v>21666.57</v>
      </c>
      <c r="H1101" s="5" t="inlineStr">
        <is>
          <t>m3</t>
        </is>
      </c>
      <c r="I1101" s="5" t="inlineStr">
        <is>
          <t>cumulative</t>
        </is>
      </c>
      <c r="J1101" s="5" t="inlineStr">
        <is>
          <t>KL</t>
        </is>
      </c>
      <c r="K1101" s="5" t="inlineStr"/>
      <c r="L1101" s="7">
        <f>IFERROR(IF(F1101&lt;F1100,"NEGATIVE",ROUND(F1101-F1100,2)),"")</f>
        <v/>
      </c>
    </row>
    <row r="1102" ht="22" customHeight="1">
      <c r="B1102" s="8" t="inlineStr">
        <is>
          <t>R01098</t>
        </is>
      </c>
      <c r="C1102" s="8" t="inlineStr">
        <is>
          <t>MTR-DYE-001</t>
        </is>
      </c>
      <c r="D1102" s="8" t="inlineStr">
        <is>
          <t>Dyeing Hall</t>
        </is>
      </c>
      <c r="E1102" s="8" t="inlineStr">
        <is>
          <t>Dyeing Line A</t>
        </is>
      </c>
      <c r="F1102" s="8" t="inlineStr">
        <is>
          <t>2024-01-01 08:00</t>
        </is>
      </c>
      <c r="G1102" s="12" t="n">
        <v>124399.23</v>
      </c>
      <c r="H1102" s="8" t="inlineStr">
        <is>
          <t>m3</t>
        </is>
      </c>
      <c r="I1102" s="8" t="inlineStr">
        <is>
          <t>cumulative</t>
        </is>
      </c>
      <c r="J1102" s="8" t="inlineStr">
        <is>
          <t>AB</t>
        </is>
      </c>
      <c r="K1102" s="8" t="inlineStr"/>
      <c r="L1102" s="10" t="inlineStr"/>
    </row>
    <row r="1103" ht="22" customHeight="1">
      <c r="B1103" s="5" t="inlineStr">
        <is>
          <t>R01099</t>
        </is>
      </c>
      <c r="C1103" s="5" t="inlineStr">
        <is>
          <t>MTR-DYE-001</t>
        </is>
      </c>
      <c r="D1103" s="5" t="inlineStr">
        <is>
          <t>Dyeing Hall</t>
        </is>
      </c>
      <c r="E1103" s="5" t="inlineStr">
        <is>
          <t>Dyeing Line A</t>
        </is>
      </c>
      <c r="F1103" s="5" t="inlineStr">
        <is>
          <t>2024-01-02 08:00</t>
        </is>
      </c>
      <c r="G1103" s="11" t="n">
        <v>124439.81</v>
      </c>
      <c r="H1103" s="5" t="inlineStr">
        <is>
          <t>m3</t>
        </is>
      </c>
      <c r="I1103" s="5" t="inlineStr">
        <is>
          <t>cumulative</t>
        </is>
      </c>
      <c r="J1103" s="5" t="inlineStr">
        <is>
          <t>CD</t>
        </is>
      </c>
      <c r="K1103" s="5" t="inlineStr"/>
      <c r="L1103" s="7">
        <f>IFERROR(IF(F1103&lt;F1102,"NEGATIVE",ROUND(F1103-F1102,2)),"")</f>
        <v/>
      </c>
    </row>
    <row r="1104" ht="22" customHeight="1">
      <c r="B1104" s="8" t="inlineStr">
        <is>
          <t>R01100</t>
        </is>
      </c>
      <c r="C1104" s="8" t="inlineStr">
        <is>
          <t>MTR-DYE-001</t>
        </is>
      </c>
      <c r="D1104" s="8" t="inlineStr">
        <is>
          <t>Dyeing Hall</t>
        </is>
      </c>
      <c r="E1104" s="8" t="inlineStr">
        <is>
          <t>Dyeing Line A</t>
        </is>
      </c>
      <c r="F1104" s="8" t="inlineStr">
        <is>
          <t>2024-01-03 08:00</t>
        </is>
      </c>
      <c r="G1104" s="12" t="n">
        <v>124491.45</v>
      </c>
      <c r="H1104" s="8" t="inlineStr">
        <is>
          <t>m3</t>
        </is>
      </c>
      <c r="I1104" s="8" t="inlineStr">
        <is>
          <t>cumulative</t>
        </is>
      </c>
      <c r="J1104" s="8" t="inlineStr">
        <is>
          <t>AB</t>
        </is>
      </c>
      <c r="K1104" s="8" t="inlineStr"/>
      <c r="L1104" s="10">
        <f>IFERROR(IF(F1104&lt;F1103,"NEGATIVE",ROUND(F1104-F1103,2)),"")</f>
        <v/>
      </c>
    </row>
    <row r="1105" ht="22" customHeight="1">
      <c r="B1105" s="5" t="inlineStr">
        <is>
          <t>R01101</t>
        </is>
      </c>
      <c r="C1105" s="5" t="inlineStr">
        <is>
          <t>MTR-DYE-001</t>
        </is>
      </c>
      <c r="D1105" s="5" t="inlineStr">
        <is>
          <t>Dyeing Hall</t>
        </is>
      </c>
      <c r="E1105" s="5" t="inlineStr">
        <is>
          <t>Dyeing Line A</t>
        </is>
      </c>
      <c r="F1105" s="5" t="inlineStr">
        <is>
          <t>2024-01-04 08:00</t>
        </is>
      </c>
      <c r="G1105" s="11" t="n">
        <v>124532.98</v>
      </c>
      <c r="H1105" s="5" t="inlineStr">
        <is>
          <t>m3</t>
        </is>
      </c>
      <c r="I1105" s="5" t="inlineStr">
        <is>
          <t>cumulative</t>
        </is>
      </c>
      <c r="J1105" s="5" t="inlineStr">
        <is>
          <t>EF</t>
        </is>
      </c>
      <c r="K1105" s="5" t="inlineStr"/>
      <c r="L1105" s="7">
        <f>IFERROR(IF(F1105&lt;F1104,"NEGATIVE",ROUND(F1105-F1104,2)),"")</f>
        <v/>
      </c>
    </row>
    <row r="1106" ht="22" customHeight="1">
      <c r="B1106" s="8" t="inlineStr">
        <is>
          <t>R01102</t>
        </is>
      </c>
      <c r="C1106" s="8" t="inlineStr">
        <is>
          <t>MTR-DYE-001</t>
        </is>
      </c>
      <c r="D1106" s="8" t="inlineStr">
        <is>
          <t>Dyeing Hall</t>
        </is>
      </c>
      <c r="E1106" s="8" t="inlineStr">
        <is>
          <t>Dyeing Line A</t>
        </is>
      </c>
      <c r="F1106" s="8" t="inlineStr">
        <is>
          <t>2024-01-05 08:00</t>
        </is>
      </c>
      <c r="G1106" s="12" t="n">
        <v>124585.69</v>
      </c>
      <c r="H1106" s="8" t="inlineStr">
        <is>
          <t>m3</t>
        </is>
      </c>
      <c r="I1106" s="8" t="inlineStr">
        <is>
          <t>cumulative</t>
        </is>
      </c>
      <c r="J1106" s="8" t="inlineStr">
        <is>
          <t>EF</t>
        </is>
      </c>
      <c r="K1106" s="8" t="inlineStr"/>
      <c r="L1106" s="10">
        <f>IFERROR(IF(F1106&lt;F1105,"NEGATIVE",ROUND(F1106-F1105,2)),"")</f>
        <v/>
      </c>
    </row>
    <row r="1107" ht="22" customHeight="1">
      <c r="B1107" s="5" t="inlineStr">
        <is>
          <t>R01103</t>
        </is>
      </c>
      <c r="C1107" s="5" t="inlineStr">
        <is>
          <t>MTR-DYE-001</t>
        </is>
      </c>
      <c r="D1107" s="5" t="inlineStr">
        <is>
          <t>Dyeing Hall</t>
        </is>
      </c>
      <c r="E1107" s="5" t="inlineStr">
        <is>
          <t>Dyeing Line A</t>
        </is>
      </c>
      <c r="F1107" s="5" t="inlineStr">
        <is>
          <t>2024-01-06 08:00</t>
        </is>
      </c>
      <c r="G1107" s="11" t="n">
        <v>124621.39</v>
      </c>
      <c r="H1107" s="5" t="inlineStr">
        <is>
          <t>m3</t>
        </is>
      </c>
      <c r="I1107" s="5" t="inlineStr">
        <is>
          <t>cumulative</t>
        </is>
      </c>
      <c r="J1107" s="5" t="inlineStr">
        <is>
          <t>KL</t>
        </is>
      </c>
      <c r="K1107" s="5" t="inlineStr"/>
      <c r="L1107" s="7">
        <f>IFERROR(IF(F1107&lt;F1106,"NEGATIVE",ROUND(F1107-F1106,2)),"")</f>
        <v/>
      </c>
    </row>
    <row r="1108" ht="22" customHeight="1">
      <c r="B1108" s="8" t="inlineStr">
        <is>
          <t>R01104</t>
        </is>
      </c>
      <c r="C1108" s="8" t="inlineStr">
        <is>
          <t>MTR-DYE-001</t>
        </is>
      </c>
      <c r="D1108" s="8" t="inlineStr">
        <is>
          <t>Dyeing Hall</t>
        </is>
      </c>
      <c r="E1108" s="8" t="inlineStr">
        <is>
          <t>Dyeing Line A</t>
        </is>
      </c>
      <c r="F1108" s="8" t="inlineStr">
        <is>
          <t>2024-01-07 08:00</t>
        </is>
      </c>
      <c r="G1108" s="12" t="n">
        <v>124643.7</v>
      </c>
      <c r="H1108" s="8" t="inlineStr">
        <is>
          <t>m3</t>
        </is>
      </c>
      <c r="I1108" s="8" t="inlineStr">
        <is>
          <t>cumulative</t>
        </is>
      </c>
      <c r="J1108" s="8" t="inlineStr">
        <is>
          <t>KL</t>
        </is>
      </c>
      <c r="K1108" s="8" t="inlineStr"/>
      <c r="L1108" s="10">
        <f>IFERROR(IF(F1108&lt;F1107,"NEGATIVE",ROUND(F1108-F1107,2)),"")</f>
        <v/>
      </c>
    </row>
    <row r="1109" ht="22" customHeight="1">
      <c r="B1109" s="5" t="inlineStr">
        <is>
          <t>R01105</t>
        </is>
      </c>
      <c r="C1109" s="5" t="inlineStr">
        <is>
          <t>MTR-DYE-001</t>
        </is>
      </c>
      <c r="D1109" s="5" t="inlineStr">
        <is>
          <t>Dyeing Hall</t>
        </is>
      </c>
      <c r="E1109" s="5" t="inlineStr">
        <is>
          <t>Dyeing Line A</t>
        </is>
      </c>
      <c r="F1109" s="5" t="inlineStr">
        <is>
          <t>2024-01-08 08:00</t>
        </is>
      </c>
      <c r="G1109" s="11" t="n">
        <v>124695.27</v>
      </c>
      <c r="H1109" s="5" t="inlineStr">
        <is>
          <t>m3</t>
        </is>
      </c>
      <c r="I1109" s="5" t="inlineStr">
        <is>
          <t>cumulative</t>
        </is>
      </c>
      <c r="J1109" s="5" t="inlineStr">
        <is>
          <t>GH</t>
        </is>
      </c>
      <c r="K1109" s="5" t="inlineStr"/>
      <c r="L1109" s="7">
        <f>IFERROR(IF(F1109&lt;F1108,"NEGATIVE",ROUND(F1109-F1108,2)),"")</f>
        <v/>
      </c>
    </row>
    <row r="1110" ht="22" customHeight="1">
      <c r="B1110" s="8" t="inlineStr">
        <is>
          <t>R01106</t>
        </is>
      </c>
      <c r="C1110" s="8" t="inlineStr">
        <is>
          <t>MTR-DYE-001</t>
        </is>
      </c>
      <c r="D1110" s="8" t="inlineStr">
        <is>
          <t>Dyeing Hall</t>
        </is>
      </c>
      <c r="E1110" s="8" t="inlineStr">
        <is>
          <t>Dyeing Line A</t>
        </is>
      </c>
      <c r="F1110" s="8" t="inlineStr">
        <is>
          <t>2024-01-09 08:00</t>
        </is>
      </c>
      <c r="G1110" s="12" t="n">
        <v>124741.94</v>
      </c>
      <c r="H1110" s="8" t="inlineStr">
        <is>
          <t>m3</t>
        </is>
      </c>
      <c r="I1110" s="8" t="inlineStr">
        <is>
          <t>cumulative</t>
        </is>
      </c>
      <c r="J1110" s="8" t="inlineStr">
        <is>
          <t>EF</t>
        </is>
      </c>
      <c r="K1110" s="8" t="inlineStr"/>
      <c r="L1110" s="10">
        <f>IFERROR(IF(F1110&lt;F1109,"NEGATIVE",ROUND(F1110-F1109,2)),"")</f>
        <v/>
      </c>
    </row>
    <row r="1111" ht="22" customHeight="1">
      <c r="B1111" s="5" t="inlineStr">
        <is>
          <t>R01107</t>
        </is>
      </c>
      <c r="C1111" s="5" t="inlineStr">
        <is>
          <t>MTR-DYE-001</t>
        </is>
      </c>
      <c r="D1111" s="5" t="inlineStr">
        <is>
          <t>Dyeing Hall</t>
        </is>
      </c>
      <c r="E1111" s="5" t="inlineStr">
        <is>
          <t>Dyeing Line A</t>
        </is>
      </c>
      <c r="F1111" s="5" t="inlineStr">
        <is>
          <t>2024-01-10 08:00</t>
        </is>
      </c>
      <c r="G1111" s="11" t="n">
        <v>124789.33</v>
      </c>
      <c r="H1111" s="5" t="inlineStr">
        <is>
          <t>m3</t>
        </is>
      </c>
      <c r="I1111" s="5" t="inlineStr">
        <is>
          <t>cumulative</t>
        </is>
      </c>
      <c r="J1111" s="5" t="inlineStr">
        <is>
          <t>AB</t>
        </is>
      </c>
      <c r="K1111" s="5" t="inlineStr"/>
      <c r="L1111" s="7">
        <f>IFERROR(IF(F1111&lt;F1110,"NEGATIVE",ROUND(F1111-F1110,2)),"")</f>
        <v/>
      </c>
    </row>
    <row r="1112" ht="22" customHeight="1">
      <c r="B1112" s="8" t="inlineStr">
        <is>
          <t>R01108</t>
        </is>
      </c>
      <c r="C1112" s="8" t="inlineStr">
        <is>
          <t>MTR-DYE-001</t>
        </is>
      </c>
      <c r="D1112" s="8" t="inlineStr">
        <is>
          <t>Dyeing Hall</t>
        </is>
      </c>
      <c r="E1112" s="8" t="inlineStr">
        <is>
          <t>Dyeing Line A</t>
        </is>
      </c>
      <c r="F1112" s="8" t="inlineStr">
        <is>
          <t>2024-01-11 08:00</t>
        </is>
      </c>
      <c r="G1112" s="12" t="n">
        <v>124836.99</v>
      </c>
      <c r="H1112" s="8" t="inlineStr">
        <is>
          <t>m3</t>
        </is>
      </c>
      <c r="I1112" s="8" t="inlineStr">
        <is>
          <t>cumulative</t>
        </is>
      </c>
      <c r="J1112" s="8" t="inlineStr">
        <is>
          <t>IJ</t>
        </is>
      </c>
      <c r="K1112" s="8" t="inlineStr"/>
      <c r="L1112" s="10">
        <f>IFERROR(IF(F1112&lt;F1111,"NEGATIVE",ROUND(F1112-F1111,2)),"")</f>
        <v/>
      </c>
    </row>
    <row r="1113" ht="22" customHeight="1">
      <c r="B1113" s="5" t="inlineStr">
        <is>
          <t>R01109</t>
        </is>
      </c>
      <c r="C1113" s="5" t="inlineStr">
        <is>
          <t>MTR-DYE-001</t>
        </is>
      </c>
      <c r="D1113" s="5" t="inlineStr">
        <is>
          <t>Dyeing Hall</t>
        </is>
      </c>
      <c r="E1113" s="5" t="inlineStr">
        <is>
          <t>Dyeing Line A</t>
        </is>
      </c>
      <c r="F1113" s="5" t="inlineStr">
        <is>
          <t>2024-01-12 08:00</t>
        </is>
      </c>
      <c r="G1113" s="11" t="n">
        <v>124883.32</v>
      </c>
      <c r="H1113" s="5" t="inlineStr">
        <is>
          <t>m3</t>
        </is>
      </c>
      <c r="I1113" s="5" t="inlineStr">
        <is>
          <t>cumulative</t>
        </is>
      </c>
      <c r="J1113" s="5" t="inlineStr">
        <is>
          <t>GH</t>
        </is>
      </c>
      <c r="K1113" s="5" t="inlineStr"/>
      <c r="L1113" s="7">
        <f>IFERROR(IF(F1113&lt;F1112,"NEGATIVE",ROUND(F1113-F1112,2)),"")</f>
        <v/>
      </c>
    </row>
    <row r="1114" ht="22" customHeight="1">
      <c r="B1114" s="8" t="inlineStr">
        <is>
          <t>R01110</t>
        </is>
      </c>
      <c r="C1114" s="8" t="inlineStr">
        <is>
          <t>MTR-DYE-001</t>
        </is>
      </c>
      <c r="D1114" s="8" t="inlineStr">
        <is>
          <t>Dyeing Hall</t>
        </is>
      </c>
      <c r="E1114" s="8" t="inlineStr">
        <is>
          <t>Dyeing Line A</t>
        </is>
      </c>
      <c r="F1114" s="8" t="inlineStr">
        <is>
          <t>2024-01-13 08:00</t>
        </is>
      </c>
      <c r="G1114" s="12" t="n">
        <v>124925.49</v>
      </c>
      <c r="H1114" s="8" t="inlineStr">
        <is>
          <t>m3</t>
        </is>
      </c>
      <c r="I1114" s="8" t="inlineStr">
        <is>
          <t>cumulative</t>
        </is>
      </c>
      <c r="J1114" s="8" t="inlineStr">
        <is>
          <t>IJ</t>
        </is>
      </c>
      <c r="K1114" s="8" t="inlineStr"/>
      <c r="L1114" s="10">
        <f>IFERROR(IF(F1114&lt;F1113,"NEGATIVE",ROUND(F1114-F1113,2)),"")</f>
        <v/>
      </c>
    </row>
    <row r="1115" ht="22" customHeight="1">
      <c r="B1115" s="5" t="inlineStr">
        <is>
          <t>R01111</t>
        </is>
      </c>
      <c r="C1115" s="5" t="inlineStr">
        <is>
          <t>MTR-DYE-001</t>
        </is>
      </c>
      <c r="D1115" s="5" t="inlineStr">
        <is>
          <t>Dyeing Hall</t>
        </is>
      </c>
      <c r="E1115" s="5" t="inlineStr">
        <is>
          <t>Dyeing Line A</t>
        </is>
      </c>
      <c r="F1115" s="5" t="inlineStr">
        <is>
          <t>2024-01-14 08:00</t>
        </is>
      </c>
      <c r="G1115" s="11" t="n">
        <v>124947.36</v>
      </c>
      <c r="H1115" s="5" t="inlineStr">
        <is>
          <t>m3</t>
        </is>
      </c>
      <c r="I1115" s="5" t="inlineStr">
        <is>
          <t>cumulative</t>
        </is>
      </c>
      <c r="J1115" s="5" t="inlineStr">
        <is>
          <t>EF</t>
        </is>
      </c>
      <c r="K1115" s="5" t="inlineStr"/>
      <c r="L1115" s="7">
        <f>IFERROR(IF(F1115&lt;F1114,"NEGATIVE",ROUND(F1115-F1114,2)),"")</f>
        <v/>
      </c>
    </row>
    <row r="1116" ht="22" customHeight="1">
      <c r="B1116" s="8" t="inlineStr">
        <is>
          <t>R01112</t>
        </is>
      </c>
      <c r="C1116" s="8" t="inlineStr">
        <is>
          <t>MTR-DYE-001</t>
        </is>
      </c>
      <c r="D1116" s="8" t="inlineStr">
        <is>
          <t>Dyeing Hall</t>
        </is>
      </c>
      <c r="E1116" s="8" t="inlineStr">
        <is>
          <t>Dyeing Line A</t>
        </is>
      </c>
      <c r="F1116" s="8" t="inlineStr">
        <is>
          <t>2024-01-15 08:00</t>
        </is>
      </c>
      <c r="G1116" s="12" t="n">
        <v>124998.38</v>
      </c>
      <c r="H1116" s="8" t="inlineStr">
        <is>
          <t>m3</t>
        </is>
      </c>
      <c r="I1116" s="8" t="inlineStr">
        <is>
          <t>cumulative</t>
        </is>
      </c>
      <c r="J1116" s="8" t="inlineStr">
        <is>
          <t>CD</t>
        </is>
      </c>
      <c r="K1116" s="8" t="inlineStr"/>
      <c r="L1116" s="10">
        <f>IFERROR(IF(F1116&lt;F1115,"NEGATIVE",ROUND(F1116-F1115,2)),"")</f>
        <v/>
      </c>
    </row>
    <row r="1117" ht="22" customHeight="1">
      <c r="B1117" s="5" t="inlineStr">
        <is>
          <t>R01113</t>
        </is>
      </c>
      <c r="C1117" s="5" t="inlineStr">
        <is>
          <t>MTR-DYE-001</t>
        </is>
      </c>
      <c r="D1117" s="5" t="inlineStr">
        <is>
          <t>Dyeing Hall</t>
        </is>
      </c>
      <c r="E1117" s="5" t="inlineStr">
        <is>
          <t>Dyeing Line A</t>
        </is>
      </c>
      <c r="F1117" s="5" t="inlineStr">
        <is>
          <t>2024-01-16 08:00</t>
        </is>
      </c>
      <c r="G1117" s="11" t="n">
        <v>125041.39</v>
      </c>
      <c r="H1117" s="5" t="inlineStr">
        <is>
          <t>m3</t>
        </is>
      </c>
      <c r="I1117" s="5" t="inlineStr">
        <is>
          <t>cumulative</t>
        </is>
      </c>
      <c r="J1117" s="5" t="inlineStr">
        <is>
          <t>EF</t>
        </is>
      </c>
      <c r="K1117" s="5" t="inlineStr"/>
      <c r="L1117" s="7">
        <f>IFERROR(IF(F1117&lt;F1116,"NEGATIVE",ROUND(F1117-F1116,2)),"")</f>
        <v/>
      </c>
    </row>
    <row r="1118" ht="22" customHeight="1">
      <c r="B1118" s="8" t="inlineStr">
        <is>
          <t>R01114</t>
        </is>
      </c>
      <c r="C1118" s="8" t="inlineStr">
        <is>
          <t>MTR-DYE-001</t>
        </is>
      </c>
      <c r="D1118" s="8" t="inlineStr">
        <is>
          <t>Dyeing Hall</t>
        </is>
      </c>
      <c r="E1118" s="8" t="inlineStr">
        <is>
          <t>Dyeing Line A</t>
        </is>
      </c>
      <c r="F1118" s="8" t="inlineStr">
        <is>
          <t>2024-01-17 08:00</t>
        </is>
      </c>
      <c r="G1118" s="12" t="n">
        <v>125089.89</v>
      </c>
      <c r="H1118" s="8" t="inlineStr">
        <is>
          <t>m3</t>
        </is>
      </c>
      <c r="I1118" s="8" t="inlineStr">
        <is>
          <t>cumulative</t>
        </is>
      </c>
      <c r="J1118" s="8" t="inlineStr">
        <is>
          <t>CD</t>
        </is>
      </c>
      <c r="K1118" s="8" t="inlineStr"/>
      <c r="L1118" s="10">
        <f>IFERROR(IF(F1118&lt;F1117,"NEGATIVE",ROUND(F1118-F1117,2)),"")</f>
        <v/>
      </c>
    </row>
    <row r="1119" ht="22" customHeight="1">
      <c r="B1119" s="5" t="inlineStr">
        <is>
          <t>R01115</t>
        </is>
      </c>
      <c r="C1119" s="5" t="inlineStr">
        <is>
          <t>MTR-DYE-001</t>
        </is>
      </c>
      <c r="D1119" s="5" t="inlineStr">
        <is>
          <t>Dyeing Hall</t>
        </is>
      </c>
      <c r="E1119" s="5" t="inlineStr">
        <is>
          <t>Dyeing Line A</t>
        </is>
      </c>
      <c r="F1119" s="5" t="inlineStr">
        <is>
          <t>2024-01-18 08:00</t>
        </is>
      </c>
      <c r="G1119" s="11" t="n">
        <v>125134</v>
      </c>
      <c r="H1119" s="5" t="inlineStr">
        <is>
          <t>m3</t>
        </is>
      </c>
      <c r="I1119" s="5" t="inlineStr">
        <is>
          <t>cumulative</t>
        </is>
      </c>
      <c r="J1119" s="5" t="inlineStr">
        <is>
          <t>GH</t>
        </is>
      </c>
      <c r="K1119" s="5" t="inlineStr"/>
      <c r="L1119" s="7">
        <f>IFERROR(IF(F1119&lt;F1118,"NEGATIVE",ROUND(F1119-F1118,2)),"")</f>
        <v/>
      </c>
    </row>
    <row r="1120" ht="22" customHeight="1">
      <c r="B1120" s="8" t="inlineStr">
        <is>
          <t>R01116</t>
        </is>
      </c>
      <c r="C1120" s="8" t="inlineStr">
        <is>
          <t>MTR-DYE-001</t>
        </is>
      </c>
      <c r="D1120" s="8" t="inlineStr">
        <is>
          <t>Dyeing Hall</t>
        </is>
      </c>
      <c r="E1120" s="8" t="inlineStr">
        <is>
          <t>Dyeing Line A</t>
        </is>
      </c>
      <c r="F1120" s="8" t="inlineStr">
        <is>
          <t>2024-01-19 08:00</t>
        </is>
      </c>
      <c r="G1120" s="12" t="n">
        <v>125183.5</v>
      </c>
      <c r="H1120" s="8" t="inlineStr">
        <is>
          <t>m3</t>
        </is>
      </c>
      <c r="I1120" s="8" t="inlineStr">
        <is>
          <t>cumulative</t>
        </is>
      </c>
      <c r="J1120" s="8" t="inlineStr">
        <is>
          <t>EF</t>
        </is>
      </c>
      <c r="K1120" s="8" t="inlineStr"/>
      <c r="L1120" s="10">
        <f>IFERROR(IF(F1120&lt;F1119,"NEGATIVE",ROUND(F1120-F1119,2)),"")</f>
        <v/>
      </c>
    </row>
    <row r="1121" ht="22" customHeight="1">
      <c r="B1121" s="5" t="inlineStr">
        <is>
          <t>R01117</t>
        </is>
      </c>
      <c r="C1121" s="5" t="inlineStr">
        <is>
          <t>MTR-DYE-001</t>
        </is>
      </c>
      <c r="D1121" s="5" t="inlineStr">
        <is>
          <t>Dyeing Hall</t>
        </is>
      </c>
      <c r="E1121" s="5" t="inlineStr">
        <is>
          <t>Dyeing Line A</t>
        </is>
      </c>
      <c r="F1121" s="5" t="inlineStr">
        <is>
          <t>2024-01-20 08:00</t>
        </is>
      </c>
      <c r="G1121" s="11" t="n">
        <v>125218.87</v>
      </c>
      <c r="H1121" s="5" t="inlineStr">
        <is>
          <t>m3</t>
        </is>
      </c>
      <c r="I1121" s="5" t="inlineStr">
        <is>
          <t>cumulative</t>
        </is>
      </c>
      <c r="J1121" s="5" t="inlineStr">
        <is>
          <t>CD</t>
        </is>
      </c>
      <c r="K1121" s="5" t="inlineStr"/>
      <c r="L1121" s="7">
        <f>IFERROR(IF(F1121&lt;F1120,"NEGATIVE",ROUND(F1121-F1120,2)),"")</f>
        <v/>
      </c>
    </row>
    <row r="1122" ht="22" customHeight="1">
      <c r="B1122" s="8" t="inlineStr">
        <is>
          <t>R01118</t>
        </is>
      </c>
      <c r="C1122" s="8" t="inlineStr">
        <is>
          <t>MTR-DYE-001</t>
        </is>
      </c>
      <c r="D1122" s="8" t="inlineStr">
        <is>
          <t>Dyeing Hall</t>
        </is>
      </c>
      <c r="E1122" s="8" t="inlineStr">
        <is>
          <t>Dyeing Line A</t>
        </is>
      </c>
      <c r="F1122" s="8" t="inlineStr">
        <is>
          <t>2024-01-21 08:00</t>
        </is>
      </c>
      <c r="G1122" s="12" t="n">
        <v>125247.33</v>
      </c>
      <c r="H1122" s="8" t="inlineStr">
        <is>
          <t>m3</t>
        </is>
      </c>
      <c r="I1122" s="8" t="inlineStr">
        <is>
          <t>cumulative</t>
        </is>
      </c>
      <c r="J1122" s="8" t="inlineStr">
        <is>
          <t>AB</t>
        </is>
      </c>
      <c r="K1122" s="8" t="inlineStr"/>
      <c r="L1122" s="10">
        <f>IFERROR(IF(F1122&lt;F1121,"NEGATIVE",ROUND(F1122-F1121,2)),"")</f>
        <v/>
      </c>
    </row>
    <row r="1123" ht="22" customHeight="1">
      <c r="B1123" s="5" t="inlineStr">
        <is>
          <t>R01119</t>
        </is>
      </c>
      <c r="C1123" s="5" t="inlineStr">
        <is>
          <t>MTR-DYE-001</t>
        </is>
      </c>
      <c r="D1123" s="5" t="inlineStr">
        <is>
          <t>Dyeing Hall</t>
        </is>
      </c>
      <c r="E1123" s="5" t="inlineStr">
        <is>
          <t>Dyeing Line A</t>
        </is>
      </c>
      <c r="F1123" s="5" t="inlineStr">
        <is>
          <t>2024-01-22 08:00</t>
        </is>
      </c>
      <c r="G1123" s="11" t="n">
        <v>125291.25</v>
      </c>
      <c r="H1123" s="5" t="inlineStr">
        <is>
          <t>m3</t>
        </is>
      </c>
      <c r="I1123" s="5" t="inlineStr">
        <is>
          <t>cumulative</t>
        </is>
      </c>
      <c r="J1123" s="5" t="inlineStr">
        <is>
          <t>GH</t>
        </is>
      </c>
      <c r="K1123" s="5" t="inlineStr"/>
      <c r="L1123" s="7">
        <f>IFERROR(IF(F1123&lt;F1122,"NEGATIVE",ROUND(F1123-F1122,2)),"")</f>
        <v/>
      </c>
    </row>
    <row r="1124" ht="22" customHeight="1">
      <c r="B1124" s="8" t="inlineStr">
        <is>
          <t>R01120</t>
        </is>
      </c>
      <c r="C1124" s="8" t="inlineStr">
        <is>
          <t>MTR-DYE-001</t>
        </is>
      </c>
      <c r="D1124" s="8" t="inlineStr">
        <is>
          <t>Dyeing Hall</t>
        </is>
      </c>
      <c r="E1124" s="8" t="inlineStr">
        <is>
          <t>Dyeing Line A</t>
        </is>
      </c>
      <c r="F1124" s="8" t="inlineStr">
        <is>
          <t>2024-01-23 08:00</t>
        </is>
      </c>
      <c r="G1124" s="12" t="n">
        <v>125339.62</v>
      </c>
      <c r="H1124" s="8" t="inlineStr">
        <is>
          <t>m3</t>
        </is>
      </c>
      <c r="I1124" s="8" t="inlineStr">
        <is>
          <t>cumulative</t>
        </is>
      </c>
      <c r="J1124" s="8" t="inlineStr">
        <is>
          <t>IJ</t>
        </is>
      </c>
      <c r="K1124" s="8" t="inlineStr"/>
      <c r="L1124" s="10">
        <f>IFERROR(IF(F1124&lt;F1123,"NEGATIVE",ROUND(F1124-F1123,2)),"")</f>
        <v/>
      </c>
    </row>
    <row r="1125" ht="22" customHeight="1">
      <c r="B1125" s="5" t="inlineStr">
        <is>
          <t>R01121</t>
        </is>
      </c>
      <c r="C1125" s="5" t="inlineStr">
        <is>
          <t>MTR-DYE-001</t>
        </is>
      </c>
      <c r="D1125" s="5" t="inlineStr">
        <is>
          <t>Dyeing Hall</t>
        </is>
      </c>
      <c r="E1125" s="5" t="inlineStr">
        <is>
          <t>Dyeing Line A</t>
        </is>
      </c>
      <c r="F1125" s="5" t="inlineStr">
        <is>
          <t>2024-01-24 08:00</t>
        </is>
      </c>
      <c r="G1125" s="11" t="n">
        <v>125380.75</v>
      </c>
      <c r="H1125" s="5" t="inlineStr">
        <is>
          <t>m3</t>
        </is>
      </c>
      <c r="I1125" s="5" t="inlineStr">
        <is>
          <t>cumulative</t>
        </is>
      </c>
      <c r="J1125" s="5" t="inlineStr">
        <is>
          <t>AB</t>
        </is>
      </c>
      <c r="K1125" s="5" t="inlineStr"/>
      <c r="L1125" s="7">
        <f>IFERROR(IF(F1125&lt;F1124,"NEGATIVE",ROUND(F1125-F1124,2)),"")</f>
        <v/>
      </c>
    </row>
    <row r="1126" ht="22" customHeight="1">
      <c r="B1126" s="8" t="inlineStr">
        <is>
          <t>R01122</t>
        </is>
      </c>
      <c r="C1126" s="8" t="inlineStr">
        <is>
          <t>MTR-DYE-001</t>
        </is>
      </c>
      <c r="D1126" s="8" t="inlineStr">
        <is>
          <t>Dyeing Hall</t>
        </is>
      </c>
      <c r="E1126" s="8" t="inlineStr">
        <is>
          <t>Dyeing Line A</t>
        </is>
      </c>
      <c r="F1126" s="8" t="inlineStr">
        <is>
          <t>2024-01-25 08:00</t>
        </is>
      </c>
      <c r="G1126" s="12" t="n">
        <v>125428.92</v>
      </c>
      <c r="H1126" s="8" t="inlineStr">
        <is>
          <t>m3</t>
        </is>
      </c>
      <c r="I1126" s="8" t="inlineStr">
        <is>
          <t>cumulative</t>
        </is>
      </c>
      <c r="J1126" s="8" t="inlineStr">
        <is>
          <t>EF</t>
        </is>
      </c>
      <c r="K1126" s="8" t="inlineStr"/>
      <c r="L1126" s="10">
        <f>IFERROR(IF(F1126&lt;F1125,"NEGATIVE",ROUND(F1126-F1125,2)),"")</f>
        <v/>
      </c>
    </row>
    <row r="1127" ht="22" customHeight="1">
      <c r="B1127" s="5" t="inlineStr">
        <is>
          <t>R01123</t>
        </is>
      </c>
      <c r="C1127" s="5" t="inlineStr">
        <is>
          <t>MTR-DYE-001</t>
        </is>
      </c>
      <c r="D1127" s="5" t="inlineStr">
        <is>
          <t>Dyeing Hall</t>
        </is>
      </c>
      <c r="E1127" s="5" t="inlineStr">
        <is>
          <t>Dyeing Line A</t>
        </is>
      </c>
      <c r="F1127" s="5" t="inlineStr">
        <is>
          <t>2024-01-26 08:00</t>
        </is>
      </c>
      <c r="G1127" s="11" t="n">
        <v>125482.25</v>
      </c>
      <c r="H1127" s="5" t="inlineStr">
        <is>
          <t>m3</t>
        </is>
      </c>
      <c r="I1127" s="5" t="inlineStr">
        <is>
          <t>cumulative</t>
        </is>
      </c>
      <c r="J1127" s="5" t="inlineStr">
        <is>
          <t>AB</t>
        </is>
      </c>
      <c r="K1127" s="5" t="inlineStr"/>
      <c r="L1127" s="7">
        <f>IFERROR(IF(F1127&lt;F1126,"NEGATIVE",ROUND(F1127-F1126,2)),"")</f>
        <v/>
      </c>
    </row>
    <row r="1128" ht="22" customHeight="1">
      <c r="B1128" s="8" t="inlineStr">
        <is>
          <t>R01124</t>
        </is>
      </c>
      <c r="C1128" s="8" t="inlineStr">
        <is>
          <t>MTR-DYE-001</t>
        </is>
      </c>
      <c r="D1128" s="8" t="inlineStr">
        <is>
          <t>Dyeing Hall</t>
        </is>
      </c>
      <c r="E1128" s="8" t="inlineStr">
        <is>
          <t>Dyeing Line A</t>
        </is>
      </c>
      <c r="F1128" s="8" t="inlineStr">
        <is>
          <t>2024-01-27 08:00</t>
        </is>
      </c>
      <c r="G1128" s="12" t="n">
        <v>125524.85</v>
      </c>
      <c r="H1128" s="8" t="inlineStr">
        <is>
          <t>m3</t>
        </is>
      </c>
      <c r="I1128" s="8" t="inlineStr">
        <is>
          <t>cumulative</t>
        </is>
      </c>
      <c r="J1128" s="8" t="inlineStr">
        <is>
          <t>EF</t>
        </is>
      </c>
      <c r="K1128" s="8" t="inlineStr"/>
      <c r="L1128" s="10">
        <f>IFERROR(IF(F1128&lt;F1127,"NEGATIVE",ROUND(F1128-F1127,2)),"")</f>
        <v/>
      </c>
    </row>
    <row r="1129" ht="22" customHeight="1">
      <c r="B1129" s="5" t="inlineStr">
        <is>
          <t>R01125</t>
        </is>
      </c>
      <c r="C1129" s="5" t="inlineStr">
        <is>
          <t>MTR-DYE-001</t>
        </is>
      </c>
      <c r="D1129" s="5" t="inlineStr">
        <is>
          <t>Dyeing Hall</t>
        </is>
      </c>
      <c r="E1129" s="5" t="inlineStr">
        <is>
          <t>Dyeing Line A</t>
        </is>
      </c>
      <c r="F1129" s="5" t="inlineStr">
        <is>
          <t>2024-01-28 08:00</t>
        </is>
      </c>
      <c r="G1129" s="11" t="n">
        <v>125552.81</v>
      </c>
      <c r="H1129" s="5" t="inlineStr">
        <is>
          <t>m3</t>
        </is>
      </c>
      <c r="I1129" s="5" t="inlineStr">
        <is>
          <t>cumulative</t>
        </is>
      </c>
      <c r="J1129" s="5" t="inlineStr">
        <is>
          <t>AB</t>
        </is>
      </c>
      <c r="K1129" s="5" t="inlineStr"/>
      <c r="L1129" s="7">
        <f>IFERROR(IF(F1129&lt;F1128,"NEGATIVE",ROUND(F1129-F1128,2)),"")</f>
        <v/>
      </c>
    </row>
    <row r="1130" ht="22" customHeight="1">
      <c r="B1130" s="8" t="inlineStr">
        <is>
          <t>R01126</t>
        </is>
      </c>
      <c r="C1130" s="8" t="inlineStr">
        <is>
          <t>MTR-DYE-001</t>
        </is>
      </c>
      <c r="D1130" s="8" t="inlineStr">
        <is>
          <t>Dyeing Hall</t>
        </is>
      </c>
      <c r="E1130" s="8" t="inlineStr">
        <is>
          <t>Dyeing Line A</t>
        </is>
      </c>
      <c r="F1130" s="8" t="inlineStr">
        <is>
          <t>2024-01-29 08:00</t>
        </is>
      </c>
      <c r="G1130" s="12" t="n">
        <v>125595.86</v>
      </c>
      <c r="H1130" s="8" t="inlineStr">
        <is>
          <t>m3</t>
        </is>
      </c>
      <c r="I1130" s="8" t="inlineStr">
        <is>
          <t>cumulative</t>
        </is>
      </c>
      <c r="J1130" s="8" t="inlineStr">
        <is>
          <t>KL</t>
        </is>
      </c>
      <c r="K1130" s="8" t="inlineStr"/>
      <c r="L1130" s="10">
        <f>IFERROR(IF(F1130&lt;F1129,"NEGATIVE",ROUND(F1130-F1129,2)),"")</f>
        <v/>
      </c>
    </row>
    <row r="1131" ht="22" customHeight="1">
      <c r="B1131" s="5" t="inlineStr">
        <is>
          <t>R01127</t>
        </is>
      </c>
      <c r="C1131" s="5" t="inlineStr">
        <is>
          <t>MTR-DYE-001</t>
        </is>
      </c>
      <c r="D1131" s="5" t="inlineStr">
        <is>
          <t>Dyeing Hall</t>
        </is>
      </c>
      <c r="E1131" s="5" t="inlineStr">
        <is>
          <t>Dyeing Line A</t>
        </is>
      </c>
      <c r="F1131" s="5" t="inlineStr">
        <is>
          <t>2024-01-30 08:00</t>
        </is>
      </c>
      <c r="G1131" s="11" t="n">
        <v>125645.05</v>
      </c>
      <c r="H1131" s="5" t="inlineStr">
        <is>
          <t>m3</t>
        </is>
      </c>
      <c r="I1131" s="5" t="inlineStr">
        <is>
          <t>cumulative</t>
        </is>
      </c>
      <c r="J1131" s="5" t="inlineStr">
        <is>
          <t>EF</t>
        </is>
      </c>
      <c r="K1131" s="5" t="inlineStr"/>
      <c r="L1131" s="7">
        <f>IFERROR(IF(F1131&lt;F1130,"NEGATIVE",ROUND(F1131-F1130,2)),"")</f>
        <v/>
      </c>
    </row>
    <row r="1132" ht="22" customHeight="1">
      <c r="B1132" s="8" t="inlineStr">
        <is>
          <t>R01128</t>
        </is>
      </c>
      <c r="C1132" s="8" t="inlineStr">
        <is>
          <t>MTR-DYE-001</t>
        </is>
      </c>
      <c r="D1132" s="8" t="inlineStr">
        <is>
          <t>Dyeing Hall</t>
        </is>
      </c>
      <c r="E1132" s="8" t="inlineStr">
        <is>
          <t>Dyeing Line A</t>
        </is>
      </c>
      <c r="F1132" s="8" t="inlineStr">
        <is>
          <t>2024-01-31 08:00</t>
        </is>
      </c>
      <c r="G1132" s="12" t="n">
        <v>125685.72</v>
      </c>
      <c r="H1132" s="8" t="inlineStr">
        <is>
          <t>m3</t>
        </is>
      </c>
      <c r="I1132" s="8" t="inlineStr">
        <is>
          <t>cumulative</t>
        </is>
      </c>
      <c r="J1132" s="8" t="inlineStr">
        <is>
          <t>EF</t>
        </is>
      </c>
      <c r="K1132" s="8" t="inlineStr"/>
      <c r="L1132" s="10">
        <f>IFERROR(IF(F1132&lt;F1131,"NEGATIVE",ROUND(F1132-F1131,2)),"")</f>
        <v/>
      </c>
    </row>
    <row r="1133" ht="22" customHeight="1">
      <c r="B1133" s="5" t="inlineStr">
        <is>
          <t>R01129</t>
        </is>
      </c>
      <c r="C1133" s="5" t="inlineStr">
        <is>
          <t>MTR-DYE-001</t>
        </is>
      </c>
      <c r="D1133" s="5" t="inlineStr">
        <is>
          <t>Dyeing Hall</t>
        </is>
      </c>
      <c r="E1133" s="5" t="inlineStr">
        <is>
          <t>Dyeing Line A</t>
        </is>
      </c>
      <c r="F1133" s="5" t="inlineStr">
        <is>
          <t>2024-02-01 08:00</t>
        </is>
      </c>
      <c r="G1133" s="11" t="n">
        <v>125728.59</v>
      </c>
      <c r="H1133" s="5" t="inlineStr">
        <is>
          <t>m3</t>
        </is>
      </c>
      <c r="I1133" s="5" t="inlineStr">
        <is>
          <t>cumulative</t>
        </is>
      </c>
      <c r="J1133" s="5" t="inlineStr">
        <is>
          <t>IJ</t>
        </is>
      </c>
      <c r="K1133" s="5" t="inlineStr"/>
      <c r="L1133" s="7">
        <f>IFERROR(IF(F1133&lt;F1132,"NEGATIVE",ROUND(F1133-F1132,2)),"")</f>
        <v/>
      </c>
    </row>
    <row r="1134" ht="22" customHeight="1">
      <c r="B1134" s="8" t="inlineStr">
        <is>
          <t>R01130</t>
        </is>
      </c>
      <c r="C1134" s="8" t="inlineStr">
        <is>
          <t>MTR-DYE-001</t>
        </is>
      </c>
      <c r="D1134" s="8" t="inlineStr">
        <is>
          <t>Dyeing Hall</t>
        </is>
      </c>
      <c r="E1134" s="8" t="inlineStr">
        <is>
          <t>Dyeing Line A</t>
        </is>
      </c>
      <c r="F1134" s="8" t="inlineStr">
        <is>
          <t>2024-02-02 08:00</t>
        </is>
      </c>
      <c r="G1134" s="12" t="n">
        <v>125772.58</v>
      </c>
      <c r="H1134" s="8" t="inlineStr">
        <is>
          <t>m3</t>
        </is>
      </c>
      <c r="I1134" s="8" t="inlineStr">
        <is>
          <t>cumulative</t>
        </is>
      </c>
      <c r="J1134" s="8" t="inlineStr">
        <is>
          <t>EF</t>
        </is>
      </c>
      <c r="K1134" s="8" t="inlineStr"/>
      <c r="L1134" s="10">
        <f>IFERROR(IF(F1134&lt;F1133,"NEGATIVE",ROUND(F1134-F1133,2)),"")</f>
        <v/>
      </c>
    </row>
    <row r="1135" ht="22" customHeight="1">
      <c r="B1135" s="5" t="inlineStr">
        <is>
          <t>R01131</t>
        </is>
      </c>
      <c r="C1135" s="5" t="inlineStr">
        <is>
          <t>MTR-DYE-001</t>
        </is>
      </c>
      <c r="D1135" s="5" t="inlineStr">
        <is>
          <t>Dyeing Hall</t>
        </is>
      </c>
      <c r="E1135" s="5" t="inlineStr">
        <is>
          <t>Dyeing Line A</t>
        </is>
      </c>
      <c r="F1135" s="5" t="inlineStr">
        <is>
          <t>2024-02-03 08:00</t>
        </is>
      </c>
      <c r="G1135" s="11" t="n">
        <v>125816.22</v>
      </c>
      <c r="H1135" s="5" t="inlineStr">
        <is>
          <t>m3</t>
        </is>
      </c>
      <c r="I1135" s="5" t="inlineStr">
        <is>
          <t>cumulative</t>
        </is>
      </c>
      <c r="J1135" s="5" t="inlineStr">
        <is>
          <t>CD</t>
        </is>
      </c>
      <c r="K1135" s="5" t="inlineStr"/>
      <c r="L1135" s="7">
        <f>IFERROR(IF(F1135&lt;F1134,"NEGATIVE",ROUND(F1135-F1134,2)),"")</f>
        <v/>
      </c>
    </row>
    <row r="1136" ht="22" customHeight="1">
      <c r="B1136" s="8" t="inlineStr">
        <is>
          <t>R01132</t>
        </is>
      </c>
      <c r="C1136" s="8" t="inlineStr">
        <is>
          <t>MTR-DYE-001</t>
        </is>
      </c>
      <c r="D1136" s="8" t="inlineStr">
        <is>
          <t>Dyeing Hall</t>
        </is>
      </c>
      <c r="E1136" s="8" t="inlineStr">
        <is>
          <t>Dyeing Line A</t>
        </is>
      </c>
      <c r="F1136" s="8" t="inlineStr">
        <is>
          <t>2024-02-04 08:00</t>
        </is>
      </c>
      <c r="G1136" s="12" t="n">
        <v>125845.28</v>
      </c>
      <c r="H1136" s="8" t="inlineStr">
        <is>
          <t>m3</t>
        </is>
      </c>
      <c r="I1136" s="8" t="inlineStr">
        <is>
          <t>cumulative</t>
        </is>
      </c>
      <c r="J1136" s="8" t="inlineStr">
        <is>
          <t>EF</t>
        </is>
      </c>
      <c r="K1136" s="8" t="inlineStr"/>
      <c r="L1136" s="10">
        <f>IFERROR(IF(F1136&lt;F1135,"NEGATIVE",ROUND(F1136-F1135,2)),"")</f>
        <v/>
      </c>
    </row>
    <row r="1137" ht="22" customHeight="1">
      <c r="B1137" s="5" t="inlineStr">
        <is>
          <t>R01133</t>
        </is>
      </c>
      <c r="C1137" s="5" t="inlineStr">
        <is>
          <t>MTR-DYE-001</t>
        </is>
      </c>
      <c r="D1137" s="5" t="inlineStr">
        <is>
          <t>Dyeing Hall</t>
        </is>
      </c>
      <c r="E1137" s="5" t="inlineStr">
        <is>
          <t>Dyeing Line A</t>
        </is>
      </c>
      <c r="F1137" s="5" t="inlineStr">
        <is>
          <t>2024-02-05 08:00</t>
        </is>
      </c>
      <c r="G1137" s="11" t="n">
        <v>125887.21</v>
      </c>
      <c r="H1137" s="5" t="inlineStr">
        <is>
          <t>m3</t>
        </is>
      </c>
      <c r="I1137" s="5" t="inlineStr">
        <is>
          <t>cumulative</t>
        </is>
      </c>
      <c r="J1137" s="5" t="inlineStr">
        <is>
          <t>IJ</t>
        </is>
      </c>
      <c r="K1137" s="5" t="inlineStr"/>
      <c r="L1137" s="7">
        <f>IFERROR(IF(F1137&lt;F1136,"NEGATIVE",ROUND(F1137-F1136,2)),"")</f>
        <v/>
      </c>
    </row>
    <row r="1138" ht="22" customHeight="1">
      <c r="B1138" s="8" t="inlineStr">
        <is>
          <t>R01134</t>
        </is>
      </c>
      <c r="C1138" s="8" t="inlineStr">
        <is>
          <t>MTR-DYE-001</t>
        </is>
      </c>
      <c r="D1138" s="8" t="inlineStr">
        <is>
          <t>Dyeing Hall</t>
        </is>
      </c>
      <c r="E1138" s="8" t="inlineStr">
        <is>
          <t>Dyeing Line A</t>
        </is>
      </c>
      <c r="F1138" s="8" t="inlineStr">
        <is>
          <t>2024-02-06 08:00</t>
        </is>
      </c>
      <c r="G1138" s="12" t="n">
        <v>125938.93</v>
      </c>
      <c r="H1138" s="8" t="inlineStr">
        <is>
          <t>m3</t>
        </is>
      </c>
      <c r="I1138" s="8" t="inlineStr">
        <is>
          <t>cumulative</t>
        </is>
      </c>
      <c r="J1138" s="8" t="inlineStr">
        <is>
          <t>AB</t>
        </is>
      </c>
      <c r="K1138" s="8" t="inlineStr"/>
      <c r="L1138" s="10">
        <f>IFERROR(IF(F1138&lt;F1137,"NEGATIVE",ROUND(F1138-F1137,2)),"")</f>
        <v/>
      </c>
    </row>
    <row r="1139" ht="22" customHeight="1">
      <c r="B1139" s="5" t="inlineStr">
        <is>
          <t>R01135</t>
        </is>
      </c>
      <c r="C1139" s="5" t="inlineStr">
        <is>
          <t>MTR-DYE-001</t>
        </is>
      </c>
      <c r="D1139" s="5" t="inlineStr">
        <is>
          <t>Dyeing Hall</t>
        </is>
      </c>
      <c r="E1139" s="5" t="inlineStr">
        <is>
          <t>Dyeing Line A</t>
        </is>
      </c>
      <c r="F1139" s="5" t="inlineStr">
        <is>
          <t>2024-02-07 08:00</t>
        </is>
      </c>
      <c r="G1139" s="11" t="n">
        <v>125989.4</v>
      </c>
      <c r="H1139" s="5" t="inlineStr">
        <is>
          <t>m3</t>
        </is>
      </c>
      <c r="I1139" s="5" t="inlineStr">
        <is>
          <t>cumulative</t>
        </is>
      </c>
      <c r="J1139" s="5" t="inlineStr">
        <is>
          <t>KL</t>
        </is>
      </c>
      <c r="K1139" s="5" t="inlineStr"/>
      <c r="L1139" s="7">
        <f>IFERROR(IF(F1139&lt;F1138,"NEGATIVE",ROUND(F1139-F1138,2)),"")</f>
        <v/>
      </c>
    </row>
    <row r="1140" ht="22" customHeight="1">
      <c r="B1140" s="8" t="inlineStr">
        <is>
          <t>R01136</t>
        </is>
      </c>
      <c r="C1140" s="8" t="inlineStr">
        <is>
          <t>MTR-DYE-001</t>
        </is>
      </c>
      <c r="D1140" s="8" t="inlineStr">
        <is>
          <t>Dyeing Hall</t>
        </is>
      </c>
      <c r="E1140" s="8" t="inlineStr">
        <is>
          <t>Dyeing Line A</t>
        </is>
      </c>
      <c r="F1140" s="8" t="inlineStr">
        <is>
          <t>2024-02-08 08:00</t>
        </is>
      </c>
      <c r="G1140" s="12" t="n">
        <v>126033.57</v>
      </c>
      <c r="H1140" s="8" t="inlineStr">
        <is>
          <t>m3</t>
        </is>
      </c>
      <c r="I1140" s="8" t="inlineStr">
        <is>
          <t>cumulative</t>
        </is>
      </c>
      <c r="J1140" s="8" t="inlineStr">
        <is>
          <t>KL</t>
        </is>
      </c>
      <c r="K1140" s="8" t="inlineStr"/>
      <c r="L1140" s="10">
        <f>IFERROR(IF(F1140&lt;F1139,"NEGATIVE",ROUND(F1140-F1139,2)),"")</f>
        <v/>
      </c>
    </row>
    <row r="1141" ht="22" customHeight="1">
      <c r="B1141" s="5" t="inlineStr">
        <is>
          <t>R01137</t>
        </is>
      </c>
      <c r="C1141" s="5" t="inlineStr">
        <is>
          <t>MTR-DYE-001</t>
        </is>
      </c>
      <c r="D1141" s="5" t="inlineStr">
        <is>
          <t>Dyeing Hall</t>
        </is>
      </c>
      <c r="E1141" s="5" t="inlineStr">
        <is>
          <t>Dyeing Line A</t>
        </is>
      </c>
      <c r="F1141" s="5" t="inlineStr">
        <is>
          <t>2024-02-09 08:00</t>
        </is>
      </c>
      <c r="G1141" s="11" t="n">
        <v>126081.21</v>
      </c>
      <c r="H1141" s="5" t="inlineStr">
        <is>
          <t>m3</t>
        </is>
      </c>
      <c r="I1141" s="5" t="inlineStr">
        <is>
          <t>cumulative</t>
        </is>
      </c>
      <c r="J1141" s="5" t="inlineStr">
        <is>
          <t>IJ</t>
        </is>
      </c>
      <c r="K1141" s="5" t="inlineStr"/>
      <c r="L1141" s="7">
        <f>IFERROR(IF(F1141&lt;F1140,"NEGATIVE",ROUND(F1141-F1140,2)),"")</f>
        <v/>
      </c>
    </row>
    <row r="1142" ht="22" customHeight="1">
      <c r="B1142" s="8" t="inlineStr">
        <is>
          <t>R01138</t>
        </is>
      </c>
      <c r="C1142" s="8" t="inlineStr">
        <is>
          <t>MTR-DYE-001</t>
        </is>
      </c>
      <c r="D1142" s="8" t="inlineStr">
        <is>
          <t>Dyeing Hall</t>
        </is>
      </c>
      <c r="E1142" s="8" t="inlineStr">
        <is>
          <t>Dyeing Line A</t>
        </is>
      </c>
      <c r="F1142" s="8" t="inlineStr">
        <is>
          <t>2024-02-10 08:00</t>
        </is>
      </c>
      <c r="G1142" s="12" t="n">
        <v>126118.05</v>
      </c>
      <c r="H1142" s="8" t="inlineStr">
        <is>
          <t>m3</t>
        </is>
      </c>
      <c r="I1142" s="8" t="inlineStr">
        <is>
          <t>cumulative</t>
        </is>
      </c>
      <c r="J1142" s="8" t="inlineStr">
        <is>
          <t>KL</t>
        </is>
      </c>
      <c r="K1142" s="8" t="inlineStr"/>
      <c r="L1142" s="10">
        <f>IFERROR(IF(F1142&lt;F1141,"NEGATIVE",ROUND(F1142-F1141,2)),"")</f>
        <v/>
      </c>
    </row>
    <row r="1143" ht="22" customHeight="1">
      <c r="B1143" s="5" t="inlineStr">
        <is>
          <t>R01139</t>
        </is>
      </c>
      <c r="C1143" s="5" t="inlineStr">
        <is>
          <t>MTR-DYE-001</t>
        </is>
      </c>
      <c r="D1143" s="5" t="inlineStr">
        <is>
          <t>Dyeing Hall</t>
        </is>
      </c>
      <c r="E1143" s="5" t="inlineStr">
        <is>
          <t>Dyeing Line A</t>
        </is>
      </c>
      <c r="F1143" s="5" t="inlineStr">
        <is>
          <t>2024-02-11 08:00</t>
        </is>
      </c>
      <c r="G1143" s="11" t="n">
        <v>126147.24</v>
      </c>
      <c r="H1143" s="5" t="inlineStr">
        <is>
          <t>m3</t>
        </is>
      </c>
      <c r="I1143" s="5" t="inlineStr">
        <is>
          <t>cumulative</t>
        </is>
      </c>
      <c r="J1143" s="5" t="inlineStr">
        <is>
          <t>IJ</t>
        </is>
      </c>
      <c r="K1143" s="5" t="inlineStr"/>
      <c r="L1143" s="7">
        <f>IFERROR(IF(F1143&lt;F1142,"NEGATIVE",ROUND(F1143-F1142,2)),"")</f>
        <v/>
      </c>
    </row>
    <row r="1144" ht="22" customHeight="1">
      <c r="B1144" s="8" t="inlineStr">
        <is>
          <t>R01140</t>
        </is>
      </c>
      <c r="C1144" s="8" t="inlineStr">
        <is>
          <t>MTR-DYE-001</t>
        </is>
      </c>
      <c r="D1144" s="8" t="inlineStr">
        <is>
          <t>Dyeing Hall</t>
        </is>
      </c>
      <c r="E1144" s="8" t="inlineStr">
        <is>
          <t>Dyeing Line A</t>
        </is>
      </c>
      <c r="F1144" s="8" t="inlineStr">
        <is>
          <t>2024-02-12 08:00</t>
        </is>
      </c>
      <c r="G1144" s="12" t="n">
        <v>126198.19</v>
      </c>
      <c r="H1144" s="8" t="inlineStr">
        <is>
          <t>m3</t>
        </is>
      </c>
      <c r="I1144" s="8" t="inlineStr">
        <is>
          <t>cumulative</t>
        </is>
      </c>
      <c r="J1144" s="8" t="inlineStr">
        <is>
          <t>AB</t>
        </is>
      </c>
      <c r="K1144" s="8" t="inlineStr"/>
      <c r="L1144" s="10">
        <f>IFERROR(IF(F1144&lt;F1143,"NEGATIVE",ROUND(F1144-F1143,2)),"")</f>
        <v/>
      </c>
    </row>
    <row r="1145" ht="22" customHeight="1">
      <c r="B1145" s="5" t="inlineStr">
        <is>
          <t>R01141</t>
        </is>
      </c>
      <c r="C1145" s="5" t="inlineStr">
        <is>
          <t>MTR-DYE-001</t>
        </is>
      </c>
      <c r="D1145" s="5" t="inlineStr">
        <is>
          <t>Dyeing Hall</t>
        </is>
      </c>
      <c r="E1145" s="5" t="inlineStr">
        <is>
          <t>Dyeing Line A</t>
        </is>
      </c>
      <c r="F1145" s="5" t="inlineStr">
        <is>
          <t>2024-02-13 08:00</t>
        </is>
      </c>
      <c r="G1145" s="11" t="n">
        <v>126246.22</v>
      </c>
      <c r="H1145" s="5" t="inlineStr">
        <is>
          <t>m3</t>
        </is>
      </c>
      <c r="I1145" s="5" t="inlineStr">
        <is>
          <t>cumulative</t>
        </is>
      </c>
      <c r="J1145" s="5" t="inlineStr">
        <is>
          <t>GH</t>
        </is>
      </c>
      <c r="K1145" s="5" t="inlineStr"/>
      <c r="L1145" s="7">
        <f>IFERROR(IF(F1145&lt;F1144,"NEGATIVE",ROUND(F1145-F1144,2)),"")</f>
        <v/>
      </c>
    </row>
    <row r="1146" ht="22" customHeight="1">
      <c r="B1146" s="8" t="inlineStr">
        <is>
          <t>R01142</t>
        </is>
      </c>
      <c r="C1146" s="8" t="inlineStr">
        <is>
          <t>MTR-DYE-001</t>
        </is>
      </c>
      <c r="D1146" s="8" t="inlineStr">
        <is>
          <t>Dyeing Hall</t>
        </is>
      </c>
      <c r="E1146" s="8" t="inlineStr">
        <is>
          <t>Dyeing Line A</t>
        </is>
      </c>
      <c r="F1146" s="8" t="inlineStr">
        <is>
          <t>2024-02-14 08:00</t>
        </is>
      </c>
      <c r="G1146" s="12" t="n">
        <v>126294.1</v>
      </c>
      <c r="H1146" s="8" t="inlineStr">
        <is>
          <t>m3</t>
        </is>
      </c>
      <c r="I1146" s="8" t="inlineStr">
        <is>
          <t>cumulative</t>
        </is>
      </c>
      <c r="J1146" s="8" t="inlineStr">
        <is>
          <t>CD</t>
        </is>
      </c>
      <c r="K1146" s="8" t="inlineStr"/>
      <c r="L1146" s="10">
        <f>IFERROR(IF(F1146&lt;F1145,"NEGATIVE",ROUND(F1146-F1145,2)),"")</f>
        <v/>
      </c>
    </row>
    <row r="1147" ht="22" customHeight="1">
      <c r="B1147" s="5" t="inlineStr">
        <is>
          <t>R01143</t>
        </is>
      </c>
      <c r="C1147" s="5" t="inlineStr">
        <is>
          <t>MTR-DYE-001</t>
        </is>
      </c>
      <c r="D1147" s="5" t="inlineStr">
        <is>
          <t>Dyeing Hall</t>
        </is>
      </c>
      <c r="E1147" s="5" t="inlineStr">
        <is>
          <t>Dyeing Line A</t>
        </is>
      </c>
      <c r="F1147" s="5" t="inlineStr">
        <is>
          <t>2024-02-15 08:00</t>
        </is>
      </c>
      <c r="G1147" s="11" t="n">
        <v>126339.48</v>
      </c>
      <c r="H1147" s="5" t="inlineStr">
        <is>
          <t>m3</t>
        </is>
      </c>
      <c r="I1147" s="5" t="inlineStr">
        <is>
          <t>cumulative</t>
        </is>
      </c>
      <c r="J1147" s="5" t="inlineStr">
        <is>
          <t>AB</t>
        </is>
      </c>
      <c r="K1147" s="5" t="inlineStr"/>
      <c r="L1147" s="7">
        <f>IFERROR(IF(F1147&lt;F1146,"NEGATIVE",ROUND(F1147-F1146,2)),"")</f>
        <v/>
      </c>
    </row>
    <row r="1148" ht="22" customHeight="1">
      <c r="B1148" s="8" t="inlineStr">
        <is>
          <t>R01144</t>
        </is>
      </c>
      <c r="C1148" s="8" t="inlineStr">
        <is>
          <t>MTR-DYE-001</t>
        </is>
      </c>
      <c r="D1148" s="8" t="inlineStr">
        <is>
          <t>Dyeing Hall</t>
        </is>
      </c>
      <c r="E1148" s="8" t="inlineStr">
        <is>
          <t>Dyeing Line A</t>
        </is>
      </c>
      <c r="F1148" s="8" t="inlineStr">
        <is>
          <t>2024-02-16 08:00</t>
        </is>
      </c>
      <c r="G1148" s="12" t="n">
        <v>126391.16</v>
      </c>
      <c r="H1148" s="8" t="inlineStr">
        <is>
          <t>m3</t>
        </is>
      </c>
      <c r="I1148" s="8" t="inlineStr">
        <is>
          <t>cumulative</t>
        </is>
      </c>
      <c r="J1148" s="8" t="inlineStr">
        <is>
          <t>AB</t>
        </is>
      </c>
      <c r="K1148" s="8" t="inlineStr"/>
      <c r="L1148" s="10">
        <f>IFERROR(IF(F1148&lt;F1147,"NEGATIVE",ROUND(F1148-F1147,2)),"")</f>
        <v/>
      </c>
    </row>
    <row r="1149" ht="22" customHeight="1">
      <c r="B1149" s="5" t="inlineStr">
        <is>
          <t>R01145</t>
        </is>
      </c>
      <c r="C1149" s="5" t="inlineStr">
        <is>
          <t>MTR-DYE-001</t>
        </is>
      </c>
      <c r="D1149" s="5" t="inlineStr">
        <is>
          <t>Dyeing Hall</t>
        </is>
      </c>
      <c r="E1149" s="5" t="inlineStr">
        <is>
          <t>Dyeing Line A</t>
        </is>
      </c>
      <c r="F1149" s="5" t="inlineStr">
        <is>
          <t>2024-02-17 08:00</t>
        </is>
      </c>
      <c r="G1149" s="11" t="n">
        <v>126434.77</v>
      </c>
      <c r="H1149" s="5" t="inlineStr">
        <is>
          <t>m3</t>
        </is>
      </c>
      <c r="I1149" s="5" t="inlineStr">
        <is>
          <t>cumulative</t>
        </is>
      </c>
      <c r="J1149" s="5" t="inlineStr">
        <is>
          <t>IJ</t>
        </is>
      </c>
      <c r="K1149" s="5" t="inlineStr"/>
      <c r="L1149" s="7">
        <f>IFERROR(IF(F1149&lt;F1148,"NEGATIVE",ROUND(F1149-F1148,2)),"")</f>
        <v/>
      </c>
    </row>
    <row r="1150" ht="22" customHeight="1">
      <c r="B1150" s="8" t="inlineStr">
        <is>
          <t>R01146</t>
        </is>
      </c>
      <c r="C1150" s="8" t="inlineStr">
        <is>
          <t>MTR-DYE-001</t>
        </is>
      </c>
      <c r="D1150" s="8" t="inlineStr">
        <is>
          <t>Dyeing Hall</t>
        </is>
      </c>
      <c r="E1150" s="8" t="inlineStr">
        <is>
          <t>Dyeing Line A</t>
        </is>
      </c>
      <c r="F1150" s="8" t="inlineStr">
        <is>
          <t>2024-02-18 08:00</t>
        </is>
      </c>
      <c r="G1150" s="12" t="n">
        <v>126463.3</v>
      </c>
      <c r="H1150" s="8" t="inlineStr">
        <is>
          <t>m3</t>
        </is>
      </c>
      <c r="I1150" s="8" t="inlineStr">
        <is>
          <t>cumulative</t>
        </is>
      </c>
      <c r="J1150" s="8" t="inlineStr">
        <is>
          <t>GH</t>
        </is>
      </c>
      <c r="K1150" s="8" t="inlineStr"/>
      <c r="L1150" s="10">
        <f>IFERROR(IF(F1150&lt;F1149,"NEGATIVE",ROUND(F1150-F1149,2)),"")</f>
        <v/>
      </c>
    </row>
    <row r="1151" ht="22" customHeight="1">
      <c r="B1151" s="5" t="inlineStr">
        <is>
          <t>R01147</t>
        </is>
      </c>
      <c r="C1151" s="5" t="inlineStr">
        <is>
          <t>MTR-DYE-001</t>
        </is>
      </c>
      <c r="D1151" s="5" t="inlineStr">
        <is>
          <t>Dyeing Hall</t>
        </is>
      </c>
      <c r="E1151" s="5" t="inlineStr">
        <is>
          <t>Dyeing Line A</t>
        </is>
      </c>
      <c r="F1151" s="5" t="inlineStr">
        <is>
          <t>2024-02-19 08:00</t>
        </is>
      </c>
      <c r="G1151" s="11" t="n">
        <v>126518.09</v>
      </c>
      <c r="H1151" s="5" t="inlineStr">
        <is>
          <t>m3</t>
        </is>
      </c>
      <c r="I1151" s="5" t="inlineStr">
        <is>
          <t>cumulative</t>
        </is>
      </c>
      <c r="J1151" s="5" t="inlineStr">
        <is>
          <t>IJ</t>
        </is>
      </c>
      <c r="K1151" s="5" t="inlineStr"/>
      <c r="L1151" s="7">
        <f>IFERROR(IF(F1151&lt;F1150,"NEGATIVE",ROUND(F1151-F1150,2)),"")</f>
        <v/>
      </c>
    </row>
    <row r="1152" ht="22" customHeight="1">
      <c r="B1152" s="8" t="inlineStr">
        <is>
          <t>R01148</t>
        </is>
      </c>
      <c r="C1152" s="8" t="inlineStr">
        <is>
          <t>MTR-DYE-001</t>
        </is>
      </c>
      <c r="D1152" s="8" t="inlineStr">
        <is>
          <t>Dyeing Hall</t>
        </is>
      </c>
      <c r="E1152" s="8" t="inlineStr">
        <is>
          <t>Dyeing Line A</t>
        </is>
      </c>
      <c r="F1152" s="8" t="inlineStr">
        <is>
          <t>2024-02-20 08:00</t>
        </is>
      </c>
      <c r="G1152" s="12" t="n">
        <v>126564.99</v>
      </c>
      <c r="H1152" s="8" t="inlineStr">
        <is>
          <t>m3</t>
        </is>
      </c>
      <c r="I1152" s="8" t="inlineStr">
        <is>
          <t>cumulative</t>
        </is>
      </c>
      <c r="J1152" s="8" t="inlineStr">
        <is>
          <t>CD</t>
        </is>
      </c>
      <c r="K1152" s="8" t="inlineStr"/>
      <c r="L1152" s="10">
        <f>IFERROR(IF(F1152&lt;F1151,"NEGATIVE",ROUND(F1152-F1151,2)),"")</f>
        <v/>
      </c>
    </row>
    <row r="1153" ht="22" customHeight="1">
      <c r="B1153" s="5" t="inlineStr">
        <is>
          <t>R01149</t>
        </is>
      </c>
      <c r="C1153" s="5" t="inlineStr">
        <is>
          <t>MTR-DYE-001</t>
        </is>
      </c>
      <c r="D1153" s="5" t="inlineStr">
        <is>
          <t>Dyeing Hall</t>
        </is>
      </c>
      <c r="E1153" s="5" t="inlineStr">
        <is>
          <t>Dyeing Line A</t>
        </is>
      </c>
      <c r="F1153" s="5" t="inlineStr">
        <is>
          <t>2024-02-21 08:00</t>
        </is>
      </c>
      <c r="G1153" s="11" t="n">
        <v>126614.23</v>
      </c>
      <c r="H1153" s="5" t="inlineStr">
        <is>
          <t>m3</t>
        </is>
      </c>
      <c r="I1153" s="5" t="inlineStr">
        <is>
          <t>cumulative</t>
        </is>
      </c>
      <c r="J1153" s="5" t="inlineStr">
        <is>
          <t>EF</t>
        </is>
      </c>
      <c r="K1153" s="5" t="inlineStr"/>
      <c r="L1153" s="7">
        <f>IFERROR(IF(F1153&lt;F1152,"NEGATIVE",ROUND(F1153-F1152,2)),"")</f>
        <v/>
      </c>
    </row>
    <row r="1154" ht="22" customHeight="1">
      <c r="B1154" s="8" t="inlineStr">
        <is>
          <t>R01150</t>
        </is>
      </c>
      <c r="C1154" s="8" t="inlineStr">
        <is>
          <t>MTR-DYE-001</t>
        </is>
      </c>
      <c r="D1154" s="8" t="inlineStr">
        <is>
          <t>Dyeing Hall</t>
        </is>
      </c>
      <c r="E1154" s="8" t="inlineStr">
        <is>
          <t>Dyeing Line A</t>
        </is>
      </c>
      <c r="F1154" s="8" t="inlineStr">
        <is>
          <t>2024-02-22 08:00</t>
        </is>
      </c>
      <c r="G1154" s="12" t="n">
        <v>126657.82</v>
      </c>
      <c r="H1154" s="8" t="inlineStr">
        <is>
          <t>m3</t>
        </is>
      </c>
      <c r="I1154" s="8" t="inlineStr">
        <is>
          <t>cumulative</t>
        </is>
      </c>
      <c r="J1154" s="8" t="inlineStr">
        <is>
          <t>CD</t>
        </is>
      </c>
      <c r="K1154" s="8" t="inlineStr"/>
      <c r="L1154" s="10">
        <f>IFERROR(IF(F1154&lt;F1153,"NEGATIVE",ROUND(F1154-F1153,2)),"")</f>
        <v/>
      </c>
    </row>
    <row r="1155" ht="22" customHeight="1">
      <c r="B1155" s="5" t="inlineStr">
        <is>
          <t>R01151</t>
        </is>
      </c>
      <c r="C1155" s="5" t="inlineStr">
        <is>
          <t>MTR-DYE-001</t>
        </is>
      </c>
      <c r="D1155" s="5" t="inlineStr">
        <is>
          <t>Dyeing Hall</t>
        </is>
      </c>
      <c r="E1155" s="5" t="inlineStr">
        <is>
          <t>Dyeing Line A</t>
        </is>
      </c>
      <c r="F1155" s="5" t="inlineStr">
        <is>
          <t>2024-02-23 08:00</t>
        </is>
      </c>
      <c r="G1155" s="11" t="n">
        <v>126709.68</v>
      </c>
      <c r="H1155" s="5" t="inlineStr">
        <is>
          <t>m3</t>
        </is>
      </c>
      <c r="I1155" s="5" t="inlineStr">
        <is>
          <t>cumulative</t>
        </is>
      </c>
      <c r="J1155" s="5" t="inlineStr">
        <is>
          <t>CD</t>
        </is>
      </c>
      <c r="K1155" s="5" t="inlineStr"/>
      <c r="L1155" s="7">
        <f>IFERROR(IF(F1155&lt;F1154,"NEGATIVE",ROUND(F1155-F1154,2)),"")</f>
        <v/>
      </c>
    </row>
    <row r="1156" ht="22" customHeight="1">
      <c r="B1156" s="8" t="inlineStr">
        <is>
          <t>R01152</t>
        </is>
      </c>
      <c r="C1156" s="8" t="inlineStr">
        <is>
          <t>MTR-DYE-001</t>
        </is>
      </c>
      <c r="D1156" s="8" t="inlineStr">
        <is>
          <t>Dyeing Hall</t>
        </is>
      </c>
      <c r="E1156" s="8" t="inlineStr">
        <is>
          <t>Dyeing Line A</t>
        </is>
      </c>
      <c r="F1156" s="8" t="inlineStr">
        <is>
          <t>2024-02-24 08:00</t>
        </is>
      </c>
      <c r="G1156" s="12" t="n">
        <v>126751.33</v>
      </c>
      <c r="H1156" s="8" t="inlineStr">
        <is>
          <t>m3</t>
        </is>
      </c>
      <c r="I1156" s="8" t="inlineStr">
        <is>
          <t>cumulative</t>
        </is>
      </c>
      <c r="J1156" s="8" t="inlineStr">
        <is>
          <t>KL</t>
        </is>
      </c>
      <c r="K1156" s="8" t="inlineStr"/>
      <c r="L1156" s="10">
        <f>IFERROR(IF(F1156&lt;F1155,"NEGATIVE",ROUND(F1156-F1155,2)),"")</f>
        <v/>
      </c>
    </row>
    <row r="1157" ht="22" customHeight="1">
      <c r="B1157" s="5" t="inlineStr">
        <is>
          <t>R01153</t>
        </is>
      </c>
      <c r="C1157" s="5" t="inlineStr">
        <is>
          <t>MTR-DYE-001</t>
        </is>
      </c>
      <c r="D1157" s="5" t="inlineStr">
        <is>
          <t>Dyeing Hall</t>
        </is>
      </c>
      <c r="E1157" s="5" t="inlineStr">
        <is>
          <t>Dyeing Line A</t>
        </is>
      </c>
      <c r="F1157" s="5" t="inlineStr">
        <is>
          <t>2024-02-25 08:00</t>
        </is>
      </c>
      <c r="G1157" s="11" t="n">
        <v>126777.07</v>
      </c>
      <c r="H1157" s="5" t="inlineStr">
        <is>
          <t>m3</t>
        </is>
      </c>
      <c r="I1157" s="5" t="inlineStr">
        <is>
          <t>cumulative</t>
        </is>
      </c>
      <c r="J1157" s="5" t="inlineStr">
        <is>
          <t>KL</t>
        </is>
      </c>
      <c r="K1157" s="5" t="inlineStr"/>
      <c r="L1157" s="7">
        <f>IFERROR(IF(F1157&lt;F1156,"NEGATIVE",ROUND(F1157-F1156,2)),"")</f>
        <v/>
      </c>
    </row>
    <row r="1158" ht="22" customHeight="1">
      <c r="B1158" s="8" t="inlineStr">
        <is>
          <t>R01154</t>
        </is>
      </c>
      <c r="C1158" s="8" t="inlineStr">
        <is>
          <t>MTR-DYE-001</t>
        </is>
      </c>
      <c r="D1158" s="8" t="inlineStr">
        <is>
          <t>Dyeing Hall</t>
        </is>
      </c>
      <c r="E1158" s="8" t="inlineStr">
        <is>
          <t>Dyeing Line A</t>
        </is>
      </c>
      <c r="F1158" s="8" t="inlineStr">
        <is>
          <t>2024-02-26 08:00</t>
        </is>
      </c>
      <c r="G1158" s="12" t="n">
        <v>126828.76</v>
      </c>
      <c r="H1158" s="8" t="inlineStr">
        <is>
          <t>m3</t>
        </is>
      </c>
      <c r="I1158" s="8" t="inlineStr">
        <is>
          <t>cumulative</t>
        </is>
      </c>
      <c r="J1158" s="8" t="inlineStr">
        <is>
          <t>GH</t>
        </is>
      </c>
      <c r="K1158" s="8" t="inlineStr"/>
      <c r="L1158" s="10">
        <f>IFERROR(IF(F1158&lt;F1157,"NEGATIVE",ROUND(F1158-F1157,2)),"")</f>
        <v/>
      </c>
    </row>
    <row r="1159" ht="22" customHeight="1">
      <c r="B1159" s="5" t="inlineStr">
        <is>
          <t>R01155</t>
        </is>
      </c>
      <c r="C1159" s="5" t="inlineStr">
        <is>
          <t>MTR-DYE-001</t>
        </is>
      </c>
      <c r="D1159" s="5" t="inlineStr">
        <is>
          <t>Dyeing Hall</t>
        </is>
      </c>
      <c r="E1159" s="5" t="inlineStr">
        <is>
          <t>Dyeing Line A</t>
        </is>
      </c>
      <c r="F1159" s="5" t="inlineStr">
        <is>
          <t>2024-02-27 08:00</t>
        </is>
      </c>
      <c r="G1159" s="11" t="n">
        <v>126878.78</v>
      </c>
      <c r="H1159" s="5" t="inlineStr">
        <is>
          <t>m3</t>
        </is>
      </c>
      <c r="I1159" s="5" t="inlineStr">
        <is>
          <t>cumulative</t>
        </is>
      </c>
      <c r="J1159" s="5" t="inlineStr">
        <is>
          <t>EF</t>
        </is>
      </c>
      <c r="K1159" s="5" t="inlineStr"/>
      <c r="L1159" s="7">
        <f>IFERROR(IF(F1159&lt;F1158,"NEGATIVE",ROUND(F1159-F1158,2)),"")</f>
        <v/>
      </c>
    </row>
    <row r="1160" ht="22" customHeight="1">
      <c r="B1160" s="8" t="inlineStr">
        <is>
          <t>R01156</t>
        </is>
      </c>
      <c r="C1160" s="8" t="inlineStr">
        <is>
          <t>MTR-DYE-001</t>
        </is>
      </c>
      <c r="D1160" s="8" t="inlineStr">
        <is>
          <t>Dyeing Hall</t>
        </is>
      </c>
      <c r="E1160" s="8" t="inlineStr">
        <is>
          <t>Dyeing Line A</t>
        </is>
      </c>
      <c r="F1160" s="8" t="inlineStr">
        <is>
          <t>2024-02-28 08:00</t>
        </is>
      </c>
      <c r="G1160" s="12" t="n">
        <v>126927.36</v>
      </c>
      <c r="H1160" s="8" t="inlineStr">
        <is>
          <t>m3</t>
        </is>
      </c>
      <c r="I1160" s="8" t="inlineStr">
        <is>
          <t>cumulative</t>
        </is>
      </c>
      <c r="J1160" s="8" t="inlineStr">
        <is>
          <t>EF</t>
        </is>
      </c>
      <c r="K1160" s="8" t="inlineStr"/>
      <c r="L1160" s="10">
        <f>IFERROR(IF(F1160&lt;F1159,"NEGATIVE",ROUND(F1160-F1159,2)),"")</f>
        <v/>
      </c>
    </row>
    <row r="1161" ht="22" customHeight="1">
      <c r="B1161" s="5" t="inlineStr">
        <is>
          <t>R01157</t>
        </is>
      </c>
      <c r="C1161" s="5" t="inlineStr">
        <is>
          <t>MTR-DYE-001</t>
        </is>
      </c>
      <c r="D1161" s="5" t="inlineStr">
        <is>
          <t>Dyeing Hall</t>
        </is>
      </c>
      <c r="E1161" s="5" t="inlineStr">
        <is>
          <t>Dyeing Line A</t>
        </is>
      </c>
      <c r="F1161" s="5" t="inlineStr">
        <is>
          <t>2024-02-29 08:00</t>
        </is>
      </c>
      <c r="G1161" s="11" t="n">
        <v>126982.57</v>
      </c>
      <c r="H1161" s="5" t="inlineStr">
        <is>
          <t>m3</t>
        </is>
      </c>
      <c r="I1161" s="5" t="inlineStr">
        <is>
          <t>cumulative</t>
        </is>
      </c>
      <c r="J1161" s="5" t="inlineStr">
        <is>
          <t>AB</t>
        </is>
      </c>
      <c r="K1161" s="5" t="inlineStr"/>
      <c r="L1161" s="7">
        <f>IFERROR(IF(F1161&lt;F1160,"NEGATIVE",ROUND(F1161-F1160,2)),"")</f>
        <v/>
      </c>
    </row>
    <row r="1162" ht="22" customHeight="1">
      <c r="B1162" s="8" t="inlineStr">
        <is>
          <t>R01158</t>
        </is>
      </c>
      <c r="C1162" s="8" t="inlineStr">
        <is>
          <t>MTR-DYE-001</t>
        </is>
      </c>
      <c r="D1162" s="8" t="inlineStr">
        <is>
          <t>Dyeing Hall</t>
        </is>
      </c>
      <c r="E1162" s="8" t="inlineStr">
        <is>
          <t>Dyeing Line A</t>
        </is>
      </c>
      <c r="F1162" s="8" t="inlineStr">
        <is>
          <t>2024-03-01 08:00</t>
        </is>
      </c>
      <c r="G1162" s="12" t="n">
        <v>127029.56</v>
      </c>
      <c r="H1162" s="8" t="inlineStr">
        <is>
          <t>m3</t>
        </is>
      </c>
      <c r="I1162" s="8" t="inlineStr">
        <is>
          <t>cumulative</t>
        </is>
      </c>
      <c r="J1162" s="8" t="inlineStr">
        <is>
          <t>GH</t>
        </is>
      </c>
      <c r="K1162" s="8" t="inlineStr"/>
      <c r="L1162" s="10">
        <f>IFERROR(IF(F1162&lt;F1161,"NEGATIVE",ROUND(F1162-F1161,2)),"")</f>
        <v/>
      </c>
    </row>
    <row r="1163" ht="22" customHeight="1">
      <c r="B1163" s="5" t="inlineStr">
        <is>
          <t>R01159</t>
        </is>
      </c>
      <c r="C1163" s="5" t="inlineStr">
        <is>
          <t>MTR-DYE-001</t>
        </is>
      </c>
      <c r="D1163" s="5" t="inlineStr">
        <is>
          <t>Dyeing Hall</t>
        </is>
      </c>
      <c r="E1163" s="5" t="inlineStr">
        <is>
          <t>Dyeing Line A</t>
        </is>
      </c>
      <c r="F1163" s="5" t="inlineStr">
        <is>
          <t>2024-03-02 08:00</t>
        </is>
      </c>
      <c r="G1163" s="11" t="n">
        <v>127072.57</v>
      </c>
      <c r="H1163" s="5" t="inlineStr">
        <is>
          <t>m3</t>
        </is>
      </c>
      <c r="I1163" s="5" t="inlineStr">
        <is>
          <t>cumulative</t>
        </is>
      </c>
      <c r="J1163" s="5" t="inlineStr">
        <is>
          <t>EF</t>
        </is>
      </c>
      <c r="K1163" s="5" t="inlineStr"/>
      <c r="L1163" s="7">
        <f>IFERROR(IF(F1163&lt;F1162,"NEGATIVE",ROUND(F1163-F1162,2)),"")</f>
        <v/>
      </c>
    </row>
    <row r="1164" ht="22" customHeight="1">
      <c r="B1164" s="8" t="inlineStr">
        <is>
          <t>R01160</t>
        </is>
      </c>
      <c r="C1164" s="8" t="inlineStr">
        <is>
          <t>MTR-DYE-001</t>
        </is>
      </c>
      <c r="D1164" s="8" t="inlineStr">
        <is>
          <t>Dyeing Hall</t>
        </is>
      </c>
      <c r="E1164" s="8" t="inlineStr">
        <is>
          <t>Dyeing Line A</t>
        </is>
      </c>
      <c r="F1164" s="8" t="inlineStr">
        <is>
          <t>2024-03-03 08:00</t>
        </is>
      </c>
      <c r="G1164" s="12" t="n">
        <v>127100.68</v>
      </c>
      <c r="H1164" s="8" t="inlineStr">
        <is>
          <t>m3</t>
        </is>
      </c>
      <c r="I1164" s="8" t="inlineStr">
        <is>
          <t>cumulative</t>
        </is>
      </c>
      <c r="J1164" s="8" t="inlineStr">
        <is>
          <t>EF</t>
        </is>
      </c>
      <c r="K1164" s="8" t="inlineStr"/>
      <c r="L1164" s="10">
        <f>IFERROR(IF(F1164&lt;F1163,"NEGATIVE",ROUND(F1164-F1163,2)),"")</f>
        <v/>
      </c>
    </row>
    <row r="1165" ht="22" customHeight="1">
      <c r="B1165" s="5" t="inlineStr">
        <is>
          <t>R01161</t>
        </is>
      </c>
      <c r="C1165" s="5" t="inlineStr">
        <is>
          <t>MTR-DYE-001</t>
        </is>
      </c>
      <c r="D1165" s="5" t="inlineStr">
        <is>
          <t>Dyeing Hall</t>
        </is>
      </c>
      <c r="E1165" s="5" t="inlineStr">
        <is>
          <t>Dyeing Line A</t>
        </is>
      </c>
      <c r="F1165" s="5" t="inlineStr">
        <is>
          <t>2024-03-04 08:00</t>
        </is>
      </c>
      <c r="G1165" s="11" t="n">
        <v>127151.28</v>
      </c>
      <c r="H1165" s="5" t="inlineStr">
        <is>
          <t>m3</t>
        </is>
      </c>
      <c r="I1165" s="5" t="inlineStr">
        <is>
          <t>cumulative</t>
        </is>
      </c>
      <c r="J1165" s="5" t="inlineStr">
        <is>
          <t>EF</t>
        </is>
      </c>
      <c r="K1165" s="5" t="inlineStr"/>
      <c r="L1165" s="7">
        <f>IFERROR(IF(F1165&lt;F1164,"NEGATIVE",ROUND(F1165-F1164,2)),"")</f>
        <v/>
      </c>
    </row>
    <row r="1166" ht="22" customHeight="1">
      <c r="B1166" s="8" t="inlineStr">
        <is>
          <t>R01162</t>
        </is>
      </c>
      <c r="C1166" s="8" t="inlineStr">
        <is>
          <t>MTR-DYE-001</t>
        </is>
      </c>
      <c r="D1166" s="8" t="inlineStr">
        <is>
          <t>Dyeing Hall</t>
        </is>
      </c>
      <c r="E1166" s="8" t="inlineStr">
        <is>
          <t>Dyeing Line A</t>
        </is>
      </c>
      <c r="F1166" s="8" t="inlineStr">
        <is>
          <t>2024-03-05 08:00</t>
        </is>
      </c>
      <c r="G1166" s="12" t="n">
        <v>127202.48</v>
      </c>
      <c r="H1166" s="8" t="inlineStr">
        <is>
          <t>m3</t>
        </is>
      </c>
      <c r="I1166" s="8" t="inlineStr">
        <is>
          <t>cumulative</t>
        </is>
      </c>
      <c r="J1166" s="8" t="inlineStr">
        <is>
          <t>GH</t>
        </is>
      </c>
      <c r="K1166" s="8" t="inlineStr"/>
      <c r="L1166" s="10">
        <f>IFERROR(IF(F1166&lt;F1165,"NEGATIVE",ROUND(F1166-F1165,2)),"")</f>
        <v/>
      </c>
    </row>
    <row r="1167" ht="22" customHeight="1">
      <c r="B1167" s="5" t="inlineStr">
        <is>
          <t>R01163</t>
        </is>
      </c>
      <c r="C1167" s="5" t="inlineStr">
        <is>
          <t>MTR-DYE-001</t>
        </is>
      </c>
      <c r="D1167" s="5" t="inlineStr">
        <is>
          <t>Dyeing Hall</t>
        </is>
      </c>
      <c r="E1167" s="5" t="inlineStr">
        <is>
          <t>Dyeing Line A</t>
        </is>
      </c>
      <c r="F1167" s="5" t="inlineStr">
        <is>
          <t>2024-03-06 08:00</t>
        </is>
      </c>
      <c r="G1167" s="11" t="n">
        <v>127253.72</v>
      </c>
      <c r="H1167" s="5" t="inlineStr">
        <is>
          <t>m3</t>
        </is>
      </c>
      <c r="I1167" s="5" t="inlineStr">
        <is>
          <t>cumulative</t>
        </is>
      </c>
      <c r="J1167" s="5" t="inlineStr">
        <is>
          <t>KL</t>
        </is>
      </c>
      <c r="K1167" s="5" t="inlineStr"/>
      <c r="L1167" s="7">
        <f>IFERROR(IF(F1167&lt;F1166,"NEGATIVE",ROUND(F1167-F1166,2)),"")</f>
        <v/>
      </c>
    </row>
    <row r="1168" ht="22" customHeight="1">
      <c r="B1168" s="8" t="inlineStr">
        <is>
          <t>R01164</t>
        </is>
      </c>
      <c r="C1168" s="8" t="inlineStr">
        <is>
          <t>MTR-DYE-001</t>
        </is>
      </c>
      <c r="D1168" s="8" t="inlineStr">
        <is>
          <t>Dyeing Hall</t>
        </is>
      </c>
      <c r="E1168" s="8" t="inlineStr">
        <is>
          <t>Dyeing Line A</t>
        </is>
      </c>
      <c r="F1168" s="8" t="inlineStr">
        <is>
          <t>2024-03-07 08:00</t>
        </is>
      </c>
      <c r="G1168" s="12" t="n">
        <v>127299.68</v>
      </c>
      <c r="H1168" s="8" t="inlineStr">
        <is>
          <t>m3</t>
        </is>
      </c>
      <c r="I1168" s="8" t="inlineStr">
        <is>
          <t>cumulative</t>
        </is>
      </c>
      <c r="J1168" s="8" t="inlineStr">
        <is>
          <t>IJ</t>
        </is>
      </c>
      <c r="K1168" s="8" t="inlineStr"/>
      <c r="L1168" s="10">
        <f>IFERROR(IF(F1168&lt;F1167,"NEGATIVE",ROUND(F1168-F1167,2)),"")</f>
        <v/>
      </c>
    </row>
    <row r="1169" ht="22" customHeight="1">
      <c r="B1169" s="5" t="inlineStr">
        <is>
          <t>R01165</t>
        </is>
      </c>
      <c r="C1169" s="5" t="inlineStr">
        <is>
          <t>MTR-DYE-001</t>
        </is>
      </c>
      <c r="D1169" s="5" t="inlineStr">
        <is>
          <t>Dyeing Hall</t>
        </is>
      </c>
      <c r="E1169" s="5" t="inlineStr">
        <is>
          <t>Dyeing Line A</t>
        </is>
      </c>
      <c r="F1169" s="5" t="inlineStr">
        <is>
          <t>2024-03-08 08:00</t>
        </is>
      </c>
      <c r="G1169" s="11" t="n">
        <v>127343.74</v>
      </c>
      <c r="H1169" s="5" t="inlineStr">
        <is>
          <t>m3</t>
        </is>
      </c>
      <c r="I1169" s="5" t="inlineStr">
        <is>
          <t>cumulative</t>
        </is>
      </c>
      <c r="J1169" s="5" t="inlineStr">
        <is>
          <t>CD</t>
        </is>
      </c>
      <c r="K1169" s="5" t="inlineStr"/>
      <c r="L1169" s="7">
        <f>IFERROR(IF(F1169&lt;F1168,"NEGATIVE",ROUND(F1169-F1168,2)),"")</f>
        <v/>
      </c>
    </row>
    <row r="1170" ht="22" customHeight="1">
      <c r="B1170" s="8" t="inlineStr">
        <is>
          <t>R01166</t>
        </is>
      </c>
      <c r="C1170" s="8" t="inlineStr">
        <is>
          <t>MTR-DYE-001</t>
        </is>
      </c>
      <c r="D1170" s="8" t="inlineStr">
        <is>
          <t>Dyeing Hall</t>
        </is>
      </c>
      <c r="E1170" s="8" t="inlineStr">
        <is>
          <t>Dyeing Line A</t>
        </is>
      </c>
      <c r="F1170" s="8" t="inlineStr">
        <is>
          <t>2024-03-09 08:00</t>
        </is>
      </c>
      <c r="G1170" s="12" t="n">
        <v>127385.43</v>
      </c>
      <c r="H1170" s="8" t="inlineStr">
        <is>
          <t>m3</t>
        </is>
      </c>
      <c r="I1170" s="8" t="inlineStr">
        <is>
          <t>cumulative</t>
        </is>
      </c>
      <c r="J1170" s="8" t="inlineStr">
        <is>
          <t>EF</t>
        </is>
      </c>
      <c r="K1170" s="8" t="inlineStr"/>
      <c r="L1170" s="10">
        <f>IFERROR(IF(F1170&lt;F1169,"NEGATIVE",ROUND(F1170-F1169,2)),"")</f>
        <v/>
      </c>
    </row>
    <row r="1171" ht="22" customHeight="1">
      <c r="B1171" s="5" t="inlineStr">
        <is>
          <t>R01167</t>
        </is>
      </c>
      <c r="C1171" s="5" t="inlineStr">
        <is>
          <t>MTR-DYE-001</t>
        </is>
      </c>
      <c r="D1171" s="5" t="inlineStr">
        <is>
          <t>Dyeing Hall</t>
        </is>
      </c>
      <c r="E1171" s="5" t="inlineStr">
        <is>
          <t>Dyeing Line A</t>
        </is>
      </c>
      <c r="F1171" s="5" t="inlineStr">
        <is>
          <t>2024-03-10 08:00</t>
        </is>
      </c>
      <c r="G1171" s="11" t="n">
        <v>127412.37</v>
      </c>
      <c r="H1171" s="5" t="inlineStr">
        <is>
          <t>m3</t>
        </is>
      </c>
      <c r="I1171" s="5" t="inlineStr">
        <is>
          <t>cumulative</t>
        </is>
      </c>
      <c r="J1171" s="5" t="inlineStr">
        <is>
          <t>CD</t>
        </is>
      </c>
      <c r="K1171" s="5" t="inlineStr"/>
      <c r="L1171" s="7">
        <f>IFERROR(IF(F1171&lt;F1170,"NEGATIVE",ROUND(F1171-F1170,2)),"")</f>
        <v/>
      </c>
    </row>
    <row r="1172" ht="22" customHeight="1">
      <c r="B1172" s="8" t="inlineStr">
        <is>
          <t>R01168</t>
        </is>
      </c>
      <c r="C1172" s="8" t="inlineStr">
        <is>
          <t>MTR-DYE-001</t>
        </is>
      </c>
      <c r="D1172" s="8" t="inlineStr">
        <is>
          <t>Dyeing Hall</t>
        </is>
      </c>
      <c r="E1172" s="8" t="inlineStr">
        <is>
          <t>Dyeing Line A</t>
        </is>
      </c>
      <c r="F1172" s="8" t="inlineStr">
        <is>
          <t>2024-03-11 08:00</t>
        </is>
      </c>
      <c r="G1172" s="12" t="n">
        <v>127466.2</v>
      </c>
      <c r="H1172" s="8" t="inlineStr">
        <is>
          <t>m3</t>
        </is>
      </c>
      <c r="I1172" s="8" t="inlineStr">
        <is>
          <t>cumulative</t>
        </is>
      </c>
      <c r="J1172" s="8" t="inlineStr">
        <is>
          <t>IJ</t>
        </is>
      </c>
      <c r="K1172" s="8" t="inlineStr"/>
      <c r="L1172" s="10">
        <f>IFERROR(IF(F1172&lt;F1171,"NEGATIVE",ROUND(F1172-F1171,2)),"")</f>
        <v/>
      </c>
    </row>
    <row r="1173" ht="22" customHeight="1">
      <c r="B1173" s="5" t="inlineStr">
        <is>
          <t>R01169</t>
        </is>
      </c>
      <c r="C1173" s="5" t="inlineStr">
        <is>
          <t>MTR-DYE-001</t>
        </is>
      </c>
      <c r="D1173" s="5" t="inlineStr">
        <is>
          <t>Dyeing Hall</t>
        </is>
      </c>
      <c r="E1173" s="5" t="inlineStr">
        <is>
          <t>Dyeing Line A</t>
        </is>
      </c>
      <c r="F1173" s="5" t="inlineStr">
        <is>
          <t>2024-03-12 08:00</t>
        </is>
      </c>
      <c r="G1173" s="11" t="n">
        <v>127509.98</v>
      </c>
      <c r="H1173" s="5" t="inlineStr">
        <is>
          <t>m3</t>
        </is>
      </c>
      <c r="I1173" s="5" t="inlineStr">
        <is>
          <t>cumulative</t>
        </is>
      </c>
      <c r="J1173" s="5" t="inlineStr">
        <is>
          <t>AB</t>
        </is>
      </c>
      <c r="K1173" s="5" t="inlineStr"/>
      <c r="L1173" s="7">
        <f>IFERROR(IF(F1173&lt;F1172,"NEGATIVE",ROUND(F1173-F1172,2)),"")</f>
        <v/>
      </c>
    </row>
    <row r="1174" ht="22" customHeight="1">
      <c r="B1174" s="8" t="inlineStr">
        <is>
          <t>R01170</t>
        </is>
      </c>
      <c r="C1174" s="8" t="inlineStr">
        <is>
          <t>MTR-DYE-001</t>
        </is>
      </c>
      <c r="D1174" s="8" t="inlineStr">
        <is>
          <t>Dyeing Hall</t>
        </is>
      </c>
      <c r="E1174" s="8" t="inlineStr">
        <is>
          <t>Dyeing Line A</t>
        </is>
      </c>
      <c r="F1174" s="8" t="inlineStr">
        <is>
          <t>2024-03-13 08:00</t>
        </is>
      </c>
      <c r="G1174" s="12" t="n">
        <v>127567.57</v>
      </c>
      <c r="H1174" s="8" t="inlineStr">
        <is>
          <t>m3</t>
        </is>
      </c>
      <c r="I1174" s="8" t="inlineStr">
        <is>
          <t>cumulative</t>
        </is>
      </c>
      <c r="J1174" s="8" t="inlineStr">
        <is>
          <t>KL</t>
        </is>
      </c>
      <c r="K1174" s="8" t="inlineStr"/>
      <c r="L1174" s="10">
        <f>IFERROR(IF(F1174&lt;F1173,"NEGATIVE",ROUND(F1174-F1173,2)),"")</f>
        <v/>
      </c>
    </row>
    <row r="1175" ht="22" customHeight="1">
      <c r="B1175" s="5" t="inlineStr">
        <is>
          <t>R01171</t>
        </is>
      </c>
      <c r="C1175" s="5" t="inlineStr">
        <is>
          <t>MTR-DYE-001</t>
        </is>
      </c>
      <c r="D1175" s="5" t="inlineStr">
        <is>
          <t>Dyeing Hall</t>
        </is>
      </c>
      <c r="E1175" s="5" t="inlineStr">
        <is>
          <t>Dyeing Line A</t>
        </is>
      </c>
      <c r="F1175" s="5" t="inlineStr">
        <is>
          <t>2024-03-14 08:00</t>
        </is>
      </c>
      <c r="G1175" s="11" t="n">
        <v>127616.69</v>
      </c>
      <c r="H1175" s="5" t="inlineStr">
        <is>
          <t>m3</t>
        </is>
      </c>
      <c r="I1175" s="5" t="inlineStr">
        <is>
          <t>cumulative</t>
        </is>
      </c>
      <c r="J1175" s="5" t="inlineStr">
        <is>
          <t>GH</t>
        </is>
      </c>
      <c r="K1175" s="5" t="inlineStr"/>
      <c r="L1175" s="7">
        <f>IFERROR(IF(F1175&lt;F1174,"NEGATIVE",ROUND(F1175-F1174,2)),"")</f>
        <v/>
      </c>
    </row>
    <row r="1176" ht="22" customHeight="1">
      <c r="B1176" s="8" t="inlineStr">
        <is>
          <t>R01172</t>
        </is>
      </c>
      <c r="C1176" s="8" t="inlineStr">
        <is>
          <t>MTR-DYE-001</t>
        </is>
      </c>
      <c r="D1176" s="8" t="inlineStr">
        <is>
          <t>Dyeing Hall</t>
        </is>
      </c>
      <c r="E1176" s="8" t="inlineStr">
        <is>
          <t>Dyeing Line A</t>
        </is>
      </c>
      <c r="F1176" s="8" t="inlineStr">
        <is>
          <t>2024-03-15 08:00</t>
        </is>
      </c>
      <c r="G1176" s="12" t="n">
        <v>127663.59</v>
      </c>
      <c r="H1176" s="8" t="inlineStr">
        <is>
          <t>m3</t>
        </is>
      </c>
      <c r="I1176" s="8" t="inlineStr">
        <is>
          <t>cumulative</t>
        </is>
      </c>
      <c r="J1176" s="8" t="inlineStr">
        <is>
          <t>GH</t>
        </is>
      </c>
      <c r="K1176" s="8" t="inlineStr"/>
      <c r="L1176" s="10">
        <f>IFERROR(IF(F1176&lt;F1175,"NEGATIVE",ROUND(F1176-F1175,2)),"")</f>
        <v/>
      </c>
    </row>
    <row r="1177" ht="22" customHeight="1">
      <c r="B1177" s="5" t="inlineStr">
        <is>
          <t>R01173</t>
        </is>
      </c>
      <c r="C1177" s="5" t="inlineStr">
        <is>
          <t>MTR-DYE-001</t>
        </is>
      </c>
      <c r="D1177" s="5" t="inlineStr">
        <is>
          <t>Dyeing Hall</t>
        </is>
      </c>
      <c r="E1177" s="5" t="inlineStr">
        <is>
          <t>Dyeing Line A</t>
        </is>
      </c>
      <c r="F1177" s="5" t="inlineStr">
        <is>
          <t>2024-03-16 08:00</t>
        </is>
      </c>
      <c r="G1177" s="11" t="n">
        <v>127708.57</v>
      </c>
      <c r="H1177" s="5" t="inlineStr">
        <is>
          <t>m3</t>
        </is>
      </c>
      <c r="I1177" s="5" t="inlineStr">
        <is>
          <t>cumulative</t>
        </is>
      </c>
      <c r="J1177" s="5" t="inlineStr">
        <is>
          <t>AB</t>
        </is>
      </c>
      <c r="K1177" s="5" t="inlineStr"/>
      <c r="L1177" s="7">
        <f>IFERROR(IF(F1177&lt;F1176,"NEGATIVE",ROUND(F1177-F1176,2)),"")</f>
        <v/>
      </c>
    </row>
    <row r="1178" ht="22" customHeight="1">
      <c r="B1178" s="8" t="inlineStr">
        <is>
          <t>R01174</t>
        </is>
      </c>
      <c r="C1178" s="8" t="inlineStr">
        <is>
          <t>MTR-DYE-001</t>
        </is>
      </c>
      <c r="D1178" s="8" t="inlineStr">
        <is>
          <t>Dyeing Hall</t>
        </is>
      </c>
      <c r="E1178" s="8" t="inlineStr">
        <is>
          <t>Dyeing Line A</t>
        </is>
      </c>
      <c r="F1178" s="8" t="inlineStr">
        <is>
          <t>2024-03-17 08:00</t>
        </is>
      </c>
      <c r="G1178" s="12" t="n">
        <v>127732.47</v>
      </c>
      <c r="H1178" s="8" t="inlineStr">
        <is>
          <t>m3</t>
        </is>
      </c>
      <c r="I1178" s="8" t="inlineStr">
        <is>
          <t>cumulative</t>
        </is>
      </c>
      <c r="J1178" s="8" t="inlineStr">
        <is>
          <t>IJ</t>
        </is>
      </c>
      <c r="K1178" s="8" t="inlineStr"/>
      <c r="L1178" s="10">
        <f>IFERROR(IF(F1178&lt;F1177,"NEGATIVE",ROUND(F1178-F1177,2)),"")</f>
        <v/>
      </c>
    </row>
    <row r="1179" ht="22" customHeight="1">
      <c r="B1179" s="5" t="inlineStr">
        <is>
          <t>R01175</t>
        </is>
      </c>
      <c r="C1179" s="5" t="inlineStr">
        <is>
          <t>MTR-DYE-001</t>
        </is>
      </c>
      <c r="D1179" s="5" t="inlineStr">
        <is>
          <t>Dyeing Hall</t>
        </is>
      </c>
      <c r="E1179" s="5" t="inlineStr">
        <is>
          <t>Dyeing Line A</t>
        </is>
      </c>
      <c r="F1179" s="5" t="inlineStr">
        <is>
          <t>2024-03-18 08:00</t>
        </is>
      </c>
      <c r="G1179" s="11" t="n">
        <v>127777.42</v>
      </c>
      <c r="H1179" s="5" t="inlineStr">
        <is>
          <t>m3</t>
        </is>
      </c>
      <c r="I1179" s="5" t="inlineStr">
        <is>
          <t>cumulative</t>
        </is>
      </c>
      <c r="J1179" s="5" t="inlineStr">
        <is>
          <t>IJ</t>
        </is>
      </c>
      <c r="K1179" s="5" t="inlineStr"/>
      <c r="L1179" s="7">
        <f>IFERROR(IF(F1179&lt;F1178,"NEGATIVE",ROUND(F1179-F1178,2)),"")</f>
        <v/>
      </c>
    </row>
    <row r="1180" ht="22" customHeight="1">
      <c r="B1180" s="8" t="inlineStr">
        <is>
          <t>R01176</t>
        </is>
      </c>
      <c r="C1180" s="8" t="inlineStr">
        <is>
          <t>MTR-DYE-001</t>
        </is>
      </c>
      <c r="D1180" s="8" t="inlineStr">
        <is>
          <t>Dyeing Hall</t>
        </is>
      </c>
      <c r="E1180" s="8" t="inlineStr">
        <is>
          <t>Dyeing Line A</t>
        </is>
      </c>
      <c r="F1180" s="8" t="inlineStr">
        <is>
          <t>2024-03-19 08:00</t>
        </is>
      </c>
      <c r="G1180" s="12" t="n">
        <v>127824.38</v>
      </c>
      <c r="H1180" s="8" t="inlineStr">
        <is>
          <t>m3</t>
        </is>
      </c>
      <c r="I1180" s="8" t="inlineStr">
        <is>
          <t>cumulative</t>
        </is>
      </c>
      <c r="J1180" s="8" t="inlineStr">
        <is>
          <t>KL</t>
        </is>
      </c>
      <c r="K1180" s="8" t="inlineStr"/>
      <c r="L1180" s="10">
        <f>IFERROR(IF(F1180&lt;F1179,"NEGATIVE",ROUND(F1180-F1179,2)),"")</f>
        <v/>
      </c>
    </row>
    <row r="1181" ht="22" customHeight="1">
      <c r="B1181" s="5" t="inlineStr">
        <is>
          <t>R01177</t>
        </is>
      </c>
      <c r="C1181" s="5" t="inlineStr">
        <is>
          <t>MTR-DYE-001</t>
        </is>
      </c>
      <c r="D1181" s="5" t="inlineStr">
        <is>
          <t>Dyeing Hall</t>
        </is>
      </c>
      <c r="E1181" s="5" t="inlineStr">
        <is>
          <t>Dyeing Line A</t>
        </is>
      </c>
      <c r="F1181" s="5" t="inlineStr">
        <is>
          <t>2024-03-20 08:00</t>
        </is>
      </c>
      <c r="G1181" s="11" t="n">
        <v>127879.93</v>
      </c>
      <c r="H1181" s="5" t="inlineStr">
        <is>
          <t>m3</t>
        </is>
      </c>
      <c r="I1181" s="5" t="inlineStr">
        <is>
          <t>cumulative</t>
        </is>
      </c>
      <c r="J1181" s="5" t="inlineStr">
        <is>
          <t>EF</t>
        </is>
      </c>
      <c r="K1181" s="5" t="inlineStr"/>
      <c r="L1181" s="7">
        <f>IFERROR(IF(F1181&lt;F1180,"NEGATIVE",ROUND(F1181-F1180,2)),"")</f>
        <v/>
      </c>
    </row>
    <row r="1182" ht="22" customHeight="1">
      <c r="B1182" s="8" t="inlineStr">
        <is>
          <t>R01178</t>
        </is>
      </c>
      <c r="C1182" s="8" t="inlineStr">
        <is>
          <t>MTR-DYE-001</t>
        </is>
      </c>
      <c r="D1182" s="8" t="inlineStr">
        <is>
          <t>Dyeing Hall</t>
        </is>
      </c>
      <c r="E1182" s="8" t="inlineStr">
        <is>
          <t>Dyeing Line A</t>
        </is>
      </c>
      <c r="F1182" s="8" t="inlineStr">
        <is>
          <t>2024-03-21 08:00</t>
        </is>
      </c>
      <c r="G1182" s="12" t="n">
        <v>127937.51</v>
      </c>
      <c r="H1182" s="8" t="inlineStr">
        <is>
          <t>m3</t>
        </is>
      </c>
      <c r="I1182" s="8" t="inlineStr">
        <is>
          <t>cumulative</t>
        </is>
      </c>
      <c r="J1182" s="8" t="inlineStr">
        <is>
          <t>GH</t>
        </is>
      </c>
      <c r="K1182" s="8" t="inlineStr"/>
      <c r="L1182" s="10">
        <f>IFERROR(IF(F1182&lt;F1181,"NEGATIVE",ROUND(F1182-F1181,2)),"")</f>
        <v/>
      </c>
    </row>
    <row r="1183" ht="22" customHeight="1">
      <c r="B1183" s="5" t="inlineStr">
        <is>
          <t>R01179</t>
        </is>
      </c>
      <c r="C1183" s="5" t="inlineStr">
        <is>
          <t>MTR-DYE-001</t>
        </is>
      </c>
      <c r="D1183" s="5" t="inlineStr">
        <is>
          <t>Dyeing Hall</t>
        </is>
      </c>
      <c r="E1183" s="5" t="inlineStr">
        <is>
          <t>Dyeing Line A</t>
        </is>
      </c>
      <c r="F1183" s="5" t="inlineStr">
        <is>
          <t>2024-03-22 08:00</t>
        </is>
      </c>
      <c r="G1183" s="11" t="n">
        <v>127983.67</v>
      </c>
      <c r="H1183" s="5" t="inlineStr">
        <is>
          <t>m3</t>
        </is>
      </c>
      <c r="I1183" s="5" t="inlineStr">
        <is>
          <t>cumulative</t>
        </is>
      </c>
      <c r="J1183" s="5" t="inlineStr">
        <is>
          <t>GH</t>
        </is>
      </c>
      <c r="K1183" s="5" t="inlineStr"/>
      <c r="L1183" s="7">
        <f>IFERROR(IF(F1183&lt;F1182,"NEGATIVE",ROUND(F1183-F1182,2)),"")</f>
        <v/>
      </c>
    </row>
    <row r="1184" ht="22" customHeight="1">
      <c r="B1184" s="8" t="inlineStr">
        <is>
          <t>R01180</t>
        </is>
      </c>
      <c r="C1184" s="8" t="inlineStr">
        <is>
          <t>MTR-DYE-001</t>
        </is>
      </c>
      <c r="D1184" s="8" t="inlineStr">
        <is>
          <t>Dyeing Hall</t>
        </is>
      </c>
      <c r="E1184" s="8" t="inlineStr">
        <is>
          <t>Dyeing Line A</t>
        </is>
      </c>
      <c r="F1184" s="8" t="inlineStr">
        <is>
          <t>2024-03-23 08:00</t>
        </is>
      </c>
      <c r="G1184" s="12" t="n">
        <v>128030.06</v>
      </c>
      <c r="H1184" s="8" t="inlineStr">
        <is>
          <t>m3</t>
        </is>
      </c>
      <c r="I1184" s="8" t="inlineStr">
        <is>
          <t>cumulative</t>
        </is>
      </c>
      <c r="J1184" s="8" t="inlineStr">
        <is>
          <t>GH</t>
        </is>
      </c>
      <c r="K1184" s="8" t="inlineStr"/>
      <c r="L1184" s="10">
        <f>IFERROR(IF(F1184&lt;F1183,"NEGATIVE",ROUND(F1184-F1183,2)),"")</f>
        <v/>
      </c>
    </row>
    <row r="1185" ht="22" customHeight="1">
      <c r="B1185" s="5" t="inlineStr">
        <is>
          <t>R01181</t>
        </is>
      </c>
      <c r="C1185" s="5" t="inlineStr">
        <is>
          <t>MTR-DYE-001</t>
        </is>
      </c>
      <c r="D1185" s="5" t="inlineStr">
        <is>
          <t>Dyeing Hall</t>
        </is>
      </c>
      <c r="E1185" s="5" t="inlineStr">
        <is>
          <t>Dyeing Line A</t>
        </is>
      </c>
      <c r="F1185" s="5" t="inlineStr">
        <is>
          <t>2024-03-24 08:00</t>
        </is>
      </c>
      <c r="G1185" s="11" t="n">
        <v>128052.48</v>
      </c>
      <c r="H1185" s="5" t="inlineStr">
        <is>
          <t>m3</t>
        </is>
      </c>
      <c r="I1185" s="5" t="inlineStr">
        <is>
          <t>cumulative</t>
        </is>
      </c>
      <c r="J1185" s="5" t="inlineStr">
        <is>
          <t>CD</t>
        </is>
      </c>
      <c r="K1185" s="5" t="inlineStr"/>
      <c r="L1185" s="7">
        <f>IFERROR(IF(F1185&lt;F1184,"NEGATIVE",ROUND(F1185-F1184,2)),"")</f>
        <v/>
      </c>
    </row>
    <row r="1186" ht="22" customHeight="1">
      <c r="B1186" s="8" t="inlineStr">
        <is>
          <t>R01182</t>
        </is>
      </c>
      <c r="C1186" s="8" t="inlineStr">
        <is>
          <t>MTR-DYE-001</t>
        </is>
      </c>
      <c r="D1186" s="8" t="inlineStr">
        <is>
          <t>Dyeing Hall</t>
        </is>
      </c>
      <c r="E1186" s="8" t="inlineStr">
        <is>
          <t>Dyeing Line A</t>
        </is>
      </c>
      <c r="F1186" s="8" t="inlineStr">
        <is>
          <t>2024-03-25 08:00</t>
        </is>
      </c>
      <c r="G1186" s="12" t="n">
        <v>128107.85</v>
      </c>
      <c r="H1186" s="8" t="inlineStr">
        <is>
          <t>m3</t>
        </is>
      </c>
      <c r="I1186" s="8" t="inlineStr">
        <is>
          <t>cumulative</t>
        </is>
      </c>
      <c r="J1186" s="8" t="inlineStr">
        <is>
          <t>KL</t>
        </is>
      </c>
      <c r="K1186" s="8" t="inlineStr"/>
      <c r="L1186" s="10">
        <f>IFERROR(IF(F1186&lt;F1185,"NEGATIVE",ROUND(F1186-F1185,2)),"")</f>
        <v/>
      </c>
    </row>
    <row r="1187" ht="22" customHeight="1">
      <c r="B1187" s="5" t="inlineStr">
        <is>
          <t>R01183</t>
        </is>
      </c>
      <c r="C1187" s="5" t="inlineStr">
        <is>
          <t>MTR-DYE-001</t>
        </is>
      </c>
      <c r="D1187" s="5" t="inlineStr">
        <is>
          <t>Dyeing Hall</t>
        </is>
      </c>
      <c r="E1187" s="5" t="inlineStr">
        <is>
          <t>Dyeing Line A</t>
        </is>
      </c>
      <c r="F1187" s="5" t="inlineStr">
        <is>
          <t>2024-03-26 08:00</t>
        </is>
      </c>
      <c r="G1187" s="11" t="n">
        <v>128159.91</v>
      </c>
      <c r="H1187" s="5" t="inlineStr">
        <is>
          <t>m3</t>
        </is>
      </c>
      <c r="I1187" s="5" t="inlineStr">
        <is>
          <t>cumulative</t>
        </is>
      </c>
      <c r="J1187" s="5" t="inlineStr">
        <is>
          <t>EF</t>
        </is>
      </c>
      <c r="K1187" s="5" t="inlineStr"/>
      <c r="L1187" s="7">
        <f>IFERROR(IF(F1187&lt;F1186,"NEGATIVE",ROUND(F1187-F1186,2)),"")</f>
        <v/>
      </c>
    </row>
    <row r="1188" ht="22" customHeight="1">
      <c r="B1188" s="8" t="inlineStr">
        <is>
          <t>R01184</t>
        </is>
      </c>
      <c r="C1188" s="8" t="inlineStr">
        <is>
          <t>MTR-DYE-001</t>
        </is>
      </c>
      <c r="D1188" s="8" t="inlineStr">
        <is>
          <t>Dyeing Hall</t>
        </is>
      </c>
      <c r="E1188" s="8" t="inlineStr">
        <is>
          <t>Dyeing Line A</t>
        </is>
      </c>
      <c r="F1188" s="8" t="inlineStr">
        <is>
          <t>2024-03-27 08:00</t>
        </is>
      </c>
      <c r="G1188" s="12" t="n">
        <v>128216.06</v>
      </c>
      <c r="H1188" s="8" t="inlineStr">
        <is>
          <t>m3</t>
        </is>
      </c>
      <c r="I1188" s="8" t="inlineStr">
        <is>
          <t>cumulative</t>
        </is>
      </c>
      <c r="J1188" s="8" t="inlineStr">
        <is>
          <t>AB</t>
        </is>
      </c>
      <c r="K1188" s="8" t="inlineStr"/>
      <c r="L1188" s="10">
        <f>IFERROR(IF(F1188&lt;F1187,"NEGATIVE",ROUND(F1188-F1187,2)),"")</f>
        <v/>
      </c>
    </row>
    <row r="1189" ht="22" customHeight="1">
      <c r="B1189" s="5" t="inlineStr">
        <is>
          <t>R01185</t>
        </is>
      </c>
      <c r="C1189" s="5" t="inlineStr">
        <is>
          <t>MTR-DYE-001</t>
        </is>
      </c>
      <c r="D1189" s="5" t="inlineStr">
        <is>
          <t>Dyeing Hall</t>
        </is>
      </c>
      <c r="E1189" s="5" t="inlineStr">
        <is>
          <t>Dyeing Line A</t>
        </is>
      </c>
      <c r="F1189" s="5" t="inlineStr">
        <is>
          <t>2024-03-28 08:00</t>
        </is>
      </c>
      <c r="G1189" s="11" t="n">
        <v>128261.19</v>
      </c>
      <c r="H1189" s="5" t="inlineStr">
        <is>
          <t>m3</t>
        </is>
      </c>
      <c r="I1189" s="5" t="inlineStr">
        <is>
          <t>cumulative</t>
        </is>
      </c>
      <c r="J1189" s="5" t="inlineStr">
        <is>
          <t>AB</t>
        </is>
      </c>
      <c r="K1189" s="5" t="inlineStr"/>
      <c r="L1189" s="7">
        <f>IFERROR(IF(F1189&lt;F1188,"NEGATIVE",ROUND(F1189-F1188,2)),"")</f>
        <v/>
      </c>
    </row>
    <row r="1190" ht="22" customHeight="1">
      <c r="B1190" s="8" t="inlineStr">
        <is>
          <t>R01186</t>
        </is>
      </c>
      <c r="C1190" s="8" t="inlineStr">
        <is>
          <t>MTR-DYE-001</t>
        </is>
      </c>
      <c r="D1190" s="8" t="inlineStr">
        <is>
          <t>Dyeing Hall</t>
        </is>
      </c>
      <c r="E1190" s="8" t="inlineStr">
        <is>
          <t>Dyeing Line A</t>
        </is>
      </c>
      <c r="F1190" s="8" t="inlineStr">
        <is>
          <t>2024-03-29 08:00</t>
        </is>
      </c>
      <c r="G1190" s="12" t="n">
        <v>128307.6</v>
      </c>
      <c r="H1190" s="8" t="inlineStr">
        <is>
          <t>m3</t>
        </is>
      </c>
      <c r="I1190" s="8" t="inlineStr">
        <is>
          <t>cumulative</t>
        </is>
      </c>
      <c r="J1190" s="8" t="inlineStr">
        <is>
          <t>AB</t>
        </is>
      </c>
      <c r="K1190" s="8" t="inlineStr"/>
      <c r="L1190" s="10">
        <f>IFERROR(IF(F1190&lt;F1189,"NEGATIVE",ROUND(F1190-F1189,2)),"")</f>
        <v/>
      </c>
    </row>
    <row r="1191" ht="22" customHeight="1">
      <c r="B1191" s="5" t="inlineStr">
        <is>
          <t>R01187</t>
        </is>
      </c>
      <c r="C1191" s="5" t="inlineStr">
        <is>
          <t>MTR-DYE-001</t>
        </is>
      </c>
      <c r="D1191" s="5" t="inlineStr">
        <is>
          <t>Dyeing Hall</t>
        </is>
      </c>
      <c r="E1191" s="5" t="inlineStr">
        <is>
          <t>Dyeing Line A</t>
        </is>
      </c>
      <c r="F1191" s="5" t="inlineStr">
        <is>
          <t>2024-03-30 08:00</t>
        </is>
      </c>
      <c r="G1191" s="11" t="n">
        <v>128349.83</v>
      </c>
      <c r="H1191" s="5" t="inlineStr">
        <is>
          <t>m3</t>
        </is>
      </c>
      <c r="I1191" s="5" t="inlineStr">
        <is>
          <t>cumulative</t>
        </is>
      </c>
      <c r="J1191" s="5" t="inlineStr">
        <is>
          <t>GH</t>
        </is>
      </c>
      <c r="K1191" s="5" t="inlineStr"/>
      <c r="L1191" s="7">
        <f>IFERROR(IF(F1191&lt;F1190,"NEGATIVE",ROUND(F1191-F1190,2)),"")</f>
        <v/>
      </c>
    </row>
    <row r="1192" ht="22" customHeight="1">
      <c r="B1192" s="8" t="inlineStr">
        <is>
          <t>R01188</t>
        </is>
      </c>
      <c r="C1192" s="8" t="inlineStr">
        <is>
          <t>MTR-DYE-001</t>
        </is>
      </c>
      <c r="D1192" s="8" t="inlineStr">
        <is>
          <t>Dyeing Hall</t>
        </is>
      </c>
      <c r="E1192" s="8" t="inlineStr">
        <is>
          <t>Dyeing Line A</t>
        </is>
      </c>
      <c r="F1192" s="8" t="inlineStr">
        <is>
          <t>2024-03-31 08:00</t>
        </is>
      </c>
      <c r="G1192" s="12" t="n">
        <v>128374.46</v>
      </c>
      <c r="H1192" s="8" t="inlineStr">
        <is>
          <t>m3</t>
        </is>
      </c>
      <c r="I1192" s="8" t="inlineStr">
        <is>
          <t>cumulative</t>
        </is>
      </c>
      <c r="J1192" s="8" t="inlineStr">
        <is>
          <t>KL</t>
        </is>
      </c>
      <c r="K1192" s="8" t="inlineStr"/>
      <c r="L1192" s="10">
        <f>IFERROR(IF(F1192&lt;F1191,"NEGATIVE",ROUND(F1192-F1191,2)),"")</f>
        <v/>
      </c>
    </row>
    <row r="1193" ht="22" customHeight="1">
      <c r="B1193" s="5" t="inlineStr">
        <is>
          <t>R01189</t>
        </is>
      </c>
      <c r="C1193" s="5" t="inlineStr">
        <is>
          <t>MTR-DYE-001</t>
        </is>
      </c>
      <c r="D1193" s="5" t="inlineStr">
        <is>
          <t>Dyeing Hall</t>
        </is>
      </c>
      <c r="E1193" s="5" t="inlineStr">
        <is>
          <t>Dyeing Line A</t>
        </is>
      </c>
      <c r="F1193" s="5" t="inlineStr">
        <is>
          <t>2024-04-01 08:00</t>
        </is>
      </c>
      <c r="G1193" s="11" t="n">
        <v>128425.91</v>
      </c>
      <c r="H1193" s="5" t="inlineStr">
        <is>
          <t>m3</t>
        </is>
      </c>
      <c r="I1193" s="5" t="inlineStr">
        <is>
          <t>cumulative</t>
        </is>
      </c>
      <c r="J1193" s="5" t="inlineStr">
        <is>
          <t>EF</t>
        </is>
      </c>
      <c r="K1193" s="5" t="inlineStr"/>
      <c r="L1193" s="7">
        <f>IFERROR(IF(F1193&lt;F1192,"NEGATIVE",ROUND(F1193-F1192,2)),"")</f>
        <v/>
      </c>
    </row>
    <row r="1194" ht="22" customHeight="1">
      <c r="B1194" s="8" t="inlineStr">
        <is>
          <t>R01190</t>
        </is>
      </c>
      <c r="C1194" s="8" t="inlineStr">
        <is>
          <t>MTR-DYE-001</t>
        </is>
      </c>
      <c r="D1194" s="8" t="inlineStr">
        <is>
          <t>Dyeing Hall</t>
        </is>
      </c>
      <c r="E1194" s="8" t="inlineStr">
        <is>
          <t>Dyeing Line A</t>
        </is>
      </c>
      <c r="F1194" s="8" t="inlineStr">
        <is>
          <t>2024-04-02 08:00</t>
        </is>
      </c>
      <c r="G1194" s="12" t="n">
        <v>128480.21</v>
      </c>
      <c r="H1194" s="8" t="inlineStr">
        <is>
          <t>m3</t>
        </is>
      </c>
      <c r="I1194" s="8" t="inlineStr">
        <is>
          <t>cumulative</t>
        </is>
      </c>
      <c r="J1194" s="8" t="inlineStr">
        <is>
          <t>CD</t>
        </is>
      </c>
      <c r="K1194" s="8" t="inlineStr"/>
      <c r="L1194" s="10">
        <f>IFERROR(IF(F1194&lt;F1193,"NEGATIVE",ROUND(F1194-F1193,2)),"")</f>
        <v/>
      </c>
    </row>
    <row r="1195" ht="22" customHeight="1">
      <c r="B1195" s="5" t="inlineStr">
        <is>
          <t>R01191</t>
        </is>
      </c>
      <c r="C1195" s="5" t="inlineStr">
        <is>
          <t>MTR-DYE-001</t>
        </is>
      </c>
      <c r="D1195" s="5" t="inlineStr">
        <is>
          <t>Dyeing Hall</t>
        </is>
      </c>
      <c r="E1195" s="5" t="inlineStr">
        <is>
          <t>Dyeing Line A</t>
        </is>
      </c>
      <c r="F1195" s="5" t="inlineStr">
        <is>
          <t>2024-04-03 08:00</t>
        </is>
      </c>
      <c r="G1195" s="11" t="n">
        <v>128529.04</v>
      </c>
      <c r="H1195" s="5" t="inlineStr">
        <is>
          <t>m3</t>
        </is>
      </c>
      <c r="I1195" s="5" t="inlineStr">
        <is>
          <t>cumulative</t>
        </is>
      </c>
      <c r="J1195" s="5" t="inlineStr">
        <is>
          <t>GH</t>
        </is>
      </c>
      <c r="K1195" s="5" t="inlineStr"/>
      <c r="L1195" s="7">
        <f>IFERROR(IF(F1195&lt;F1194,"NEGATIVE",ROUND(F1195-F1194,2)),"")</f>
        <v/>
      </c>
    </row>
    <row r="1196" ht="22" customHeight="1">
      <c r="B1196" s="8" t="inlineStr">
        <is>
          <t>R01192</t>
        </is>
      </c>
      <c r="C1196" s="8" t="inlineStr">
        <is>
          <t>MTR-DYE-001</t>
        </is>
      </c>
      <c r="D1196" s="8" t="inlineStr">
        <is>
          <t>Dyeing Hall</t>
        </is>
      </c>
      <c r="E1196" s="8" t="inlineStr">
        <is>
          <t>Dyeing Line A</t>
        </is>
      </c>
      <c r="F1196" s="8" t="inlineStr">
        <is>
          <t>2024-04-04 08:00</t>
        </is>
      </c>
      <c r="G1196" s="12" t="n">
        <v>128587.76</v>
      </c>
      <c r="H1196" s="8" t="inlineStr">
        <is>
          <t>m3</t>
        </is>
      </c>
      <c r="I1196" s="8" t="inlineStr">
        <is>
          <t>cumulative</t>
        </is>
      </c>
      <c r="J1196" s="8" t="inlineStr">
        <is>
          <t>EF</t>
        </is>
      </c>
      <c r="K1196" s="8" t="inlineStr"/>
      <c r="L1196" s="10">
        <f>IFERROR(IF(F1196&lt;F1195,"NEGATIVE",ROUND(F1196-F1195,2)),"")</f>
        <v/>
      </c>
    </row>
    <row r="1197" ht="22" customHeight="1">
      <c r="B1197" s="5" t="inlineStr">
        <is>
          <t>R01193</t>
        </is>
      </c>
      <c r="C1197" s="5" t="inlineStr">
        <is>
          <t>MTR-DYE-001</t>
        </is>
      </c>
      <c r="D1197" s="5" t="inlineStr">
        <is>
          <t>Dyeing Hall</t>
        </is>
      </c>
      <c r="E1197" s="5" t="inlineStr">
        <is>
          <t>Dyeing Line A</t>
        </is>
      </c>
      <c r="F1197" s="5" t="inlineStr">
        <is>
          <t>2024-04-05 08:00</t>
        </is>
      </c>
      <c r="G1197" s="11" t="n">
        <v>128641.96</v>
      </c>
      <c r="H1197" s="5" t="inlineStr">
        <is>
          <t>m3</t>
        </is>
      </c>
      <c r="I1197" s="5" t="inlineStr">
        <is>
          <t>cumulative</t>
        </is>
      </c>
      <c r="J1197" s="5" t="inlineStr">
        <is>
          <t>GH</t>
        </is>
      </c>
      <c r="K1197" s="5" t="inlineStr"/>
      <c r="L1197" s="7">
        <f>IFERROR(IF(F1197&lt;F1196,"NEGATIVE",ROUND(F1197-F1196,2)),"")</f>
        <v/>
      </c>
    </row>
    <row r="1198" ht="22" customHeight="1">
      <c r="B1198" s="8" t="inlineStr">
        <is>
          <t>R01194</t>
        </is>
      </c>
      <c r="C1198" s="8" t="inlineStr">
        <is>
          <t>MTR-DYE-001</t>
        </is>
      </c>
      <c r="D1198" s="8" t="inlineStr">
        <is>
          <t>Dyeing Hall</t>
        </is>
      </c>
      <c r="E1198" s="8" t="inlineStr">
        <is>
          <t>Dyeing Line A</t>
        </is>
      </c>
      <c r="F1198" s="8" t="inlineStr">
        <is>
          <t>2024-04-06 08:00</t>
        </is>
      </c>
      <c r="G1198" s="12" t="n">
        <v>128680.68</v>
      </c>
      <c r="H1198" s="8" t="inlineStr">
        <is>
          <t>m3</t>
        </is>
      </c>
      <c r="I1198" s="8" t="inlineStr">
        <is>
          <t>cumulative</t>
        </is>
      </c>
      <c r="J1198" s="8" t="inlineStr">
        <is>
          <t>GH</t>
        </is>
      </c>
      <c r="K1198" s="8" t="inlineStr"/>
      <c r="L1198" s="10">
        <f>IFERROR(IF(F1198&lt;F1197,"NEGATIVE",ROUND(F1198-F1197,2)),"")</f>
        <v/>
      </c>
    </row>
    <row r="1199" ht="22" customHeight="1">
      <c r="B1199" s="5" t="inlineStr">
        <is>
          <t>R01195</t>
        </is>
      </c>
      <c r="C1199" s="5" t="inlineStr">
        <is>
          <t>MTR-DYE-001</t>
        </is>
      </c>
      <c r="D1199" s="5" t="inlineStr">
        <is>
          <t>Dyeing Hall</t>
        </is>
      </c>
      <c r="E1199" s="5" t="inlineStr">
        <is>
          <t>Dyeing Line A</t>
        </is>
      </c>
      <c r="F1199" s="5" t="inlineStr">
        <is>
          <t>2024-04-07 08:00</t>
        </is>
      </c>
      <c r="G1199" s="11" t="n">
        <v>128705.4</v>
      </c>
      <c r="H1199" s="5" t="inlineStr">
        <is>
          <t>m3</t>
        </is>
      </c>
      <c r="I1199" s="5" t="inlineStr">
        <is>
          <t>cumulative</t>
        </is>
      </c>
      <c r="J1199" s="5" t="inlineStr">
        <is>
          <t>AB</t>
        </is>
      </c>
      <c r="K1199" s="5" t="inlineStr"/>
      <c r="L1199" s="7">
        <f>IFERROR(IF(F1199&lt;F1198,"NEGATIVE",ROUND(F1199-F1198,2)),"")</f>
        <v/>
      </c>
    </row>
    <row r="1200" ht="22" customHeight="1">
      <c r="B1200" s="8" t="inlineStr">
        <is>
          <t>R01196</t>
        </is>
      </c>
      <c r="C1200" s="8" t="inlineStr">
        <is>
          <t>MTR-DYE-001</t>
        </is>
      </c>
      <c r="D1200" s="8" t="inlineStr">
        <is>
          <t>Dyeing Hall</t>
        </is>
      </c>
      <c r="E1200" s="8" t="inlineStr">
        <is>
          <t>Dyeing Line A</t>
        </is>
      </c>
      <c r="F1200" s="8" t="inlineStr">
        <is>
          <t>2024-04-08 08:00</t>
        </is>
      </c>
      <c r="G1200" s="12" t="n">
        <v>128750.97</v>
      </c>
      <c r="H1200" s="8" t="inlineStr">
        <is>
          <t>m3</t>
        </is>
      </c>
      <c r="I1200" s="8" t="inlineStr">
        <is>
          <t>cumulative</t>
        </is>
      </c>
      <c r="J1200" s="8" t="inlineStr">
        <is>
          <t>CD</t>
        </is>
      </c>
      <c r="K1200" s="8" t="inlineStr"/>
      <c r="L1200" s="10">
        <f>IFERROR(IF(F1200&lt;F1199,"NEGATIVE",ROUND(F1200-F1199,2)),"")</f>
        <v/>
      </c>
    </row>
    <row r="1201" ht="22" customHeight="1">
      <c r="B1201" s="5" t="inlineStr">
        <is>
          <t>R01197</t>
        </is>
      </c>
      <c r="C1201" s="5" t="inlineStr">
        <is>
          <t>MTR-DYE-001</t>
        </is>
      </c>
      <c r="D1201" s="5" t="inlineStr">
        <is>
          <t>Dyeing Hall</t>
        </is>
      </c>
      <c r="E1201" s="5" t="inlineStr">
        <is>
          <t>Dyeing Line A</t>
        </is>
      </c>
      <c r="F1201" s="5" t="inlineStr">
        <is>
          <t>2024-04-09 08:00</t>
        </is>
      </c>
      <c r="G1201" s="11" t="n">
        <v>128805.97</v>
      </c>
      <c r="H1201" s="5" t="inlineStr">
        <is>
          <t>m3</t>
        </is>
      </c>
      <c r="I1201" s="5" t="inlineStr">
        <is>
          <t>cumulative</t>
        </is>
      </c>
      <c r="J1201" s="5" t="inlineStr">
        <is>
          <t>GH</t>
        </is>
      </c>
      <c r="K1201" s="5" t="inlineStr"/>
      <c r="L1201" s="7">
        <f>IFERROR(IF(F1201&lt;F1200,"NEGATIVE",ROUND(F1201-F1200,2)),"")</f>
        <v/>
      </c>
    </row>
    <row r="1202" ht="22" customHeight="1">
      <c r="B1202" s="8" t="inlineStr">
        <is>
          <t>R01198</t>
        </is>
      </c>
      <c r="C1202" s="8" t="inlineStr">
        <is>
          <t>MTR-DYE-001</t>
        </is>
      </c>
      <c r="D1202" s="8" t="inlineStr">
        <is>
          <t>Dyeing Hall</t>
        </is>
      </c>
      <c r="E1202" s="8" t="inlineStr">
        <is>
          <t>Dyeing Line A</t>
        </is>
      </c>
      <c r="F1202" s="8" t="inlineStr">
        <is>
          <t>2024-04-10 08:00</t>
        </is>
      </c>
      <c r="G1202" s="12" t="n">
        <v>128851.28</v>
      </c>
      <c r="H1202" s="8" t="inlineStr">
        <is>
          <t>m3</t>
        </is>
      </c>
      <c r="I1202" s="8" t="inlineStr">
        <is>
          <t>cumulative</t>
        </is>
      </c>
      <c r="J1202" s="8" t="inlineStr">
        <is>
          <t>KL</t>
        </is>
      </c>
      <c r="K1202" s="8" t="inlineStr"/>
      <c r="L1202" s="10">
        <f>IFERROR(IF(F1202&lt;F1201,"NEGATIVE",ROUND(F1202-F1201,2)),"")</f>
        <v/>
      </c>
    </row>
    <row r="1203" ht="22" customHeight="1">
      <c r="B1203" s="5" t="inlineStr">
        <is>
          <t>R01199</t>
        </is>
      </c>
      <c r="C1203" s="5" t="inlineStr">
        <is>
          <t>MTR-DYE-001</t>
        </is>
      </c>
      <c r="D1203" s="5" t="inlineStr">
        <is>
          <t>Dyeing Hall</t>
        </is>
      </c>
      <c r="E1203" s="5" t="inlineStr">
        <is>
          <t>Dyeing Line A</t>
        </is>
      </c>
      <c r="F1203" s="5" t="inlineStr">
        <is>
          <t>2024-04-11 08:00</t>
        </is>
      </c>
      <c r="G1203" s="11" t="n">
        <v>128904.97</v>
      </c>
      <c r="H1203" s="5" t="inlineStr">
        <is>
          <t>m3</t>
        </is>
      </c>
      <c r="I1203" s="5" t="inlineStr">
        <is>
          <t>cumulative</t>
        </is>
      </c>
      <c r="J1203" s="5" t="inlineStr">
        <is>
          <t>IJ</t>
        </is>
      </c>
      <c r="K1203" s="5" t="inlineStr"/>
      <c r="L1203" s="7">
        <f>IFERROR(IF(F1203&lt;F1202,"NEGATIVE",ROUND(F1203-F1202,2)),"")</f>
        <v/>
      </c>
    </row>
    <row r="1204" ht="22" customHeight="1">
      <c r="B1204" s="8" t="inlineStr">
        <is>
          <t>R01200</t>
        </is>
      </c>
      <c r="C1204" s="8" t="inlineStr">
        <is>
          <t>MTR-DYE-001</t>
        </is>
      </c>
      <c r="D1204" s="8" t="inlineStr">
        <is>
          <t>Dyeing Hall</t>
        </is>
      </c>
      <c r="E1204" s="8" t="inlineStr">
        <is>
          <t>Dyeing Line A</t>
        </is>
      </c>
      <c r="F1204" s="8" t="inlineStr">
        <is>
          <t>2024-04-12 08:00</t>
        </is>
      </c>
      <c r="G1204" s="12" t="n">
        <v>128961.31</v>
      </c>
      <c r="H1204" s="8" t="inlineStr">
        <is>
          <t>m3</t>
        </is>
      </c>
      <c r="I1204" s="8" t="inlineStr">
        <is>
          <t>cumulative</t>
        </is>
      </c>
      <c r="J1204" s="8" t="inlineStr">
        <is>
          <t>CD</t>
        </is>
      </c>
      <c r="K1204" s="8" t="inlineStr"/>
      <c r="L1204" s="10">
        <f>IFERROR(IF(F1204&lt;F1203,"NEGATIVE",ROUND(F1204-F1203,2)),"")</f>
        <v/>
      </c>
    </row>
    <row r="1205" ht="22" customHeight="1">
      <c r="B1205" s="5" t="inlineStr">
        <is>
          <t>R01201</t>
        </is>
      </c>
      <c r="C1205" s="5" t="inlineStr">
        <is>
          <t>MTR-DYE-001</t>
        </is>
      </c>
      <c r="D1205" s="5" t="inlineStr">
        <is>
          <t>Dyeing Hall</t>
        </is>
      </c>
      <c r="E1205" s="5" t="inlineStr">
        <is>
          <t>Dyeing Line A</t>
        </is>
      </c>
      <c r="F1205" s="5" t="inlineStr">
        <is>
          <t>2024-04-13 08:00</t>
        </is>
      </c>
      <c r="G1205" s="11" t="n">
        <v>128998.12</v>
      </c>
      <c r="H1205" s="5" t="inlineStr">
        <is>
          <t>m3</t>
        </is>
      </c>
      <c r="I1205" s="5" t="inlineStr">
        <is>
          <t>cumulative</t>
        </is>
      </c>
      <c r="J1205" s="5" t="inlineStr">
        <is>
          <t>AB</t>
        </is>
      </c>
      <c r="K1205" s="5" t="inlineStr"/>
      <c r="L1205" s="7">
        <f>IFERROR(IF(F1205&lt;F1204,"NEGATIVE",ROUND(F1205-F1204,2)),"")</f>
        <v/>
      </c>
    </row>
    <row r="1206" ht="22" customHeight="1">
      <c r="B1206" s="8" t="inlineStr">
        <is>
          <t>R01202</t>
        </is>
      </c>
      <c r="C1206" s="8" t="inlineStr">
        <is>
          <t>MTR-DYE-001</t>
        </is>
      </c>
      <c r="D1206" s="8" t="inlineStr">
        <is>
          <t>Dyeing Hall</t>
        </is>
      </c>
      <c r="E1206" s="8" t="inlineStr">
        <is>
          <t>Dyeing Line A</t>
        </is>
      </c>
      <c r="F1206" s="8" t="inlineStr">
        <is>
          <t>2024-04-14 08:00</t>
        </is>
      </c>
      <c r="G1206" s="12" t="n">
        <v>129025.31</v>
      </c>
      <c r="H1206" s="8" t="inlineStr">
        <is>
          <t>m3</t>
        </is>
      </c>
      <c r="I1206" s="8" t="inlineStr">
        <is>
          <t>cumulative</t>
        </is>
      </c>
      <c r="J1206" s="8" t="inlineStr">
        <is>
          <t>KL</t>
        </is>
      </c>
      <c r="K1206" s="8" t="inlineStr"/>
      <c r="L1206" s="10">
        <f>IFERROR(IF(F1206&lt;F1205,"NEGATIVE",ROUND(F1206-F1205,2)),"")</f>
        <v/>
      </c>
    </row>
    <row r="1207" ht="22" customHeight="1">
      <c r="B1207" s="5" t="inlineStr">
        <is>
          <t>R01203</t>
        </is>
      </c>
      <c r="C1207" s="5" t="inlineStr">
        <is>
          <t>MTR-DYE-001</t>
        </is>
      </c>
      <c r="D1207" s="5" t="inlineStr">
        <is>
          <t>Dyeing Hall</t>
        </is>
      </c>
      <c r="E1207" s="5" t="inlineStr">
        <is>
          <t>Dyeing Line A</t>
        </is>
      </c>
      <c r="F1207" s="5" t="inlineStr">
        <is>
          <t>2024-04-15 08:00</t>
        </is>
      </c>
      <c r="G1207" s="11" t="n">
        <v>129077.14</v>
      </c>
      <c r="H1207" s="5" t="inlineStr">
        <is>
          <t>m3</t>
        </is>
      </c>
      <c r="I1207" s="5" t="inlineStr">
        <is>
          <t>cumulative</t>
        </is>
      </c>
      <c r="J1207" s="5" t="inlineStr">
        <is>
          <t>GH</t>
        </is>
      </c>
      <c r="K1207" s="5" t="inlineStr"/>
      <c r="L1207" s="7">
        <f>IFERROR(IF(F1207&lt;F1206,"NEGATIVE",ROUND(F1207-F1206,2)),"")</f>
        <v/>
      </c>
    </row>
    <row r="1208" ht="22" customHeight="1">
      <c r="B1208" s="8" t="inlineStr">
        <is>
          <t>R01204</t>
        </is>
      </c>
      <c r="C1208" s="8" t="inlineStr">
        <is>
          <t>MTR-DYE-001</t>
        </is>
      </c>
      <c r="D1208" s="8" t="inlineStr">
        <is>
          <t>Dyeing Hall</t>
        </is>
      </c>
      <c r="E1208" s="8" t="inlineStr">
        <is>
          <t>Dyeing Line A</t>
        </is>
      </c>
      <c r="F1208" s="8" t="inlineStr">
        <is>
          <t>2024-04-16 08:00</t>
        </is>
      </c>
      <c r="G1208" s="12" t="n">
        <v>129122.05</v>
      </c>
      <c r="H1208" s="8" t="inlineStr">
        <is>
          <t>m3</t>
        </is>
      </c>
      <c r="I1208" s="8" t="inlineStr">
        <is>
          <t>cumulative</t>
        </is>
      </c>
      <c r="J1208" s="8" t="inlineStr">
        <is>
          <t>AB</t>
        </is>
      </c>
      <c r="K1208" s="8" t="inlineStr"/>
      <c r="L1208" s="10">
        <f>IFERROR(IF(F1208&lt;F1207,"NEGATIVE",ROUND(F1208-F1207,2)),"")</f>
        <v/>
      </c>
    </row>
    <row r="1209" ht="22" customHeight="1">
      <c r="B1209" s="5" t="inlineStr">
        <is>
          <t>R01205</t>
        </is>
      </c>
      <c r="C1209" s="5" t="inlineStr">
        <is>
          <t>MTR-DYE-001</t>
        </is>
      </c>
      <c r="D1209" s="5" t="inlineStr">
        <is>
          <t>Dyeing Hall</t>
        </is>
      </c>
      <c r="E1209" s="5" t="inlineStr">
        <is>
          <t>Dyeing Line A</t>
        </is>
      </c>
      <c r="F1209" s="5" t="inlineStr">
        <is>
          <t>2024-04-17 08:00</t>
        </is>
      </c>
      <c r="G1209" s="11" t="n">
        <v>129174.02</v>
      </c>
      <c r="H1209" s="5" t="inlineStr">
        <is>
          <t>m3</t>
        </is>
      </c>
      <c r="I1209" s="5" t="inlineStr">
        <is>
          <t>cumulative</t>
        </is>
      </c>
      <c r="J1209" s="5" t="inlineStr">
        <is>
          <t>GH</t>
        </is>
      </c>
      <c r="K1209" s="5" t="inlineStr"/>
      <c r="L1209" s="7">
        <f>IFERROR(IF(F1209&lt;F1208,"NEGATIVE",ROUND(F1209-F1208,2)),"")</f>
        <v/>
      </c>
    </row>
    <row r="1210" ht="22" customHeight="1">
      <c r="B1210" s="8" t="inlineStr">
        <is>
          <t>R01206</t>
        </is>
      </c>
      <c r="C1210" s="8" t="inlineStr">
        <is>
          <t>MTR-DYE-001</t>
        </is>
      </c>
      <c r="D1210" s="8" t="inlineStr">
        <is>
          <t>Dyeing Hall</t>
        </is>
      </c>
      <c r="E1210" s="8" t="inlineStr">
        <is>
          <t>Dyeing Line A</t>
        </is>
      </c>
      <c r="F1210" s="8" t="inlineStr">
        <is>
          <t>2024-04-18 08:00</t>
        </is>
      </c>
      <c r="G1210" s="12" t="n">
        <v>129224.44</v>
      </c>
      <c r="H1210" s="8" t="inlineStr">
        <is>
          <t>m3</t>
        </is>
      </c>
      <c r="I1210" s="8" t="inlineStr">
        <is>
          <t>cumulative</t>
        </is>
      </c>
      <c r="J1210" s="8" t="inlineStr">
        <is>
          <t>CD</t>
        </is>
      </c>
      <c r="K1210" s="8" t="inlineStr"/>
      <c r="L1210" s="10">
        <f>IFERROR(IF(F1210&lt;F1209,"NEGATIVE",ROUND(F1210-F1209,2)),"")</f>
        <v/>
      </c>
    </row>
    <row r="1211" ht="22" customHeight="1">
      <c r="B1211" s="5" t="inlineStr">
        <is>
          <t>R01207</t>
        </is>
      </c>
      <c r="C1211" s="5" t="inlineStr">
        <is>
          <t>MTR-DYE-001</t>
        </is>
      </c>
      <c r="D1211" s="5" t="inlineStr">
        <is>
          <t>Dyeing Hall</t>
        </is>
      </c>
      <c r="E1211" s="5" t="inlineStr">
        <is>
          <t>Dyeing Line A</t>
        </is>
      </c>
      <c r="F1211" s="5" t="inlineStr">
        <is>
          <t>2024-04-19 08:00</t>
        </is>
      </c>
      <c r="G1211" s="11" t="n">
        <v>129278.83</v>
      </c>
      <c r="H1211" s="5" t="inlineStr">
        <is>
          <t>m3</t>
        </is>
      </c>
      <c r="I1211" s="5" t="inlineStr">
        <is>
          <t>cumulative</t>
        </is>
      </c>
      <c r="J1211" s="5" t="inlineStr">
        <is>
          <t>GH</t>
        </is>
      </c>
      <c r="K1211" s="5" t="inlineStr"/>
      <c r="L1211" s="7">
        <f>IFERROR(IF(F1211&lt;F1210,"NEGATIVE",ROUND(F1211-F1210,2)),"")</f>
        <v/>
      </c>
    </row>
    <row r="1212" ht="22" customHeight="1">
      <c r="B1212" s="8" t="inlineStr">
        <is>
          <t>R01208</t>
        </is>
      </c>
      <c r="C1212" s="8" t="inlineStr">
        <is>
          <t>MTR-DYE-001</t>
        </is>
      </c>
      <c r="D1212" s="8" t="inlineStr">
        <is>
          <t>Dyeing Hall</t>
        </is>
      </c>
      <c r="E1212" s="8" t="inlineStr">
        <is>
          <t>Dyeing Line A</t>
        </is>
      </c>
      <c r="F1212" s="8" t="inlineStr">
        <is>
          <t>2024-04-20 08:00</t>
        </is>
      </c>
      <c r="G1212" s="12" t="n">
        <v>129321.29</v>
      </c>
      <c r="H1212" s="8" t="inlineStr">
        <is>
          <t>m3</t>
        </is>
      </c>
      <c r="I1212" s="8" t="inlineStr">
        <is>
          <t>cumulative</t>
        </is>
      </c>
      <c r="J1212" s="8" t="inlineStr">
        <is>
          <t>KL</t>
        </is>
      </c>
      <c r="K1212" s="8" t="inlineStr"/>
      <c r="L1212" s="10">
        <f>IFERROR(IF(F1212&lt;F1211,"NEGATIVE",ROUND(F1212-F1211,2)),"")</f>
        <v/>
      </c>
    </row>
    <row r="1213" ht="22" customHeight="1">
      <c r="B1213" s="5" t="inlineStr">
        <is>
          <t>R01209</t>
        </is>
      </c>
      <c r="C1213" s="5" t="inlineStr">
        <is>
          <t>MTR-DYE-001</t>
        </is>
      </c>
      <c r="D1213" s="5" t="inlineStr">
        <is>
          <t>Dyeing Hall</t>
        </is>
      </c>
      <c r="E1213" s="5" t="inlineStr">
        <is>
          <t>Dyeing Line A</t>
        </is>
      </c>
      <c r="F1213" s="5" t="inlineStr">
        <is>
          <t>2024-04-21 08:00</t>
        </is>
      </c>
      <c r="G1213" s="11" t="n">
        <v>129345.06</v>
      </c>
      <c r="H1213" s="5" t="inlineStr">
        <is>
          <t>m3</t>
        </is>
      </c>
      <c r="I1213" s="5" t="inlineStr">
        <is>
          <t>cumulative</t>
        </is>
      </c>
      <c r="J1213" s="5" t="inlineStr">
        <is>
          <t>IJ</t>
        </is>
      </c>
      <c r="K1213" s="5" t="inlineStr"/>
      <c r="L1213" s="7">
        <f>IFERROR(IF(F1213&lt;F1212,"NEGATIVE",ROUND(F1213-F1212,2)),"")</f>
        <v/>
      </c>
    </row>
    <row r="1214" ht="22" customHeight="1">
      <c r="B1214" s="8" t="inlineStr">
        <is>
          <t>R01210</t>
        </is>
      </c>
      <c r="C1214" s="8" t="inlineStr">
        <is>
          <t>MTR-DYE-001</t>
        </is>
      </c>
      <c r="D1214" s="8" t="inlineStr">
        <is>
          <t>Dyeing Hall</t>
        </is>
      </c>
      <c r="E1214" s="8" t="inlineStr">
        <is>
          <t>Dyeing Line A</t>
        </is>
      </c>
      <c r="F1214" s="8" t="inlineStr">
        <is>
          <t>2024-04-22 08:00</t>
        </is>
      </c>
      <c r="G1214" s="12" t="n">
        <v>129401.9</v>
      </c>
      <c r="H1214" s="8" t="inlineStr">
        <is>
          <t>m3</t>
        </is>
      </c>
      <c r="I1214" s="8" t="inlineStr">
        <is>
          <t>cumulative</t>
        </is>
      </c>
      <c r="J1214" s="8" t="inlineStr">
        <is>
          <t>IJ</t>
        </is>
      </c>
      <c r="K1214" s="8" t="inlineStr"/>
      <c r="L1214" s="10">
        <f>IFERROR(IF(F1214&lt;F1213,"NEGATIVE",ROUND(F1214-F1213,2)),"")</f>
        <v/>
      </c>
    </row>
    <row r="1215" ht="22" customHeight="1">
      <c r="B1215" s="5" t="inlineStr">
        <is>
          <t>R01211</t>
        </is>
      </c>
      <c r="C1215" s="5" t="inlineStr">
        <is>
          <t>MTR-DYE-001</t>
        </is>
      </c>
      <c r="D1215" s="5" t="inlineStr">
        <is>
          <t>Dyeing Hall</t>
        </is>
      </c>
      <c r="E1215" s="5" t="inlineStr">
        <is>
          <t>Dyeing Line A</t>
        </is>
      </c>
      <c r="F1215" s="5" t="inlineStr">
        <is>
          <t>2024-04-23 08:00</t>
        </is>
      </c>
      <c r="G1215" s="11" t="n">
        <v>129459.92</v>
      </c>
      <c r="H1215" s="5" t="inlineStr">
        <is>
          <t>m3</t>
        </is>
      </c>
      <c r="I1215" s="5" t="inlineStr">
        <is>
          <t>cumulative</t>
        </is>
      </c>
      <c r="J1215" s="5" t="inlineStr">
        <is>
          <t>EF</t>
        </is>
      </c>
      <c r="K1215" s="5" t="inlineStr"/>
      <c r="L1215" s="7">
        <f>IFERROR(IF(F1215&lt;F1214,"NEGATIVE",ROUND(F1215-F1214,2)),"")</f>
        <v/>
      </c>
    </row>
    <row r="1216" ht="22" customHeight="1">
      <c r="B1216" s="8" t="inlineStr">
        <is>
          <t>R01212</t>
        </is>
      </c>
      <c r="C1216" s="8" t="inlineStr">
        <is>
          <t>MTR-DYE-001</t>
        </is>
      </c>
      <c r="D1216" s="8" t="inlineStr">
        <is>
          <t>Dyeing Hall</t>
        </is>
      </c>
      <c r="E1216" s="8" t="inlineStr">
        <is>
          <t>Dyeing Line A</t>
        </is>
      </c>
      <c r="F1216" s="8" t="inlineStr">
        <is>
          <t>2024-04-24 08:00</t>
        </is>
      </c>
      <c r="G1216" s="12" t="n">
        <v>129507.02</v>
      </c>
      <c r="H1216" s="8" t="inlineStr">
        <is>
          <t>m3</t>
        </is>
      </c>
      <c r="I1216" s="8" t="inlineStr">
        <is>
          <t>cumulative</t>
        </is>
      </c>
      <c r="J1216" s="8" t="inlineStr">
        <is>
          <t>GH</t>
        </is>
      </c>
      <c r="K1216" s="8" t="inlineStr"/>
      <c r="L1216" s="10">
        <f>IFERROR(IF(F1216&lt;F1215,"NEGATIVE",ROUND(F1216-F1215,2)),"")</f>
        <v/>
      </c>
    </row>
    <row r="1217" ht="22" customHeight="1">
      <c r="B1217" s="5" t="inlineStr">
        <is>
          <t>R01213</t>
        </is>
      </c>
      <c r="C1217" s="5" t="inlineStr">
        <is>
          <t>MTR-DYE-001</t>
        </is>
      </c>
      <c r="D1217" s="5" t="inlineStr">
        <is>
          <t>Dyeing Hall</t>
        </is>
      </c>
      <c r="E1217" s="5" t="inlineStr">
        <is>
          <t>Dyeing Line A</t>
        </is>
      </c>
      <c r="F1217" s="5" t="inlineStr">
        <is>
          <t>2024-04-25 08:00</t>
        </is>
      </c>
      <c r="G1217" s="11" t="n">
        <v>129551.57</v>
      </c>
      <c r="H1217" s="5" t="inlineStr">
        <is>
          <t>m3</t>
        </is>
      </c>
      <c r="I1217" s="5" t="inlineStr">
        <is>
          <t>cumulative</t>
        </is>
      </c>
      <c r="J1217" s="5" t="inlineStr">
        <is>
          <t>AB</t>
        </is>
      </c>
      <c r="K1217" s="5" t="inlineStr"/>
      <c r="L1217" s="7">
        <f>IFERROR(IF(F1217&lt;F1216,"NEGATIVE",ROUND(F1217-F1216,2)),"")</f>
        <v/>
      </c>
    </row>
    <row r="1218" ht="22" customHeight="1">
      <c r="B1218" s="8" t="inlineStr">
        <is>
          <t>R01214</t>
        </is>
      </c>
      <c r="C1218" s="8" t="inlineStr">
        <is>
          <t>MTR-DYE-001</t>
        </is>
      </c>
      <c r="D1218" s="8" t="inlineStr">
        <is>
          <t>Dyeing Hall</t>
        </is>
      </c>
      <c r="E1218" s="8" t="inlineStr">
        <is>
          <t>Dyeing Line A</t>
        </is>
      </c>
      <c r="F1218" s="8" t="inlineStr">
        <is>
          <t>2024-04-26 08:00</t>
        </is>
      </c>
      <c r="G1218" s="12" t="n">
        <v>129597.06</v>
      </c>
      <c r="H1218" s="8" t="inlineStr">
        <is>
          <t>m3</t>
        </is>
      </c>
      <c r="I1218" s="8" t="inlineStr">
        <is>
          <t>cumulative</t>
        </is>
      </c>
      <c r="J1218" s="8" t="inlineStr">
        <is>
          <t>KL</t>
        </is>
      </c>
      <c r="K1218" s="8" t="inlineStr"/>
      <c r="L1218" s="10">
        <f>IFERROR(IF(F1218&lt;F1217,"NEGATIVE",ROUND(F1218-F1217,2)),"")</f>
        <v/>
      </c>
    </row>
    <row r="1219" ht="22" customHeight="1">
      <c r="B1219" s="5" t="inlineStr">
        <is>
          <t>R01215</t>
        </is>
      </c>
      <c r="C1219" s="5" t="inlineStr">
        <is>
          <t>MTR-DYE-001</t>
        </is>
      </c>
      <c r="D1219" s="5" t="inlineStr">
        <is>
          <t>Dyeing Hall</t>
        </is>
      </c>
      <c r="E1219" s="5" t="inlineStr">
        <is>
          <t>Dyeing Line A</t>
        </is>
      </c>
      <c r="F1219" s="5" t="inlineStr">
        <is>
          <t>2024-04-27 08:00</t>
        </is>
      </c>
      <c r="G1219" s="11" t="n">
        <v>129644.32</v>
      </c>
      <c r="H1219" s="5" t="inlineStr">
        <is>
          <t>m3</t>
        </is>
      </c>
      <c r="I1219" s="5" t="inlineStr">
        <is>
          <t>cumulative</t>
        </is>
      </c>
      <c r="J1219" s="5" t="inlineStr">
        <is>
          <t>CD</t>
        </is>
      </c>
      <c r="K1219" s="5" t="inlineStr"/>
      <c r="L1219" s="7">
        <f>IFERROR(IF(F1219&lt;F1218,"NEGATIVE",ROUND(F1219-F1218,2)),"")</f>
        <v/>
      </c>
    </row>
    <row r="1220" ht="22" customHeight="1">
      <c r="B1220" s="8" t="inlineStr">
        <is>
          <t>R01216</t>
        </is>
      </c>
      <c r="C1220" s="8" t="inlineStr">
        <is>
          <t>MTR-DYE-001</t>
        </is>
      </c>
      <c r="D1220" s="8" t="inlineStr">
        <is>
          <t>Dyeing Hall</t>
        </is>
      </c>
      <c r="E1220" s="8" t="inlineStr">
        <is>
          <t>Dyeing Line A</t>
        </is>
      </c>
      <c r="F1220" s="8" t="inlineStr">
        <is>
          <t>2024-04-28 08:00</t>
        </is>
      </c>
      <c r="G1220" s="12" t="n">
        <v>129671.3</v>
      </c>
      <c r="H1220" s="8" t="inlineStr">
        <is>
          <t>m3</t>
        </is>
      </c>
      <c r="I1220" s="8" t="inlineStr">
        <is>
          <t>cumulative</t>
        </is>
      </c>
      <c r="J1220" s="8" t="inlineStr">
        <is>
          <t>KL</t>
        </is>
      </c>
      <c r="K1220" s="8" t="inlineStr"/>
      <c r="L1220" s="10">
        <f>IFERROR(IF(F1220&lt;F1219,"NEGATIVE",ROUND(F1220-F1219,2)),"")</f>
        <v/>
      </c>
    </row>
    <row r="1221" ht="22" customHeight="1">
      <c r="B1221" s="5" t="inlineStr">
        <is>
          <t>R01217</t>
        </is>
      </c>
      <c r="C1221" s="5" t="inlineStr">
        <is>
          <t>MTR-DYE-001</t>
        </is>
      </c>
      <c r="D1221" s="5" t="inlineStr">
        <is>
          <t>Dyeing Hall</t>
        </is>
      </c>
      <c r="E1221" s="5" t="inlineStr">
        <is>
          <t>Dyeing Line A</t>
        </is>
      </c>
      <c r="F1221" s="5" t="inlineStr">
        <is>
          <t>2024-04-29 08:00</t>
        </is>
      </c>
      <c r="G1221" s="11" t="n">
        <v>129721.71</v>
      </c>
      <c r="H1221" s="5" t="inlineStr">
        <is>
          <t>m3</t>
        </is>
      </c>
      <c r="I1221" s="5" t="inlineStr">
        <is>
          <t>cumulative</t>
        </is>
      </c>
      <c r="J1221" s="5" t="inlineStr">
        <is>
          <t>GH</t>
        </is>
      </c>
      <c r="K1221" s="5" t="inlineStr"/>
      <c r="L1221" s="7">
        <f>IFERROR(IF(F1221&lt;F1220,"NEGATIVE",ROUND(F1221-F1220,2)),"")</f>
        <v/>
      </c>
    </row>
    <row r="1222" ht="22" customHeight="1">
      <c r="B1222" s="8" t="inlineStr">
        <is>
          <t>R01218</t>
        </is>
      </c>
      <c r="C1222" s="8" t="inlineStr">
        <is>
          <t>MTR-DYE-001</t>
        </is>
      </c>
      <c r="D1222" s="8" t="inlineStr">
        <is>
          <t>Dyeing Hall</t>
        </is>
      </c>
      <c r="E1222" s="8" t="inlineStr">
        <is>
          <t>Dyeing Line A</t>
        </is>
      </c>
      <c r="F1222" s="8" t="inlineStr">
        <is>
          <t>2024-04-30 08:00</t>
        </is>
      </c>
      <c r="G1222" s="12" t="n">
        <v>129779.7</v>
      </c>
      <c r="H1222" s="8" t="inlineStr">
        <is>
          <t>m3</t>
        </is>
      </c>
      <c r="I1222" s="8" t="inlineStr">
        <is>
          <t>cumulative</t>
        </is>
      </c>
      <c r="J1222" s="8" t="inlineStr">
        <is>
          <t>AB</t>
        </is>
      </c>
      <c r="K1222" s="8" t="inlineStr"/>
      <c r="L1222" s="10">
        <f>IFERROR(IF(F1222&lt;F1221,"NEGATIVE",ROUND(F1222-F1221,2)),"")</f>
        <v/>
      </c>
    </row>
    <row r="1223" ht="22" customHeight="1">
      <c r="B1223" s="5" t="inlineStr">
        <is>
          <t>R01219</t>
        </is>
      </c>
      <c r="C1223" s="5" t="inlineStr">
        <is>
          <t>MTR-DYE-001</t>
        </is>
      </c>
      <c r="D1223" s="5" t="inlineStr">
        <is>
          <t>Dyeing Hall</t>
        </is>
      </c>
      <c r="E1223" s="5" t="inlineStr">
        <is>
          <t>Dyeing Line A</t>
        </is>
      </c>
      <c r="F1223" s="5" t="inlineStr">
        <is>
          <t>2024-05-01 08:00</t>
        </is>
      </c>
      <c r="G1223" s="11" t="n">
        <v>129829.97</v>
      </c>
      <c r="H1223" s="5" t="inlineStr">
        <is>
          <t>m3</t>
        </is>
      </c>
      <c r="I1223" s="5" t="inlineStr">
        <is>
          <t>cumulative</t>
        </is>
      </c>
      <c r="J1223" s="5" t="inlineStr">
        <is>
          <t>CD</t>
        </is>
      </c>
      <c r="K1223" s="5" t="inlineStr"/>
      <c r="L1223" s="7">
        <f>IFERROR(IF(F1223&lt;F1222,"NEGATIVE",ROUND(F1223-F1222,2)),"")</f>
        <v/>
      </c>
    </row>
    <row r="1224" ht="22" customHeight="1">
      <c r="B1224" s="8" t="inlineStr">
        <is>
          <t>R01220</t>
        </is>
      </c>
      <c r="C1224" s="8" t="inlineStr">
        <is>
          <t>MTR-DYE-001</t>
        </is>
      </c>
      <c r="D1224" s="8" t="inlineStr">
        <is>
          <t>Dyeing Hall</t>
        </is>
      </c>
      <c r="E1224" s="8" t="inlineStr">
        <is>
          <t>Dyeing Line A</t>
        </is>
      </c>
      <c r="F1224" s="8" t="inlineStr">
        <is>
          <t>2024-05-02 08:00</t>
        </is>
      </c>
      <c r="G1224" s="12" t="n">
        <v>129876.58</v>
      </c>
      <c r="H1224" s="8" t="inlineStr">
        <is>
          <t>m3</t>
        </is>
      </c>
      <c r="I1224" s="8" t="inlineStr">
        <is>
          <t>cumulative</t>
        </is>
      </c>
      <c r="J1224" s="8" t="inlineStr">
        <is>
          <t>EF</t>
        </is>
      </c>
      <c r="K1224" s="8" t="inlineStr"/>
      <c r="L1224" s="10">
        <f>IFERROR(IF(F1224&lt;F1223,"NEGATIVE",ROUND(F1224-F1223,2)),"")</f>
        <v/>
      </c>
    </row>
    <row r="1225" ht="22" customHeight="1">
      <c r="B1225" s="5" t="inlineStr">
        <is>
          <t>R01221</t>
        </is>
      </c>
      <c r="C1225" s="5" t="inlineStr">
        <is>
          <t>MTR-DYE-001</t>
        </is>
      </c>
      <c r="D1225" s="5" t="inlineStr">
        <is>
          <t>Dyeing Hall</t>
        </is>
      </c>
      <c r="E1225" s="5" t="inlineStr">
        <is>
          <t>Dyeing Line A</t>
        </is>
      </c>
      <c r="F1225" s="5" t="inlineStr">
        <is>
          <t>2024-05-03 08:00</t>
        </is>
      </c>
      <c r="G1225" s="11" t="n">
        <v>129932.38</v>
      </c>
      <c r="H1225" s="5" t="inlineStr">
        <is>
          <t>m3</t>
        </is>
      </c>
      <c r="I1225" s="5" t="inlineStr">
        <is>
          <t>cumulative</t>
        </is>
      </c>
      <c r="J1225" s="5" t="inlineStr">
        <is>
          <t>IJ</t>
        </is>
      </c>
      <c r="K1225" s="5" t="inlineStr"/>
      <c r="L1225" s="7">
        <f>IFERROR(IF(F1225&lt;F1224,"NEGATIVE",ROUND(F1225-F1224,2)),"")</f>
        <v/>
      </c>
    </row>
    <row r="1226" ht="22" customHeight="1">
      <c r="B1226" s="8" t="inlineStr">
        <is>
          <t>R01222</t>
        </is>
      </c>
      <c r="C1226" s="8" t="inlineStr">
        <is>
          <t>MTR-DYE-001</t>
        </is>
      </c>
      <c r="D1226" s="8" t="inlineStr">
        <is>
          <t>Dyeing Hall</t>
        </is>
      </c>
      <c r="E1226" s="8" t="inlineStr">
        <is>
          <t>Dyeing Line A</t>
        </is>
      </c>
      <c r="F1226" s="8" t="inlineStr">
        <is>
          <t>2024-05-04 08:00</t>
        </is>
      </c>
      <c r="G1226" s="12" t="n">
        <v>129976.39</v>
      </c>
      <c r="H1226" s="8" t="inlineStr">
        <is>
          <t>m3</t>
        </is>
      </c>
      <c r="I1226" s="8" t="inlineStr">
        <is>
          <t>cumulative</t>
        </is>
      </c>
      <c r="J1226" s="8" t="inlineStr">
        <is>
          <t>EF</t>
        </is>
      </c>
      <c r="K1226" s="8" t="inlineStr"/>
      <c r="L1226" s="10">
        <f>IFERROR(IF(F1226&lt;F1225,"NEGATIVE",ROUND(F1226-F1225,2)),"")</f>
        <v/>
      </c>
    </row>
    <row r="1227" ht="22" customHeight="1">
      <c r="B1227" s="5" t="inlineStr">
        <is>
          <t>R01223</t>
        </is>
      </c>
      <c r="C1227" s="5" t="inlineStr">
        <is>
          <t>MTR-DYE-001</t>
        </is>
      </c>
      <c r="D1227" s="5" t="inlineStr">
        <is>
          <t>Dyeing Hall</t>
        </is>
      </c>
      <c r="E1227" s="5" t="inlineStr">
        <is>
          <t>Dyeing Line A</t>
        </is>
      </c>
      <c r="F1227" s="5" t="inlineStr">
        <is>
          <t>2024-05-05 08:00</t>
        </is>
      </c>
      <c r="G1227" s="11" t="n">
        <v>130003.15</v>
      </c>
      <c r="H1227" s="5" t="inlineStr">
        <is>
          <t>m3</t>
        </is>
      </c>
      <c r="I1227" s="5" t="inlineStr">
        <is>
          <t>cumulative</t>
        </is>
      </c>
      <c r="J1227" s="5" t="inlineStr">
        <is>
          <t>IJ</t>
        </is>
      </c>
      <c r="K1227" s="5" t="inlineStr"/>
      <c r="L1227" s="7">
        <f>IFERROR(IF(F1227&lt;F1226,"NEGATIVE",ROUND(F1227-F1226,2)),"")</f>
        <v/>
      </c>
    </row>
    <row r="1228" ht="22" customHeight="1">
      <c r="B1228" s="8" t="inlineStr">
        <is>
          <t>R01224</t>
        </is>
      </c>
      <c r="C1228" s="8" t="inlineStr">
        <is>
          <t>MTR-DYE-001</t>
        </is>
      </c>
      <c r="D1228" s="8" t="inlineStr">
        <is>
          <t>Dyeing Hall</t>
        </is>
      </c>
      <c r="E1228" s="8" t="inlineStr">
        <is>
          <t>Dyeing Line A</t>
        </is>
      </c>
      <c r="F1228" s="8" t="inlineStr">
        <is>
          <t>2024-05-06 08:00</t>
        </is>
      </c>
      <c r="G1228" s="12" t="n">
        <v>130050.53</v>
      </c>
      <c r="H1228" s="8" t="inlineStr">
        <is>
          <t>m3</t>
        </is>
      </c>
      <c r="I1228" s="8" t="inlineStr">
        <is>
          <t>cumulative</t>
        </is>
      </c>
      <c r="J1228" s="8" t="inlineStr">
        <is>
          <t>AB</t>
        </is>
      </c>
      <c r="K1228" s="8" t="inlineStr"/>
      <c r="L1228" s="10">
        <f>IFERROR(IF(F1228&lt;F1227,"NEGATIVE",ROUND(F1228-F1227,2)),"")</f>
        <v/>
      </c>
    </row>
    <row r="1229" ht="22" customHeight="1">
      <c r="B1229" s="5" t="inlineStr">
        <is>
          <t>R01225</t>
        </is>
      </c>
      <c r="C1229" s="5" t="inlineStr">
        <is>
          <t>MTR-DYE-001</t>
        </is>
      </c>
      <c r="D1229" s="5" t="inlineStr">
        <is>
          <t>Dyeing Hall</t>
        </is>
      </c>
      <c r="E1229" s="5" t="inlineStr">
        <is>
          <t>Dyeing Line A</t>
        </is>
      </c>
      <c r="F1229" s="5" t="inlineStr">
        <is>
          <t>2024-05-07 08:00</t>
        </is>
      </c>
      <c r="G1229" s="11" t="n">
        <v>130103.83</v>
      </c>
      <c r="H1229" s="5" t="inlineStr">
        <is>
          <t>m3</t>
        </is>
      </c>
      <c r="I1229" s="5" t="inlineStr">
        <is>
          <t>cumulative</t>
        </is>
      </c>
      <c r="J1229" s="5" t="inlineStr">
        <is>
          <t>IJ</t>
        </is>
      </c>
      <c r="K1229" s="5" t="inlineStr"/>
      <c r="L1229" s="7">
        <f>IFERROR(IF(F1229&lt;F1228,"NEGATIVE",ROUND(F1229-F1228,2)),"")</f>
        <v/>
      </c>
    </row>
    <row r="1230" ht="22" customHeight="1">
      <c r="B1230" s="8" t="inlineStr">
        <is>
          <t>R01226</t>
        </is>
      </c>
      <c r="C1230" s="8" t="inlineStr">
        <is>
          <t>MTR-DYE-001</t>
        </is>
      </c>
      <c r="D1230" s="8" t="inlineStr">
        <is>
          <t>Dyeing Hall</t>
        </is>
      </c>
      <c r="E1230" s="8" t="inlineStr">
        <is>
          <t>Dyeing Line A</t>
        </is>
      </c>
      <c r="F1230" s="8" t="inlineStr">
        <is>
          <t>2024-05-08 08:00</t>
        </is>
      </c>
      <c r="G1230" s="12" t="n">
        <v>130154.12</v>
      </c>
      <c r="H1230" s="8" t="inlineStr">
        <is>
          <t>m3</t>
        </is>
      </c>
      <c r="I1230" s="8" t="inlineStr">
        <is>
          <t>cumulative</t>
        </is>
      </c>
      <c r="J1230" s="8" t="inlineStr">
        <is>
          <t>EF</t>
        </is>
      </c>
      <c r="K1230" s="8" t="inlineStr"/>
      <c r="L1230" s="10">
        <f>IFERROR(IF(F1230&lt;F1229,"NEGATIVE",ROUND(F1230-F1229,2)),"")</f>
        <v/>
      </c>
    </row>
    <row r="1231" ht="22" customHeight="1">
      <c r="B1231" s="5" t="inlineStr">
        <is>
          <t>R01227</t>
        </is>
      </c>
      <c r="C1231" s="5" t="inlineStr">
        <is>
          <t>MTR-DYE-001</t>
        </is>
      </c>
      <c r="D1231" s="5" t="inlineStr">
        <is>
          <t>Dyeing Hall</t>
        </is>
      </c>
      <c r="E1231" s="5" t="inlineStr">
        <is>
          <t>Dyeing Line A</t>
        </is>
      </c>
      <c r="F1231" s="5" t="inlineStr">
        <is>
          <t>2024-05-09 08:00</t>
        </is>
      </c>
      <c r="G1231" s="11" t="n">
        <v>130200.4</v>
      </c>
      <c r="H1231" s="5" t="inlineStr">
        <is>
          <t>m3</t>
        </is>
      </c>
      <c r="I1231" s="5" t="inlineStr">
        <is>
          <t>cumulative</t>
        </is>
      </c>
      <c r="J1231" s="5" t="inlineStr">
        <is>
          <t>KL</t>
        </is>
      </c>
      <c r="K1231" s="5" t="inlineStr"/>
      <c r="L1231" s="7">
        <f>IFERROR(IF(F1231&lt;F1230,"NEGATIVE",ROUND(F1231-F1230,2)),"")</f>
        <v/>
      </c>
    </row>
    <row r="1232" ht="22" customHeight="1">
      <c r="B1232" s="8" t="inlineStr">
        <is>
          <t>R01228</t>
        </is>
      </c>
      <c r="C1232" s="8" t="inlineStr">
        <is>
          <t>MTR-DYE-001</t>
        </is>
      </c>
      <c r="D1232" s="8" t="inlineStr">
        <is>
          <t>Dyeing Hall</t>
        </is>
      </c>
      <c r="E1232" s="8" t="inlineStr">
        <is>
          <t>Dyeing Line A</t>
        </is>
      </c>
      <c r="F1232" s="8" t="inlineStr">
        <is>
          <t>2024-05-10 08:00</t>
        </is>
      </c>
      <c r="G1232" s="12" t="n">
        <v>130254.26</v>
      </c>
      <c r="H1232" s="8" t="inlineStr">
        <is>
          <t>m3</t>
        </is>
      </c>
      <c r="I1232" s="8" t="inlineStr">
        <is>
          <t>cumulative</t>
        </is>
      </c>
      <c r="J1232" s="8" t="inlineStr">
        <is>
          <t>KL</t>
        </is>
      </c>
      <c r="K1232" s="8" t="inlineStr"/>
      <c r="L1232" s="10">
        <f>IFERROR(IF(F1232&lt;F1231,"NEGATIVE",ROUND(F1232-F1231,2)),"")</f>
        <v/>
      </c>
    </row>
    <row r="1233" ht="22" customHeight="1">
      <c r="B1233" s="5" t="inlineStr">
        <is>
          <t>R01229</t>
        </is>
      </c>
      <c r="C1233" s="5" t="inlineStr">
        <is>
          <t>MTR-DYE-001</t>
        </is>
      </c>
      <c r="D1233" s="5" t="inlineStr">
        <is>
          <t>Dyeing Hall</t>
        </is>
      </c>
      <c r="E1233" s="5" t="inlineStr">
        <is>
          <t>Dyeing Line A</t>
        </is>
      </c>
      <c r="F1233" s="5" t="inlineStr">
        <is>
          <t>2024-05-11 08:00</t>
        </is>
      </c>
      <c r="G1233" s="11" t="n">
        <v>130290.91</v>
      </c>
      <c r="H1233" s="5" t="inlineStr">
        <is>
          <t>m3</t>
        </is>
      </c>
      <c r="I1233" s="5" t="inlineStr">
        <is>
          <t>cumulative</t>
        </is>
      </c>
      <c r="J1233" s="5" t="inlineStr">
        <is>
          <t>EF</t>
        </is>
      </c>
      <c r="K1233" s="5" t="inlineStr"/>
      <c r="L1233" s="7">
        <f>IFERROR(IF(F1233&lt;F1232,"NEGATIVE",ROUND(F1233-F1232,2)),"")</f>
        <v/>
      </c>
    </row>
    <row r="1234" ht="22" customHeight="1">
      <c r="B1234" s="8" t="inlineStr">
        <is>
          <t>R01230</t>
        </is>
      </c>
      <c r="C1234" s="8" t="inlineStr">
        <is>
          <t>MTR-DYE-001</t>
        </is>
      </c>
      <c r="D1234" s="8" t="inlineStr">
        <is>
          <t>Dyeing Hall</t>
        </is>
      </c>
      <c r="E1234" s="8" t="inlineStr">
        <is>
          <t>Dyeing Line A</t>
        </is>
      </c>
      <c r="F1234" s="8" t="inlineStr">
        <is>
          <t>2024-05-12 08:00</t>
        </is>
      </c>
      <c r="G1234" s="12" t="n">
        <v>130318.69</v>
      </c>
      <c r="H1234" s="8" t="inlineStr">
        <is>
          <t>m3</t>
        </is>
      </c>
      <c r="I1234" s="8" t="inlineStr">
        <is>
          <t>cumulative</t>
        </is>
      </c>
      <c r="J1234" s="8" t="inlineStr">
        <is>
          <t>IJ</t>
        </is>
      </c>
      <c r="K1234" s="8" t="inlineStr"/>
      <c r="L1234" s="10">
        <f>IFERROR(IF(F1234&lt;F1233,"NEGATIVE",ROUND(F1234-F1233,2)),"")</f>
        <v/>
      </c>
    </row>
    <row r="1235" ht="22" customHeight="1">
      <c r="B1235" s="5" t="inlineStr">
        <is>
          <t>R01231</t>
        </is>
      </c>
      <c r="C1235" s="5" t="inlineStr">
        <is>
          <t>MTR-DYE-001</t>
        </is>
      </c>
      <c r="D1235" s="5" t="inlineStr">
        <is>
          <t>Dyeing Hall</t>
        </is>
      </c>
      <c r="E1235" s="5" t="inlineStr">
        <is>
          <t>Dyeing Line A</t>
        </is>
      </c>
      <c r="F1235" s="5" t="inlineStr">
        <is>
          <t>2024-05-13 08:00</t>
        </is>
      </c>
      <c r="G1235" s="11" t="n">
        <v>130376.87</v>
      </c>
      <c r="H1235" s="5" t="inlineStr">
        <is>
          <t>m3</t>
        </is>
      </c>
      <c r="I1235" s="5" t="inlineStr">
        <is>
          <t>cumulative</t>
        </is>
      </c>
      <c r="J1235" s="5" t="inlineStr">
        <is>
          <t>IJ</t>
        </is>
      </c>
      <c r="K1235" s="5" t="inlineStr"/>
      <c r="L1235" s="7">
        <f>IFERROR(IF(F1235&lt;F1234,"NEGATIVE",ROUND(F1235-F1234,2)),"")</f>
        <v/>
      </c>
    </row>
    <row r="1236" ht="22" customHeight="1">
      <c r="B1236" s="8" t="inlineStr">
        <is>
          <t>R01232</t>
        </is>
      </c>
      <c r="C1236" s="8" t="inlineStr">
        <is>
          <t>MTR-DYE-001</t>
        </is>
      </c>
      <c r="D1236" s="8" t="inlineStr">
        <is>
          <t>Dyeing Hall</t>
        </is>
      </c>
      <c r="E1236" s="8" t="inlineStr">
        <is>
          <t>Dyeing Line A</t>
        </is>
      </c>
      <c r="F1236" s="8" t="inlineStr">
        <is>
          <t>2024-05-14 08:00</t>
        </is>
      </c>
      <c r="G1236" s="12" t="n">
        <v>130434.3</v>
      </c>
      <c r="H1236" s="8" t="inlineStr">
        <is>
          <t>m3</t>
        </is>
      </c>
      <c r="I1236" s="8" t="inlineStr">
        <is>
          <t>cumulative</t>
        </is>
      </c>
      <c r="J1236" s="8" t="inlineStr">
        <is>
          <t>CD</t>
        </is>
      </c>
      <c r="K1236" s="8" t="inlineStr"/>
      <c r="L1236" s="10">
        <f>IFERROR(IF(F1236&lt;F1235,"NEGATIVE",ROUND(F1236-F1235,2)),"")</f>
        <v/>
      </c>
    </row>
    <row r="1237" ht="22" customHeight="1">
      <c r="B1237" s="5" t="inlineStr">
        <is>
          <t>R01233</t>
        </is>
      </c>
      <c r="C1237" s="5" t="inlineStr">
        <is>
          <t>MTR-DYE-001</t>
        </is>
      </c>
      <c r="D1237" s="5" t="inlineStr">
        <is>
          <t>Dyeing Hall</t>
        </is>
      </c>
      <c r="E1237" s="5" t="inlineStr">
        <is>
          <t>Dyeing Line A</t>
        </is>
      </c>
      <c r="F1237" s="5" t="inlineStr">
        <is>
          <t>2024-05-15 08:00</t>
        </is>
      </c>
      <c r="G1237" s="11" t="n">
        <v>130491.5</v>
      </c>
      <c r="H1237" s="5" t="inlineStr">
        <is>
          <t>m3</t>
        </is>
      </c>
      <c r="I1237" s="5" t="inlineStr">
        <is>
          <t>cumulative</t>
        </is>
      </c>
      <c r="J1237" s="5" t="inlineStr">
        <is>
          <t>GH</t>
        </is>
      </c>
      <c r="K1237" s="5" t="inlineStr"/>
      <c r="L1237" s="7">
        <f>IFERROR(IF(F1237&lt;F1236,"NEGATIVE",ROUND(F1237-F1236,2)),"")</f>
        <v/>
      </c>
    </row>
    <row r="1238" ht="22" customHeight="1">
      <c r="B1238" s="8" t="inlineStr">
        <is>
          <t>R01234</t>
        </is>
      </c>
      <c r="C1238" s="8" t="inlineStr">
        <is>
          <t>MTR-DYE-001</t>
        </is>
      </c>
      <c r="D1238" s="8" t="inlineStr">
        <is>
          <t>Dyeing Hall</t>
        </is>
      </c>
      <c r="E1238" s="8" t="inlineStr">
        <is>
          <t>Dyeing Line A</t>
        </is>
      </c>
      <c r="F1238" s="8" t="inlineStr">
        <is>
          <t>2024-05-16 08:00</t>
        </is>
      </c>
      <c r="G1238" s="12" t="n">
        <v>130545.29</v>
      </c>
      <c r="H1238" s="8" t="inlineStr">
        <is>
          <t>m3</t>
        </is>
      </c>
      <c r="I1238" s="8" t="inlineStr">
        <is>
          <t>cumulative</t>
        </is>
      </c>
      <c r="J1238" s="8" t="inlineStr">
        <is>
          <t>AB</t>
        </is>
      </c>
      <c r="K1238" s="8" t="inlineStr"/>
      <c r="L1238" s="10">
        <f>IFERROR(IF(F1238&lt;F1237,"NEGATIVE",ROUND(F1238-F1237,2)),"")</f>
        <v/>
      </c>
    </row>
    <row r="1239" ht="22" customHeight="1">
      <c r="B1239" s="5" t="inlineStr">
        <is>
          <t>R01235</t>
        </is>
      </c>
      <c r="C1239" s="5" t="inlineStr">
        <is>
          <t>MTR-DYE-001</t>
        </is>
      </c>
      <c r="D1239" s="5" t="inlineStr">
        <is>
          <t>Dyeing Hall</t>
        </is>
      </c>
      <c r="E1239" s="5" t="inlineStr">
        <is>
          <t>Dyeing Line A</t>
        </is>
      </c>
      <c r="F1239" s="5" t="inlineStr">
        <is>
          <t>2024-05-17 08:00</t>
        </is>
      </c>
      <c r="G1239" s="11" t="n">
        <v>130591.73</v>
      </c>
      <c r="H1239" s="5" t="inlineStr">
        <is>
          <t>m3</t>
        </is>
      </c>
      <c r="I1239" s="5" t="inlineStr">
        <is>
          <t>cumulative</t>
        </is>
      </c>
      <c r="J1239" s="5" t="inlineStr">
        <is>
          <t>CD</t>
        </is>
      </c>
      <c r="K1239" s="5" t="inlineStr"/>
      <c r="L1239" s="7">
        <f>IFERROR(IF(F1239&lt;F1238,"NEGATIVE",ROUND(F1239-F1238,2)),"")</f>
        <v/>
      </c>
    </row>
    <row r="1240" ht="22" customHeight="1">
      <c r="B1240" s="8" t="inlineStr">
        <is>
          <t>R01236</t>
        </is>
      </c>
      <c r="C1240" s="8" t="inlineStr">
        <is>
          <t>MTR-DYE-001</t>
        </is>
      </c>
      <c r="D1240" s="8" t="inlineStr">
        <is>
          <t>Dyeing Hall</t>
        </is>
      </c>
      <c r="E1240" s="8" t="inlineStr">
        <is>
          <t>Dyeing Line A</t>
        </is>
      </c>
      <c r="F1240" s="8" t="inlineStr">
        <is>
          <t>2024-05-18 08:00</t>
        </is>
      </c>
      <c r="G1240" s="12" t="n">
        <v>130631.03</v>
      </c>
      <c r="H1240" s="8" t="inlineStr">
        <is>
          <t>m3</t>
        </is>
      </c>
      <c r="I1240" s="8" t="inlineStr">
        <is>
          <t>cumulative</t>
        </is>
      </c>
      <c r="J1240" s="8" t="inlineStr">
        <is>
          <t>EF</t>
        </is>
      </c>
      <c r="K1240" s="8" t="inlineStr"/>
      <c r="L1240" s="10">
        <f>IFERROR(IF(F1240&lt;F1239,"NEGATIVE",ROUND(F1240-F1239,2)),"")</f>
        <v/>
      </c>
    </row>
    <row r="1241" ht="22" customHeight="1">
      <c r="B1241" s="5" t="inlineStr">
        <is>
          <t>R01237</t>
        </is>
      </c>
      <c r="C1241" s="5" t="inlineStr">
        <is>
          <t>MTR-DYE-001</t>
        </is>
      </c>
      <c r="D1241" s="5" t="inlineStr">
        <is>
          <t>Dyeing Hall</t>
        </is>
      </c>
      <c r="E1241" s="5" t="inlineStr">
        <is>
          <t>Dyeing Line A</t>
        </is>
      </c>
      <c r="F1241" s="5" t="inlineStr">
        <is>
          <t>2024-05-19 08:00</t>
        </is>
      </c>
      <c r="G1241" s="11" t="n">
        <v>130660.9</v>
      </c>
      <c r="H1241" s="5" t="inlineStr">
        <is>
          <t>m3</t>
        </is>
      </c>
      <c r="I1241" s="5" t="inlineStr">
        <is>
          <t>cumulative</t>
        </is>
      </c>
      <c r="J1241" s="5" t="inlineStr">
        <is>
          <t>GH</t>
        </is>
      </c>
      <c r="K1241" s="5" t="inlineStr"/>
      <c r="L1241" s="7">
        <f>IFERROR(IF(F1241&lt;F1240,"NEGATIVE",ROUND(F1241-F1240,2)),"")</f>
        <v/>
      </c>
    </row>
    <row r="1242" ht="22" customHeight="1">
      <c r="B1242" s="8" t="inlineStr">
        <is>
          <t>R01238</t>
        </is>
      </c>
      <c r="C1242" s="8" t="inlineStr">
        <is>
          <t>MTR-DYE-001</t>
        </is>
      </c>
      <c r="D1242" s="8" t="inlineStr">
        <is>
          <t>Dyeing Hall</t>
        </is>
      </c>
      <c r="E1242" s="8" t="inlineStr">
        <is>
          <t>Dyeing Line A</t>
        </is>
      </c>
      <c r="F1242" s="8" t="inlineStr">
        <is>
          <t>2024-05-20 08:00</t>
        </is>
      </c>
      <c r="G1242" s="12" t="n">
        <v>130707.65</v>
      </c>
      <c r="H1242" s="8" t="inlineStr">
        <is>
          <t>m3</t>
        </is>
      </c>
      <c r="I1242" s="8" t="inlineStr">
        <is>
          <t>cumulative</t>
        </is>
      </c>
      <c r="J1242" s="8" t="inlineStr">
        <is>
          <t>EF</t>
        </is>
      </c>
      <c r="K1242" s="8" t="inlineStr"/>
      <c r="L1242" s="10">
        <f>IFERROR(IF(F1242&lt;F1241,"NEGATIVE",ROUND(F1242-F1241,2)),"")</f>
        <v/>
      </c>
    </row>
    <row r="1243" ht="22" customHeight="1">
      <c r="B1243" s="5" t="inlineStr">
        <is>
          <t>R01239</t>
        </is>
      </c>
      <c r="C1243" s="5" t="inlineStr">
        <is>
          <t>MTR-DYE-001</t>
        </is>
      </c>
      <c r="D1243" s="5" t="inlineStr">
        <is>
          <t>Dyeing Hall</t>
        </is>
      </c>
      <c r="E1243" s="5" t="inlineStr">
        <is>
          <t>Dyeing Line A</t>
        </is>
      </c>
      <c r="F1243" s="5" t="inlineStr">
        <is>
          <t>2024-05-21 08:00</t>
        </is>
      </c>
      <c r="G1243" s="11" t="n">
        <v>130762.11</v>
      </c>
      <c r="H1243" s="5" t="inlineStr">
        <is>
          <t>m3</t>
        </is>
      </c>
      <c r="I1243" s="5" t="inlineStr">
        <is>
          <t>cumulative</t>
        </is>
      </c>
      <c r="J1243" s="5" t="inlineStr">
        <is>
          <t>AB</t>
        </is>
      </c>
      <c r="K1243" s="5" t="inlineStr"/>
      <c r="L1243" s="7">
        <f>IFERROR(IF(F1243&lt;F1242,"NEGATIVE",ROUND(F1243-F1242,2)),"")</f>
        <v/>
      </c>
    </row>
    <row r="1244" ht="22" customHeight="1">
      <c r="B1244" s="8" t="inlineStr">
        <is>
          <t>R01240</t>
        </is>
      </c>
      <c r="C1244" s="8" t="inlineStr">
        <is>
          <t>MTR-DYE-001</t>
        </is>
      </c>
      <c r="D1244" s="8" t="inlineStr">
        <is>
          <t>Dyeing Hall</t>
        </is>
      </c>
      <c r="E1244" s="8" t="inlineStr">
        <is>
          <t>Dyeing Line A</t>
        </is>
      </c>
      <c r="F1244" s="8" t="inlineStr">
        <is>
          <t>2024-05-22 08:00</t>
        </is>
      </c>
      <c r="G1244" s="12" t="n">
        <v>130817.64</v>
      </c>
      <c r="H1244" s="8" t="inlineStr">
        <is>
          <t>m3</t>
        </is>
      </c>
      <c r="I1244" s="8" t="inlineStr">
        <is>
          <t>cumulative</t>
        </is>
      </c>
      <c r="J1244" s="8" t="inlineStr">
        <is>
          <t>AB</t>
        </is>
      </c>
      <c r="K1244" s="8" t="inlineStr"/>
      <c r="L1244" s="10">
        <f>IFERROR(IF(F1244&lt;F1243,"NEGATIVE",ROUND(F1244-F1243,2)),"")</f>
        <v/>
      </c>
    </row>
    <row r="1245" ht="22" customHeight="1">
      <c r="B1245" s="5" t="inlineStr">
        <is>
          <t>R01241</t>
        </is>
      </c>
      <c r="C1245" s="5" t="inlineStr">
        <is>
          <t>MTR-DYE-001</t>
        </is>
      </c>
      <c r="D1245" s="5" t="inlineStr">
        <is>
          <t>Dyeing Hall</t>
        </is>
      </c>
      <c r="E1245" s="5" t="inlineStr">
        <is>
          <t>Dyeing Line A</t>
        </is>
      </c>
      <c r="F1245" s="5" t="inlineStr">
        <is>
          <t>2024-05-23 08:00</t>
        </is>
      </c>
      <c r="G1245" s="11" t="n">
        <v>130872.71</v>
      </c>
      <c r="H1245" s="5" t="inlineStr">
        <is>
          <t>m3</t>
        </is>
      </c>
      <c r="I1245" s="5" t="inlineStr">
        <is>
          <t>cumulative</t>
        </is>
      </c>
      <c r="J1245" s="5" t="inlineStr">
        <is>
          <t>EF</t>
        </is>
      </c>
      <c r="K1245" s="5" t="inlineStr"/>
      <c r="L1245" s="7">
        <f>IFERROR(IF(F1245&lt;F1244,"NEGATIVE",ROUND(F1245-F1244,2)),"")</f>
        <v/>
      </c>
    </row>
    <row r="1246" ht="22" customHeight="1">
      <c r="B1246" s="8" t="inlineStr">
        <is>
          <t>R01242</t>
        </is>
      </c>
      <c r="C1246" s="8" t="inlineStr">
        <is>
          <t>MTR-DYE-001</t>
        </is>
      </c>
      <c r="D1246" s="8" t="inlineStr">
        <is>
          <t>Dyeing Hall</t>
        </is>
      </c>
      <c r="E1246" s="8" t="inlineStr">
        <is>
          <t>Dyeing Line A</t>
        </is>
      </c>
      <c r="F1246" s="8" t="inlineStr">
        <is>
          <t>2024-05-24 08:00</t>
        </is>
      </c>
      <c r="G1246" s="12" t="n">
        <v>130929.71</v>
      </c>
      <c r="H1246" s="8" t="inlineStr">
        <is>
          <t>m3</t>
        </is>
      </c>
      <c r="I1246" s="8" t="inlineStr">
        <is>
          <t>cumulative</t>
        </is>
      </c>
      <c r="J1246" s="8" t="inlineStr">
        <is>
          <t>CD</t>
        </is>
      </c>
      <c r="K1246" s="8" t="inlineStr"/>
      <c r="L1246" s="10">
        <f>IFERROR(IF(F1246&lt;F1245,"NEGATIVE",ROUND(F1246-F1245,2)),"")</f>
        <v/>
      </c>
    </row>
    <row r="1247" ht="22" customHeight="1">
      <c r="B1247" s="5" t="inlineStr">
        <is>
          <t>R01243</t>
        </is>
      </c>
      <c r="C1247" s="5" t="inlineStr">
        <is>
          <t>MTR-DYE-001</t>
        </is>
      </c>
      <c r="D1247" s="5" t="inlineStr">
        <is>
          <t>Dyeing Hall</t>
        </is>
      </c>
      <c r="E1247" s="5" t="inlineStr">
        <is>
          <t>Dyeing Line A</t>
        </is>
      </c>
      <c r="F1247" s="5" t="inlineStr">
        <is>
          <t>2024-05-25 08:00</t>
        </is>
      </c>
      <c r="G1247" s="11" t="n">
        <v>130976.55</v>
      </c>
      <c r="H1247" s="5" t="inlineStr">
        <is>
          <t>m3</t>
        </is>
      </c>
      <c r="I1247" s="5" t="inlineStr">
        <is>
          <t>cumulative</t>
        </is>
      </c>
      <c r="J1247" s="5" t="inlineStr">
        <is>
          <t>AB</t>
        </is>
      </c>
      <c r="K1247" s="5" t="inlineStr"/>
      <c r="L1247" s="7">
        <f>IFERROR(IF(F1247&lt;F1246,"NEGATIVE",ROUND(F1247-F1246,2)),"")</f>
        <v/>
      </c>
    </row>
    <row r="1248" ht="22" customHeight="1">
      <c r="B1248" s="8" t="inlineStr">
        <is>
          <t>R01244</t>
        </is>
      </c>
      <c r="C1248" s="8" t="inlineStr">
        <is>
          <t>MTR-DYE-001</t>
        </is>
      </c>
      <c r="D1248" s="8" t="inlineStr">
        <is>
          <t>Dyeing Hall</t>
        </is>
      </c>
      <c r="E1248" s="8" t="inlineStr">
        <is>
          <t>Dyeing Line A</t>
        </is>
      </c>
      <c r="F1248" s="8" t="inlineStr">
        <is>
          <t>2024-05-26 08:00</t>
        </is>
      </c>
      <c r="G1248" s="12" t="n">
        <v>131003.42</v>
      </c>
      <c r="H1248" s="8" t="inlineStr">
        <is>
          <t>m3</t>
        </is>
      </c>
      <c r="I1248" s="8" t="inlineStr">
        <is>
          <t>cumulative</t>
        </is>
      </c>
      <c r="J1248" s="8" t="inlineStr">
        <is>
          <t>IJ</t>
        </is>
      </c>
      <c r="K1248" s="8" t="inlineStr"/>
      <c r="L1248" s="10">
        <f>IFERROR(IF(F1248&lt;F1247,"NEGATIVE",ROUND(F1248-F1247,2)),"")</f>
        <v/>
      </c>
    </row>
    <row r="1249" ht="22" customHeight="1">
      <c r="B1249" s="5" t="inlineStr">
        <is>
          <t>R01245</t>
        </is>
      </c>
      <c r="C1249" s="5" t="inlineStr">
        <is>
          <t>MTR-DYE-001</t>
        </is>
      </c>
      <c r="D1249" s="5" t="inlineStr">
        <is>
          <t>Dyeing Hall</t>
        </is>
      </c>
      <c r="E1249" s="5" t="inlineStr">
        <is>
          <t>Dyeing Line A</t>
        </is>
      </c>
      <c r="F1249" s="5" t="inlineStr">
        <is>
          <t>2024-05-27 08:00</t>
        </is>
      </c>
      <c r="G1249" s="11" t="n">
        <v>131055.34</v>
      </c>
      <c r="H1249" s="5" t="inlineStr">
        <is>
          <t>m3</t>
        </is>
      </c>
      <c r="I1249" s="5" t="inlineStr">
        <is>
          <t>cumulative</t>
        </is>
      </c>
      <c r="J1249" s="5" t="inlineStr">
        <is>
          <t>GH</t>
        </is>
      </c>
      <c r="K1249" s="5" t="inlineStr"/>
      <c r="L1249" s="7">
        <f>IFERROR(IF(F1249&lt;F1248,"NEGATIVE",ROUND(F1249-F1248,2)),"")</f>
        <v/>
      </c>
    </row>
    <row r="1250" ht="22" customHeight="1">
      <c r="B1250" s="8" t="inlineStr">
        <is>
          <t>R01246</t>
        </is>
      </c>
      <c r="C1250" s="8" t="inlineStr">
        <is>
          <t>MTR-DYE-001</t>
        </is>
      </c>
      <c r="D1250" s="8" t="inlineStr">
        <is>
          <t>Dyeing Hall</t>
        </is>
      </c>
      <c r="E1250" s="8" t="inlineStr">
        <is>
          <t>Dyeing Line A</t>
        </is>
      </c>
      <c r="F1250" s="8" t="inlineStr">
        <is>
          <t>2024-05-28 08:00</t>
        </is>
      </c>
      <c r="G1250" s="12" t="n">
        <v>131111.87</v>
      </c>
      <c r="H1250" s="8" t="inlineStr">
        <is>
          <t>m3</t>
        </is>
      </c>
      <c r="I1250" s="8" t="inlineStr">
        <is>
          <t>cumulative</t>
        </is>
      </c>
      <c r="J1250" s="8" t="inlineStr">
        <is>
          <t>AB</t>
        </is>
      </c>
      <c r="K1250" s="8" t="inlineStr"/>
      <c r="L1250" s="10">
        <f>IFERROR(IF(F1250&lt;F1249,"NEGATIVE",ROUND(F1250-F1249,2)),"")</f>
        <v/>
      </c>
    </row>
    <row r="1251" ht="22" customHeight="1">
      <c r="B1251" s="5" t="inlineStr">
        <is>
          <t>R01247</t>
        </is>
      </c>
      <c r="C1251" s="5" t="inlineStr">
        <is>
          <t>MTR-DYE-001</t>
        </is>
      </c>
      <c r="D1251" s="5" t="inlineStr">
        <is>
          <t>Dyeing Hall</t>
        </is>
      </c>
      <c r="E1251" s="5" t="inlineStr">
        <is>
          <t>Dyeing Line A</t>
        </is>
      </c>
      <c r="F1251" s="5" t="inlineStr">
        <is>
          <t>2024-05-29 08:00</t>
        </is>
      </c>
      <c r="G1251" s="11" t="n">
        <v>131163.62</v>
      </c>
      <c r="H1251" s="5" t="inlineStr">
        <is>
          <t>m3</t>
        </is>
      </c>
      <c r="I1251" s="5" t="inlineStr">
        <is>
          <t>cumulative</t>
        </is>
      </c>
      <c r="J1251" s="5" t="inlineStr">
        <is>
          <t>KL</t>
        </is>
      </c>
      <c r="K1251" s="5" t="inlineStr"/>
      <c r="L1251" s="7">
        <f>IFERROR(IF(F1251&lt;F1250,"NEGATIVE",ROUND(F1251-F1250,2)),"")</f>
        <v/>
      </c>
    </row>
    <row r="1252" ht="22" customHeight="1">
      <c r="B1252" s="8" t="inlineStr">
        <is>
          <t>R01248</t>
        </is>
      </c>
      <c r="C1252" s="8" t="inlineStr">
        <is>
          <t>MTR-DYE-001</t>
        </is>
      </c>
      <c r="D1252" s="8" t="inlineStr">
        <is>
          <t>Dyeing Hall</t>
        </is>
      </c>
      <c r="E1252" s="8" t="inlineStr">
        <is>
          <t>Dyeing Line A</t>
        </is>
      </c>
      <c r="F1252" s="8" t="inlineStr">
        <is>
          <t>2024-05-30 08:00</t>
        </is>
      </c>
      <c r="G1252" s="12" t="n">
        <v>131215.05</v>
      </c>
      <c r="H1252" s="8" t="inlineStr">
        <is>
          <t>m3</t>
        </is>
      </c>
      <c r="I1252" s="8" t="inlineStr">
        <is>
          <t>cumulative</t>
        </is>
      </c>
      <c r="J1252" s="8" t="inlineStr">
        <is>
          <t>IJ</t>
        </is>
      </c>
      <c r="K1252" s="8" t="inlineStr"/>
      <c r="L1252" s="10">
        <f>IFERROR(IF(F1252&lt;F1251,"NEGATIVE",ROUND(F1252-F1251,2)),"")</f>
        <v/>
      </c>
    </row>
    <row r="1253" ht="22" customHeight="1">
      <c r="B1253" s="5" t="inlineStr">
        <is>
          <t>R01249</t>
        </is>
      </c>
      <c r="C1253" s="5" t="inlineStr">
        <is>
          <t>MTR-DYE-001</t>
        </is>
      </c>
      <c r="D1253" s="5" t="inlineStr">
        <is>
          <t>Dyeing Hall</t>
        </is>
      </c>
      <c r="E1253" s="5" t="inlineStr">
        <is>
          <t>Dyeing Line A</t>
        </is>
      </c>
      <c r="F1253" s="5" t="inlineStr">
        <is>
          <t>2024-05-31 08:00</t>
        </is>
      </c>
      <c r="G1253" s="11" t="n">
        <v>131263.78</v>
      </c>
      <c r="H1253" s="5" t="inlineStr">
        <is>
          <t>m3</t>
        </is>
      </c>
      <c r="I1253" s="5" t="inlineStr">
        <is>
          <t>cumulative</t>
        </is>
      </c>
      <c r="J1253" s="5" t="inlineStr">
        <is>
          <t>KL</t>
        </is>
      </c>
      <c r="K1253" s="5" t="inlineStr"/>
      <c r="L1253" s="7">
        <f>IFERROR(IF(F1253&lt;F1252,"NEGATIVE",ROUND(F1253-F1252,2)),"")</f>
        <v/>
      </c>
    </row>
    <row r="1254" ht="22" customHeight="1">
      <c r="B1254" s="8" t="inlineStr">
        <is>
          <t>R01250</t>
        </is>
      </c>
      <c r="C1254" s="8" t="inlineStr">
        <is>
          <t>MTR-DYE-001</t>
        </is>
      </c>
      <c r="D1254" s="8" t="inlineStr">
        <is>
          <t>Dyeing Hall</t>
        </is>
      </c>
      <c r="E1254" s="8" t="inlineStr">
        <is>
          <t>Dyeing Line A</t>
        </is>
      </c>
      <c r="F1254" s="8" t="inlineStr">
        <is>
          <t>2024-06-01 08:00</t>
        </is>
      </c>
      <c r="G1254" s="12" t="n">
        <v>131308.74</v>
      </c>
      <c r="H1254" s="8" t="inlineStr">
        <is>
          <t>m3</t>
        </is>
      </c>
      <c r="I1254" s="8" t="inlineStr">
        <is>
          <t>cumulative</t>
        </is>
      </c>
      <c r="J1254" s="8" t="inlineStr">
        <is>
          <t>IJ</t>
        </is>
      </c>
      <c r="K1254" s="8" t="inlineStr"/>
      <c r="L1254" s="10">
        <f>IFERROR(IF(F1254&lt;F1253,"NEGATIVE",ROUND(F1254-F1253,2)),"")</f>
        <v/>
      </c>
    </row>
    <row r="1255" ht="22" customHeight="1">
      <c r="B1255" s="5" t="inlineStr">
        <is>
          <t>R01251</t>
        </is>
      </c>
      <c r="C1255" s="5" t="inlineStr">
        <is>
          <t>MTR-DYE-001</t>
        </is>
      </c>
      <c r="D1255" s="5" t="inlineStr">
        <is>
          <t>Dyeing Hall</t>
        </is>
      </c>
      <c r="E1255" s="5" t="inlineStr">
        <is>
          <t>Dyeing Line A</t>
        </is>
      </c>
      <c r="F1255" s="5" t="inlineStr">
        <is>
          <t>2024-06-02 08:00</t>
        </is>
      </c>
      <c r="G1255" s="11" t="n">
        <v>131333.94</v>
      </c>
      <c r="H1255" s="5" t="inlineStr">
        <is>
          <t>m3</t>
        </is>
      </c>
      <c r="I1255" s="5" t="inlineStr">
        <is>
          <t>cumulative</t>
        </is>
      </c>
      <c r="J1255" s="5" t="inlineStr">
        <is>
          <t>EF</t>
        </is>
      </c>
      <c r="K1255" s="5" t="inlineStr"/>
      <c r="L1255" s="7">
        <f>IFERROR(IF(F1255&lt;F1254,"NEGATIVE",ROUND(F1255-F1254,2)),"")</f>
        <v/>
      </c>
    </row>
    <row r="1256" ht="22" customHeight="1">
      <c r="B1256" s="8" t="inlineStr">
        <is>
          <t>R01252</t>
        </is>
      </c>
      <c r="C1256" s="8" t="inlineStr">
        <is>
          <t>MTR-DYE-001</t>
        </is>
      </c>
      <c r="D1256" s="8" t="inlineStr">
        <is>
          <t>Dyeing Hall</t>
        </is>
      </c>
      <c r="E1256" s="8" t="inlineStr">
        <is>
          <t>Dyeing Line A</t>
        </is>
      </c>
      <c r="F1256" s="8" t="inlineStr">
        <is>
          <t>2024-06-03 08:00</t>
        </is>
      </c>
      <c r="G1256" s="12" t="n">
        <v>131382.94</v>
      </c>
      <c r="H1256" s="8" t="inlineStr">
        <is>
          <t>m3</t>
        </is>
      </c>
      <c r="I1256" s="8" t="inlineStr">
        <is>
          <t>cumulative</t>
        </is>
      </c>
      <c r="J1256" s="8" t="inlineStr">
        <is>
          <t>KL</t>
        </is>
      </c>
      <c r="K1256" s="8" t="inlineStr"/>
      <c r="L1256" s="10">
        <f>IFERROR(IF(F1256&lt;F1255,"NEGATIVE",ROUND(F1256-F1255,2)),"")</f>
        <v/>
      </c>
    </row>
    <row r="1257" ht="22" customHeight="1">
      <c r="B1257" s="5" t="inlineStr">
        <is>
          <t>R01253</t>
        </is>
      </c>
      <c r="C1257" s="5" t="inlineStr">
        <is>
          <t>MTR-DYE-001</t>
        </is>
      </c>
      <c r="D1257" s="5" t="inlineStr">
        <is>
          <t>Dyeing Hall</t>
        </is>
      </c>
      <c r="E1257" s="5" t="inlineStr">
        <is>
          <t>Dyeing Line A</t>
        </is>
      </c>
      <c r="F1257" s="5" t="inlineStr">
        <is>
          <t>2024-06-04 08:00</t>
        </is>
      </c>
      <c r="G1257" s="11" t="n">
        <v>131443.01</v>
      </c>
      <c r="H1257" s="5" t="inlineStr">
        <is>
          <t>m3</t>
        </is>
      </c>
      <c r="I1257" s="5" t="inlineStr">
        <is>
          <t>cumulative</t>
        </is>
      </c>
      <c r="J1257" s="5" t="inlineStr">
        <is>
          <t>KL</t>
        </is>
      </c>
      <c r="K1257" s="5" t="inlineStr"/>
      <c r="L1257" s="7">
        <f>IFERROR(IF(F1257&lt;F1256,"NEGATIVE",ROUND(F1257-F1256,2)),"")</f>
        <v/>
      </c>
    </row>
    <row r="1258" ht="22" customHeight="1">
      <c r="B1258" s="8" t="inlineStr">
        <is>
          <t>R01254</t>
        </is>
      </c>
      <c r="C1258" s="8" t="inlineStr">
        <is>
          <t>MTR-DYE-001</t>
        </is>
      </c>
      <c r="D1258" s="8" t="inlineStr">
        <is>
          <t>Dyeing Hall</t>
        </is>
      </c>
      <c r="E1258" s="8" t="inlineStr">
        <is>
          <t>Dyeing Line A</t>
        </is>
      </c>
      <c r="F1258" s="8" t="inlineStr">
        <is>
          <t>2024-06-05 08:00</t>
        </is>
      </c>
      <c r="G1258" s="12" t="n">
        <v>131489.63</v>
      </c>
      <c r="H1258" s="8" t="inlineStr">
        <is>
          <t>m3</t>
        </is>
      </c>
      <c r="I1258" s="8" t="inlineStr">
        <is>
          <t>cumulative</t>
        </is>
      </c>
      <c r="J1258" s="8" t="inlineStr">
        <is>
          <t>IJ</t>
        </is>
      </c>
      <c r="K1258" s="8" t="inlineStr"/>
      <c r="L1258" s="10">
        <f>IFERROR(IF(F1258&lt;F1257,"NEGATIVE",ROUND(F1258-F1257,2)),"")</f>
        <v/>
      </c>
    </row>
    <row r="1259" ht="22" customHeight="1">
      <c r="B1259" s="5" t="inlineStr">
        <is>
          <t>R01255</t>
        </is>
      </c>
      <c r="C1259" s="5" t="inlineStr">
        <is>
          <t>MTR-DYE-001</t>
        </is>
      </c>
      <c r="D1259" s="5" t="inlineStr">
        <is>
          <t>Dyeing Hall</t>
        </is>
      </c>
      <c r="E1259" s="5" t="inlineStr">
        <is>
          <t>Dyeing Line A</t>
        </is>
      </c>
      <c r="F1259" s="5" t="inlineStr">
        <is>
          <t>2024-06-06 08:00</t>
        </is>
      </c>
      <c r="G1259" s="11" t="n">
        <v>131543.62</v>
      </c>
      <c r="H1259" s="5" t="inlineStr">
        <is>
          <t>m3</t>
        </is>
      </c>
      <c r="I1259" s="5" t="inlineStr">
        <is>
          <t>cumulative</t>
        </is>
      </c>
      <c r="J1259" s="5" t="inlineStr">
        <is>
          <t>GH</t>
        </is>
      </c>
      <c r="K1259" s="5" t="inlineStr"/>
      <c r="L1259" s="7">
        <f>IFERROR(IF(F1259&lt;F1258,"NEGATIVE",ROUND(F1259-F1258,2)),"")</f>
        <v/>
      </c>
    </row>
    <row r="1260" ht="22" customHeight="1">
      <c r="B1260" s="8" t="inlineStr">
        <is>
          <t>R01256</t>
        </is>
      </c>
      <c r="C1260" s="8" t="inlineStr">
        <is>
          <t>MTR-DYE-001</t>
        </is>
      </c>
      <c r="D1260" s="8" t="inlineStr">
        <is>
          <t>Dyeing Hall</t>
        </is>
      </c>
      <c r="E1260" s="8" t="inlineStr">
        <is>
          <t>Dyeing Line A</t>
        </is>
      </c>
      <c r="F1260" s="8" t="inlineStr">
        <is>
          <t>2024-06-07 08:00</t>
        </is>
      </c>
      <c r="G1260" s="12" t="n">
        <v>131600.24</v>
      </c>
      <c r="H1260" s="8" t="inlineStr">
        <is>
          <t>m3</t>
        </is>
      </c>
      <c r="I1260" s="8" t="inlineStr">
        <is>
          <t>cumulative</t>
        </is>
      </c>
      <c r="J1260" s="8" t="inlineStr">
        <is>
          <t>CD</t>
        </is>
      </c>
      <c r="K1260" s="8" t="inlineStr"/>
      <c r="L1260" s="10">
        <f>IFERROR(IF(F1260&lt;F1259,"NEGATIVE",ROUND(F1260-F1259,2)),"")</f>
        <v/>
      </c>
    </row>
    <row r="1261" ht="22" customHeight="1">
      <c r="B1261" s="5" t="inlineStr">
        <is>
          <t>R01257</t>
        </is>
      </c>
      <c r="C1261" s="5" t="inlineStr">
        <is>
          <t>MTR-DYE-001</t>
        </is>
      </c>
      <c r="D1261" s="5" t="inlineStr">
        <is>
          <t>Dyeing Hall</t>
        </is>
      </c>
      <c r="E1261" s="5" t="inlineStr">
        <is>
          <t>Dyeing Line A</t>
        </is>
      </c>
      <c r="F1261" s="5" t="inlineStr">
        <is>
          <t>2024-06-08 08:00</t>
        </is>
      </c>
      <c r="G1261" s="11" t="n">
        <v>131640.6</v>
      </c>
      <c r="H1261" s="5" t="inlineStr">
        <is>
          <t>m3</t>
        </is>
      </c>
      <c r="I1261" s="5" t="inlineStr">
        <is>
          <t>cumulative</t>
        </is>
      </c>
      <c r="J1261" s="5" t="inlineStr">
        <is>
          <t>IJ</t>
        </is>
      </c>
      <c r="K1261" s="5" t="inlineStr"/>
      <c r="L1261" s="7">
        <f>IFERROR(IF(F1261&lt;F1260,"NEGATIVE",ROUND(F1261-F1260,2)),"")</f>
        <v/>
      </c>
    </row>
    <row r="1262" ht="22" customHeight="1">
      <c r="B1262" s="8" t="inlineStr">
        <is>
          <t>R01258</t>
        </is>
      </c>
      <c r="C1262" s="8" t="inlineStr">
        <is>
          <t>MTR-DYE-001</t>
        </is>
      </c>
      <c r="D1262" s="8" t="inlineStr">
        <is>
          <t>Dyeing Hall</t>
        </is>
      </c>
      <c r="E1262" s="8" t="inlineStr">
        <is>
          <t>Dyeing Line A</t>
        </is>
      </c>
      <c r="F1262" s="8" t="inlineStr">
        <is>
          <t>2024-06-09 08:00</t>
        </is>
      </c>
      <c r="G1262" s="12" t="n">
        <v>131669.08</v>
      </c>
      <c r="H1262" s="8" t="inlineStr">
        <is>
          <t>m3</t>
        </is>
      </c>
      <c r="I1262" s="8" t="inlineStr">
        <is>
          <t>cumulative</t>
        </is>
      </c>
      <c r="J1262" s="8" t="inlineStr">
        <is>
          <t>CD</t>
        </is>
      </c>
      <c r="K1262" s="8" t="inlineStr"/>
      <c r="L1262" s="10">
        <f>IFERROR(IF(F1262&lt;F1261,"NEGATIVE",ROUND(F1262-F1261,2)),"")</f>
        <v/>
      </c>
    </row>
    <row r="1263" ht="22" customHeight="1">
      <c r="B1263" s="5" t="inlineStr">
        <is>
          <t>R01259</t>
        </is>
      </c>
      <c r="C1263" s="5" t="inlineStr">
        <is>
          <t>MTR-DYE-001</t>
        </is>
      </c>
      <c r="D1263" s="5" t="inlineStr">
        <is>
          <t>Dyeing Hall</t>
        </is>
      </c>
      <c r="E1263" s="5" t="inlineStr">
        <is>
          <t>Dyeing Line A</t>
        </is>
      </c>
      <c r="F1263" s="5" t="inlineStr">
        <is>
          <t>2024-06-10 08:00</t>
        </is>
      </c>
      <c r="G1263" s="11" t="n">
        <v>131716.59</v>
      </c>
      <c r="H1263" s="5" t="inlineStr">
        <is>
          <t>m3</t>
        </is>
      </c>
      <c r="I1263" s="5" t="inlineStr">
        <is>
          <t>cumulative</t>
        </is>
      </c>
      <c r="J1263" s="5" t="inlineStr">
        <is>
          <t>KL</t>
        </is>
      </c>
      <c r="K1263" s="5" t="inlineStr"/>
      <c r="L1263" s="7">
        <f>IFERROR(IF(F1263&lt;F1262,"NEGATIVE",ROUND(F1263-F1262,2)),"")</f>
        <v/>
      </c>
    </row>
    <row r="1264" ht="22" customHeight="1">
      <c r="B1264" s="8" t="inlineStr">
        <is>
          <t>R01260</t>
        </is>
      </c>
      <c r="C1264" s="8" t="inlineStr">
        <is>
          <t>MTR-DYE-001</t>
        </is>
      </c>
      <c r="D1264" s="8" t="inlineStr">
        <is>
          <t>Dyeing Hall</t>
        </is>
      </c>
      <c r="E1264" s="8" t="inlineStr">
        <is>
          <t>Dyeing Line A</t>
        </is>
      </c>
      <c r="F1264" s="8" t="inlineStr">
        <is>
          <t>2024-06-11 08:00</t>
        </is>
      </c>
      <c r="G1264" s="12" t="n">
        <v>131778.37</v>
      </c>
      <c r="H1264" s="8" t="inlineStr">
        <is>
          <t>m3</t>
        </is>
      </c>
      <c r="I1264" s="8" t="inlineStr">
        <is>
          <t>cumulative</t>
        </is>
      </c>
      <c r="J1264" s="8" t="inlineStr">
        <is>
          <t>GH</t>
        </is>
      </c>
      <c r="K1264" s="8" t="inlineStr"/>
      <c r="L1264" s="10">
        <f>IFERROR(IF(F1264&lt;F1263,"NEGATIVE",ROUND(F1264-F1263,2)),"")</f>
        <v/>
      </c>
    </row>
    <row r="1265" ht="22" customHeight="1">
      <c r="B1265" s="5" t="inlineStr">
        <is>
          <t>R01261</t>
        </is>
      </c>
      <c r="C1265" s="5" t="inlineStr">
        <is>
          <t>MTR-DYE-001</t>
        </is>
      </c>
      <c r="D1265" s="5" t="inlineStr">
        <is>
          <t>Dyeing Hall</t>
        </is>
      </c>
      <c r="E1265" s="5" t="inlineStr">
        <is>
          <t>Dyeing Line A</t>
        </is>
      </c>
      <c r="F1265" s="5" t="inlineStr">
        <is>
          <t>2024-06-12 08:00</t>
        </is>
      </c>
      <c r="G1265" s="11" t="n">
        <v>131830.1</v>
      </c>
      <c r="H1265" s="5" t="inlineStr">
        <is>
          <t>m3</t>
        </is>
      </c>
      <c r="I1265" s="5" t="inlineStr">
        <is>
          <t>cumulative</t>
        </is>
      </c>
      <c r="J1265" s="5" t="inlineStr">
        <is>
          <t>CD</t>
        </is>
      </c>
      <c r="K1265" s="5" t="inlineStr"/>
      <c r="L1265" s="7">
        <f>IFERROR(IF(F1265&lt;F1264,"NEGATIVE",ROUND(F1265-F1264,2)),"")</f>
        <v/>
      </c>
    </row>
    <row r="1266" ht="22" customHeight="1">
      <c r="B1266" s="8" t="inlineStr">
        <is>
          <t>R01262</t>
        </is>
      </c>
      <c r="C1266" s="8" t="inlineStr">
        <is>
          <t>MTR-DYE-001</t>
        </is>
      </c>
      <c r="D1266" s="8" t="inlineStr">
        <is>
          <t>Dyeing Hall</t>
        </is>
      </c>
      <c r="E1266" s="8" t="inlineStr">
        <is>
          <t>Dyeing Line A</t>
        </is>
      </c>
      <c r="F1266" s="8" t="inlineStr">
        <is>
          <t>2024-06-13 08:00</t>
        </is>
      </c>
      <c r="G1266" s="12" t="n">
        <v>131880.23</v>
      </c>
      <c r="H1266" s="8" t="inlineStr">
        <is>
          <t>m3</t>
        </is>
      </c>
      <c r="I1266" s="8" t="inlineStr">
        <is>
          <t>cumulative</t>
        </is>
      </c>
      <c r="J1266" s="8" t="inlineStr">
        <is>
          <t>AB</t>
        </is>
      </c>
      <c r="K1266" s="8" t="inlineStr"/>
      <c r="L1266" s="10">
        <f>IFERROR(IF(F1266&lt;F1265,"NEGATIVE",ROUND(F1266-F1265,2)),"")</f>
        <v/>
      </c>
    </row>
    <row r="1267" ht="22" customHeight="1">
      <c r="B1267" s="5" t="inlineStr">
        <is>
          <t>R01263</t>
        </is>
      </c>
      <c r="C1267" s="5" t="inlineStr">
        <is>
          <t>MTR-DYE-001</t>
        </is>
      </c>
      <c r="D1267" s="5" t="inlineStr">
        <is>
          <t>Dyeing Hall</t>
        </is>
      </c>
      <c r="E1267" s="5" t="inlineStr">
        <is>
          <t>Dyeing Line A</t>
        </is>
      </c>
      <c r="F1267" s="5" t="inlineStr">
        <is>
          <t>2024-06-14 08:00</t>
        </is>
      </c>
      <c r="G1267" s="11" t="n">
        <v>131939.68</v>
      </c>
      <c r="H1267" s="5" t="inlineStr">
        <is>
          <t>m3</t>
        </is>
      </c>
      <c r="I1267" s="5" t="inlineStr">
        <is>
          <t>cumulative</t>
        </is>
      </c>
      <c r="J1267" s="5" t="inlineStr">
        <is>
          <t>IJ</t>
        </is>
      </c>
      <c r="K1267" s="5" t="inlineStr"/>
      <c r="L1267" s="7">
        <f>IFERROR(IF(F1267&lt;F1266,"NEGATIVE",ROUND(F1267-F1266,2)),"")</f>
        <v/>
      </c>
    </row>
    <row r="1268" ht="22" customHeight="1">
      <c r="B1268" s="8" t="inlineStr">
        <is>
          <t>R01264</t>
        </is>
      </c>
      <c r="C1268" s="8" t="inlineStr">
        <is>
          <t>MTR-DYE-001</t>
        </is>
      </c>
      <c r="D1268" s="8" t="inlineStr">
        <is>
          <t>Dyeing Hall</t>
        </is>
      </c>
      <c r="E1268" s="8" t="inlineStr">
        <is>
          <t>Dyeing Line A</t>
        </is>
      </c>
      <c r="F1268" s="8" t="inlineStr">
        <is>
          <t>2024-06-15 08:00</t>
        </is>
      </c>
      <c r="G1268" s="12" t="n">
        <v>131989.54</v>
      </c>
      <c r="H1268" s="8" t="inlineStr">
        <is>
          <t>m3</t>
        </is>
      </c>
      <c r="I1268" s="8" t="inlineStr">
        <is>
          <t>cumulative</t>
        </is>
      </c>
      <c r="J1268" s="8" t="inlineStr">
        <is>
          <t>IJ</t>
        </is>
      </c>
      <c r="K1268" s="8" t="inlineStr"/>
      <c r="L1268" s="10">
        <f>IFERROR(IF(F1268&lt;F1267,"NEGATIVE",ROUND(F1268-F1267,2)),"")</f>
        <v/>
      </c>
    </row>
    <row r="1269" ht="22" customHeight="1">
      <c r="B1269" s="5" t="inlineStr">
        <is>
          <t>R01265</t>
        </is>
      </c>
      <c r="C1269" s="5" t="inlineStr">
        <is>
          <t>MTR-DYE-001</t>
        </is>
      </c>
      <c r="D1269" s="5" t="inlineStr">
        <is>
          <t>Dyeing Hall</t>
        </is>
      </c>
      <c r="E1269" s="5" t="inlineStr">
        <is>
          <t>Dyeing Line A</t>
        </is>
      </c>
      <c r="F1269" s="5" t="inlineStr">
        <is>
          <t>2024-06-16 08:00</t>
        </is>
      </c>
      <c r="G1269" s="11" t="n">
        <v>132018.32</v>
      </c>
      <c r="H1269" s="5" t="inlineStr">
        <is>
          <t>m3</t>
        </is>
      </c>
      <c r="I1269" s="5" t="inlineStr">
        <is>
          <t>cumulative</t>
        </is>
      </c>
      <c r="J1269" s="5" t="inlineStr">
        <is>
          <t>AB</t>
        </is>
      </c>
      <c r="K1269" s="5" t="inlineStr"/>
      <c r="L1269" s="7">
        <f>IFERROR(IF(F1269&lt;F1268,"NEGATIVE",ROUND(F1269-F1268,2)),"")</f>
        <v/>
      </c>
    </row>
    <row r="1270" ht="22" customHeight="1">
      <c r="B1270" s="8" t="inlineStr">
        <is>
          <t>R01266</t>
        </is>
      </c>
      <c r="C1270" s="8" t="inlineStr">
        <is>
          <t>MTR-DYE-001</t>
        </is>
      </c>
      <c r="D1270" s="8" t="inlineStr">
        <is>
          <t>Dyeing Hall</t>
        </is>
      </c>
      <c r="E1270" s="8" t="inlineStr">
        <is>
          <t>Dyeing Line A</t>
        </is>
      </c>
      <c r="F1270" s="8" t="inlineStr">
        <is>
          <t>2024-06-17 08:00</t>
        </is>
      </c>
      <c r="G1270" s="12" t="n">
        <v>132069.21</v>
      </c>
      <c r="H1270" s="8" t="inlineStr">
        <is>
          <t>m3</t>
        </is>
      </c>
      <c r="I1270" s="8" t="inlineStr">
        <is>
          <t>cumulative</t>
        </is>
      </c>
      <c r="J1270" s="8" t="inlineStr">
        <is>
          <t>GH</t>
        </is>
      </c>
      <c r="K1270" s="8" t="inlineStr"/>
      <c r="L1270" s="10">
        <f>IFERROR(IF(F1270&lt;F1269,"NEGATIVE",ROUND(F1270-F1269,2)),"")</f>
        <v/>
      </c>
    </row>
    <row r="1271" ht="22" customHeight="1">
      <c r="B1271" s="5" t="inlineStr">
        <is>
          <t>R01267</t>
        </is>
      </c>
      <c r="C1271" s="5" t="inlineStr">
        <is>
          <t>MTR-DYE-001</t>
        </is>
      </c>
      <c r="D1271" s="5" t="inlineStr">
        <is>
          <t>Dyeing Hall</t>
        </is>
      </c>
      <c r="E1271" s="5" t="inlineStr">
        <is>
          <t>Dyeing Line A</t>
        </is>
      </c>
      <c r="F1271" s="5" t="inlineStr">
        <is>
          <t>2024-06-18 08:00</t>
        </is>
      </c>
      <c r="G1271" s="11" t="n">
        <v>132124.49</v>
      </c>
      <c r="H1271" s="5" t="inlineStr">
        <is>
          <t>m3</t>
        </is>
      </c>
      <c r="I1271" s="5" t="inlineStr">
        <is>
          <t>cumulative</t>
        </is>
      </c>
      <c r="J1271" s="5" t="inlineStr">
        <is>
          <t>EF</t>
        </is>
      </c>
      <c r="K1271" s="5" t="inlineStr"/>
      <c r="L1271" s="7">
        <f>IFERROR(IF(F1271&lt;F1270,"NEGATIVE",ROUND(F1271-F1270,2)),"")</f>
        <v/>
      </c>
    </row>
    <row r="1272" ht="22" customHeight="1">
      <c r="B1272" s="8" t="inlineStr">
        <is>
          <t>R01268</t>
        </is>
      </c>
      <c r="C1272" s="8" t="inlineStr">
        <is>
          <t>MTR-DYE-001</t>
        </is>
      </c>
      <c r="D1272" s="8" t="inlineStr">
        <is>
          <t>Dyeing Hall</t>
        </is>
      </c>
      <c r="E1272" s="8" t="inlineStr">
        <is>
          <t>Dyeing Line A</t>
        </is>
      </c>
      <c r="F1272" s="8" t="inlineStr">
        <is>
          <t>2024-06-19 08:00</t>
        </is>
      </c>
      <c r="G1272" s="12" t="n">
        <v>132179.14</v>
      </c>
      <c r="H1272" s="8" t="inlineStr">
        <is>
          <t>m3</t>
        </is>
      </c>
      <c r="I1272" s="8" t="inlineStr">
        <is>
          <t>cumulative</t>
        </is>
      </c>
      <c r="J1272" s="8" t="inlineStr">
        <is>
          <t>CD</t>
        </is>
      </c>
      <c r="K1272" s="8" t="inlineStr"/>
      <c r="L1272" s="10">
        <f>IFERROR(IF(F1272&lt;F1271,"NEGATIVE",ROUND(F1272-F1271,2)),"")</f>
        <v/>
      </c>
    </row>
    <row r="1273" ht="22" customHeight="1">
      <c r="B1273" s="5" t="inlineStr">
        <is>
          <t>R01269</t>
        </is>
      </c>
      <c r="C1273" s="5" t="inlineStr">
        <is>
          <t>MTR-DYE-001</t>
        </is>
      </c>
      <c r="D1273" s="5" t="inlineStr">
        <is>
          <t>Dyeing Hall</t>
        </is>
      </c>
      <c r="E1273" s="5" t="inlineStr">
        <is>
          <t>Dyeing Line A</t>
        </is>
      </c>
      <c r="F1273" s="5" t="inlineStr">
        <is>
          <t>2024-06-20 08:00</t>
        </is>
      </c>
      <c r="G1273" s="11" t="n">
        <v>132230.81</v>
      </c>
      <c r="H1273" s="5" t="inlineStr">
        <is>
          <t>m3</t>
        </is>
      </c>
      <c r="I1273" s="5" t="inlineStr">
        <is>
          <t>cumulative</t>
        </is>
      </c>
      <c r="J1273" s="5" t="inlineStr">
        <is>
          <t>IJ</t>
        </is>
      </c>
      <c r="K1273" s="5" t="inlineStr"/>
      <c r="L1273" s="7">
        <f>IFERROR(IF(F1273&lt;F1272,"NEGATIVE",ROUND(F1273-F1272,2)),"")</f>
        <v/>
      </c>
    </row>
    <row r="1274" ht="22" customHeight="1">
      <c r="B1274" s="8" t="inlineStr">
        <is>
          <t>R01270</t>
        </is>
      </c>
      <c r="C1274" s="8" t="inlineStr">
        <is>
          <t>MTR-DYE-001</t>
        </is>
      </c>
      <c r="D1274" s="8" t="inlineStr">
        <is>
          <t>Dyeing Hall</t>
        </is>
      </c>
      <c r="E1274" s="8" t="inlineStr">
        <is>
          <t>Dyeing Line A</t>
        </is>
      </c>
      <c r="F1274" s="8" t="inlineStr">
        <is>
          <t>2024-06-21 08:00</t>
        </is>
      </c>
      <c r="G1274" s="12" t="n">
        <v>132282.01</v>
      </c>
      <c r="H1274" s="8" t="inlineStr">
        <is>
          <t>m3</t>
        </is>
      </c>
      <c r="I1274" s="8" t="inlineStr">
        <is>
          <t>cumulative</t>
        </is>
      </c>
      <c r="J1274" s="8" t="inlineStr">
        <is>
          <t>KL</t>
        </is>
      </c>
      <c r="K1274" s="8" t="inlineStr"/>
      <c r="L1274" s="10">
        <f>IFERROR(IF(F1274&lt;F1273,"NEGATIVE",ROUND(F1274-F1273,2)),"")</f>
        <v/>
      </c>
    </row>
    <row r="1275" ht="22" customHeight="1">
      <c r="B1275" s="5" t="inlineStr">
        <is>
          <t>R01271</t>
        </is>
      </c>
      <c r="C1275" s="5" t="inlineStr">
        <is>
          <t>MTR-DYE-001</t>
        </is>
      </c>
      <c r="D1275" s="5" t="inlineStr">
        <is>
          <t>Dyeing Hall</t>
        </is>
      </c>
      <c r="E1275" s="5" t="inlineStr">
        <is>
          <t>Dyeing Line A</t>
        </is>
      </c>
      <c r="F1275" s="5" t="inlineStr">
        <is>
          <t>2024-06-22 08:00</t>
        </is>
      </c>
      <c r="G1275" s="11" t="n">
        <v>132380.98</v>
      </c>
      <c r="H1275" s="5" t="inlineStr">
        <is>
          <t>m3</t>
        </is>
      </c>
      <c r="I1275" s="5" t="inlineStr">
        <is>
          <t>cumulative</t>
        </is>
      </c>
      <c r="J1275" s="5" t="inlineStr">
        <is>
          <t>GH</t>
        </is>
      </c>
      <c r="K1275" s="5" t="inlineStr"/>
      <c r="L1275" s="7">
        <f>IFERROR(IF(F1275&lt;F1274,"NEGATIVE",ROUND(F1275-F1274,2)),"")</f>
        <v/>
      </c>
    </row>
    <row r="1276" ht="22" customHeight="1">
      <c r="B1276" s="8" t="inlineStr">
        <is>
          <t>R01272</t>
        </is>
      </c>
      <c r="C1276" s="8" t="inlineStr">
        <is>
          <t>MTR-DYE-001</t>
        </is>
      </c>
      <c r="D1276" s="8" t="inlineStr">
        <is>
          <t>Dyeing Hall</t>
        </is>
      </c>
      <c r="E1276" s="8" t="inlineStr">
        <is>
          <t>Dyeing Line A</t>
        </is>
      </c>
      <c r="F1276" s="8" t="inlineStr">
        <is>
          <t>2024-06-23 08:00</t>
        </is>
      </c>
      <c r="G1276" s="12" t="n">
        <v>132406.8</v>
      </c>
      <c r="H1276" s="8" t="inlineStr">
        <is>
          <t>m3</t>
        </is>
      </c>
      <c r="I1276" s="8" t="inlineStr">
        <is>
          <t>cumulative</t>
        </is>
      </c>
      <c r="J1276" s="8" t="inlineStr">
        <is>
          <t>GH</t>
        </is>
      </c>
      <c r="K1276" s="8" t="inlineStr"/>
      <c r="L1276" s="10">
        <f>IFERROR(IF(F1276&lt;F1275,"NEGATIVE",ROUND(F1276-F1275,2)),"")</f>
        <v/>
      </c>
    </row>
    <row r="1277" ht="22" customHeight="1">
      <c r="B1277" s="5" t="inlineStr">
        <is>
          <t>R01273</t>
        </is>
      </c>
      <c r="C1277" s="5" t="inlineStr">
        <is>
          <t>MTR-DYE-001</t>
        </is>
      </c>
      <c r="D1277" s="5" t="inlineStr">
        <is>
          <t>Dyeing Hall</t>
        </is>
      </c>
      <c r="E1277" s="5" t="inlineStr">
        <is>
          <t>Dyeing Line A</t>
        </is>
      </c>
      <c r="F1277" s="5" t="inlineStr">
        <is>
          <t>2024-06-24 08:00</t>
        </is>
      </c>
      <c r="G1277" s="11" t="n">
        <v>132455.24</v>
      </c>
      <c r="H1277" s="5" t="inlineStr">
        <is>
          <t>m3</t>
        </is>
      </c>
      <c r="I1277" s="5" t="inlineStr">
        <is>
          <t>cumulative</t>
        </is>
      </c>
      <c r="J1277" s="5" t="inlineStr">
        <is>
          <t>CD</t>
        </is>
      </c>
      <c r="K1277" s="5" t="inlineStr"/>
      <c r="L1277" s="7">
        <f>IFERROR(IF(F1277&lt;F1276,"NEGATIVE",ROUND(F1277-F1276,2)),"")</f>
        <v/>
      </c>
    </row>
    <row r="1278" ht="22" customHeight="1">
      <c r="B1278" s="8" t="inlineStr">
        <is>
          <t>R01274</t>
        </is>
      </c>
      <c r="C1278" s="8" t="inlineStr">
        <is>
          <t>MTR-DYE-001</t>
        </is>
      </c>
      <c r="D1278" s="8" t="inlineStr">
        <is>
          <t>Dyeing Hall</t>
        </is>
      </c>
      <c r="E1278" s="8" t="inlineStr">
        <is>
          <t>Dyeing Line A</t>
        </is>
      </c>
      <c r="F1278" s="8" t="inlineStr">
        <is>
          <t>2024-06-25 08:00</t>
        </is>
      </c>
      <c r="G1278" s="12" t="n">
        <v>132512.44</v>
      </c>
      <c r="H1278" s="8" t="inlineStr">
        <is>
          <t>m3</t>
        </is>
      </c>
      <c r="I1278" s="8" t="inlineStr">
        <is>
          <t>cumulative</t>
        </is>
      </c>
      <c r="J1278" s="8" t="inlineStr">
        <is>
          <t>KL</t>
        </is>
      </c>
      <c r="K1278" s="8" t="inlineStr"/>
      <c r="L1278" s="10">
        <f>IFERROR(IF(F1278&lt;F1277,"NEGATIVE",ROUND(F1278-F1277,2)),"")</f>
        <v/>
      </c>
    </row>
    <row r="1279" ht="22" customHeight="1">
      <c r="B1279" s="5" t="inlineStr">
        <is>
          <t>R01275</t>
        </is>
      </c>
      <c r="C1279" s="5" t="inlineStr">
        <is>
          <t>MTR-DYE-001</t>
        </is>
      </c>
      <c r="D1279" s="5" t="inlineStr">
        <is>
          <t>Dyeing Hall</t>
        </is>
      </c>
      <c r="E1279" s="5" t="inlineStr">
        <is>
          <t>Dyeing Line A</t>
        </is>
      </c>
      <c r="F1279" s="5" t="inlineStr">
        <is>
          <t>2024-06-26 08:00</t>
        </is>
      </c>
      <c r="G1279" s="11" t="n">
        <v>132571.2</v>
      </c>
      <c r="H1279" s="5" t="inlineStr">
        <is>
          <t>m3</t>
        </is>
      </c>
      <c r="I1279" s="5" t="inlineStr">
        <is>
          <t>cumulative</t>
        </is>
      </c>
      <c r="J1279" s="5" t="inlineStr">
        <is>
          <t>KL</t>
        </is>
      </c>
      <c r="K1279" s="5" t="inlineStr"/>
      <c r="L1279" s="7">
        <f>IFERROR(IF(F1279&lt;F1278,"NEGATIVE",ROUND(F1279-F1278,2)),"")</f>
        <v/>
      </c>
    </row>
    <row r="1280" ht="22" customHeight="1">
      <c r="B1280" s="8" t="inlineStr">
        <is>
          <t>R01276</t>
        </is>
      </c>
      <c r="C1280" s="8" t="inlineStr">
        <is>
          <t>MTR-DYE-001</t>
        </is>
      </c>
      <c r="D1280" s="8" t="inlineStr">
        <is>
          <t>Dyeing Hall</t>
        </is>
      </c>
      <c r="E1280" s="8" t="inlineStr">
        <is>
          <t>Dyeing Line A</t>
        </is>
      </c>
      <c r="F1280" s="8" t="inlineStr">
        <is>
          <t>2024-06-27 08:00</t>
        </is>
      </c>
      <c r="G1280" s="12" t="n">
        <v>132623.58</v>
      </c>
      <c r="H1280" s="8" t="inlineStr">
        <is>
          <t>m3</t>
        </is>
      </c>
      <c r="I1280" s="8" t="inlineStr">
        <is>
          <t>cumulative</t>
        </is>
      </c>
      <c r="J1280" s="8" t="inlineStr">
        <is>
          <t>GH</t>
        </is>
      </c>
      <c r="K1280" s="8" t="inlineStr"/>
      <c r="L1280" s="10">
        <f>IFERROR(IF(F1280&lt;F1279,"NEGATIVE",ROUND(F1280-F1279,2)),"")</f>
        <v/>
      </c>
    </row>
    <row r="1281" ht="22" customHeight="1">
      <c r="B1281" s="5" t="inlineStr">
        <is>
          <t>R01277</t>
        </is>
      </c>
      <c r="C1281" s="5" t="inlineStr">
        <is>
          <t>MTR-DYE-001</t>
        </is>
      </c>
      <c r="D1281" s="5" t="inlineStr">
        <is>
          <t>Dyeing Hall</t>
        </is>
      </c>
      <c r="E1281" s="5" t="inlineStr">
        <is>
          <t>Dyeing Line A</t>
        </is>
      </c>
      <c r="F1281" s="5" t="inlineStr">
        <is>
          <t>2024-06-28 08:00</t>
        </is>
      </c>
      <c r="G1281" s="11" t="n">
        <v>132677.58</v>
      </c>
      <c r="H1281" s="5" t="inlineStr">
        <is>
          <t>m3</t>
        </is>
      </c>
      <c r="I1281" s="5" t="inlineStr">
        <is>
          <t>cumulative</t>
        </is>
      </c>
      <c r="J1281" s="5" t="inlineStr">
        <is>
          <t>CD</t>
        </is>
      </c>
      <c r="K1281" s="5" t="inlineStr"/>
      <c r="L1281" s="7">
        <f>IFERROR(IF(F1281&lt;F1280,"NEGATIVE",ROUND(F1281-F1280,2)),"")</f>
        <v/>
      </c>
    </row>
    <row r="1282" ht="22" customHeight="1">
      <c r="B1282" s="8" t="inlineStr">
        <is>
          <t>R01278</t>
        </is>
      </c>
      <c r="C1282" s="8" t="inlineStr">
        <is>
          <t>MTR-DYE-001</t>
        </is>
      </c>
      <c r="D1282" s="8" t="inlineStr">
        <is>
          <t>Dyeing Hall</t>
        </is>
      </c>
      <c r="E1282" s="8" t="inlineStr">
        <is>
          <t>Dyeing Line A</t>
        </is>
      </c>
      <c r="F1282" s="8" t="inlineStr">
        <is>
          <t>2024-06-29 08:00</t>
        </is>
      </c>
      <c r="G1282" s="12" t="n">
        <v>132723.81</v>
      </c>
      <c r="H1282" s="8" t="inlineStr">
        <is>
          <t>m3</t>
        </is>
      </c>
      <c r="I1282" s="8" t="inlineStr">
        <is>
          <t>cumulative</t>
        </is>
      </c>
      <c r="J1282" s="8" t="inlineStr">
        <is>
          <t>IJ</t>
        </is>
      </c>
      <c r="K1282" s="8" t="inlineStr"/>
      <c r="L1282" s="10">
        <f>IFERROR(IF(F1282&lt;F1281,"NEGATIVE",ROUND(F1282-F1281,2)),"")</f>
        <v/>
      </c>
    </row>
    <row r="1283" ht="22" customHeight="1">
      <c r="B1283" s="5" t="inlineStr">
        <is>
          <t>R01279</t>
        </is>
      </c>
      <c r="C1283" s="5" t="inlineStr">
        <is>
          <t>MTR-DYE-001</t>
        </is>
      </c>
      <c r="D1283" s="5" t="inlineStr">
        <is>
          <t>Dyeing Hall</t>
        </is>
      </c>
      <c r="E1283" s="5" t="inlineStr">
        <is>
          <t>Dyeing Line A</t>
        </is>
      </c>
      <c r="F1283" s="5" t="inlineStr">
        <is>
          <t>2024-06-30 08:00</t>
        </is>
      </c>
      <c r="G1283" s="11" t="n">
        <v>132756.35</v>
      </c>
      <c r="H1283" s="5" t="inlineStr">
        <is>
          <t>m3</t>
        </is>
      </c>
      <c r="I1283" s="5" t="inlineStr">
        <is>
          <t>cumulative</t>
        </is>
      </c>
      <c r="J1283" s="5" t="inlineStr">
        <is>
          <t>CD</t>
        </is>
      </c>
      <c r="K1283" s="5" t="inlineStr"/>
      <c r="L1283" s="7">
        <f>IFERROR(IF(F1283&lt;F1282,"NEGATIVE",ROUND(F1283-F1282,2)),"")</f>
        <v/>
      </c>
    </row>
    <row r="1284" ht="22" customHeight="1">
      <c r="B1284" s="8" t="inlineStr">
        <is>
          <t>R01280</t>
        </is>
      </c>
      <c r="C1284" s="8" t="inlineStr">
        <is>
          <t>MTR-DYE-001</t>
        </is>
      </c>
      <c r="D1284" s="8" t="inlineStr">
        <is>
          <t>Dyeing Hall</t>
        </is>
      </c>
      <c r="E1284" s="8" t="inlineStr">
        <is>
          <t>Dyeing Line A</t>
        </is>
      </c>
      <c r="F1284" s="8" t="inlineStr">
        <is>
          <t>2024-07-01 08:00</t>
        </is>
      </c>
      <c r="G1284" s="12" t="n">
        <v>132814.65</v>
      </c>
      <c r="H1284" s="8" t="inlineStr">
        <is>
          <t>m3</t>
        </is>
      </c>
      <c r="I1284" s="8" t="inlineStr">
        <is>
          <t>cumulative</t>
        </is>
      </c>
      <c r="J1284" s="8" t="inlineStr">
        <is>
          <t>CD</t>
        </is>
      </c>
      <c r="K1284" s="8" t="inlineStr"/>
      <c r="L1284" s="10">
        <f>IFERROR(IF(F1284&lt;F1283,"NEGATIVE",ROUND(F1284-F1283,2)),"")</f>
        <v/>
      </c>
    </row>
    <row r="1285" ht="22" customHeight="1">
      <c r="B1285" s="5" t="inlineStr">
        <is>
          <t>R01281</t>
        </is>
      </c>
      <c r="C1285" s="5" t="inlineStr">
        <is>
          <t>MTR-DYE-001</t>
        </is>
      </c>
      <c r="D1285" s="5" t="inlineStr">
        <is>
          <t>Dyeing Hall</t>
        </is>
      </c>
      <c r="E1285" s="5" t="inlineStr">
        <is>
          <t>Dyeing Line A</t>
        </is>
      </c>
      <c r="F1285" s="5" t="inlineStr">
        <is>
          <t>2024-07-02 08:00</t>
        </is>
      </c>
      <c r="G1285" s="11" t="n">
        <v>132878.72</v>
      </c>
      <c r="H1285" s="5" t="inlineStr">
        <is>
          <t>m3</t>
        </is>
      </c>
      <c r="I1285" s="5" t="inlineStr">
        <is>
          <t>cumulative</t>
        </is>
      </c>
      <c r="J1285" s="5" t="inlineStr">
        <is>
          <t>GH</t>
        </is>
      </c>
      <c r="K1285" s="5" t="inlineStr"/>
      <c r="L1285" s="7">
        <f>IFERROR(IF(F1285&lt;F1284,"NEGATIVE",ROUND(F1285-F1284,2)),"")</f>
        <v/>
      </c>
    </row>
    <row r="1286" ht="22" customHeight="1">
      <c r="B1286" s="8" t="inlineStr">
        <is>
          <t>R01282</t>
        </is>
      </c>
      <c r="C1286" s="8" t="inlineStr">
        <is>
          <t>MTR-DYE-001</t>
        </is>
      </c>
      <c r="D1286" s="8" t="inlineStr">
        <is>
          <t>Dyeing Hall</t>
        </is>
      </c>
      <c r="E1286" s="8" t="inlineStr">
        <is>
          <t>Dyeing Line A</t>
        </is>
      </c>
      <c r="F1286" s="8" t="inlineStr">
        <is>
          <t>2024-07-03 08:00</t>
        </is>
      </c>
      <c r="G1286" s="12" t="n">
        <v>132930.87</v>
      </c>
      <c r="H1286" s="8" t="inlineStr">
        <is>
          <t>m3</t>
        </is>
      </c>
      <c r="I1286" s="8" t="inlineStr">
        <is>
          <t>cumulative</t>
        </is>
      </c>
      <c r="J1286" s="8" t="inlineStr">
        <is>
          <t>KL</t>
        </is>
      </c>
      <c r="K1286" s="8" t="inlineStr"/>
      <c r="L1286" s="10">
        <f>IFERROR(IF(F1286&lt;F1285,"NEGATIVE",ROUND(F1286-F1285,2)),"")</f>
        <v/>
      </c>
    </row>
    <row r="1287" ht="22" customHeight="1">
      <c r="B1287" s="5" t="inlineStr">
        <is>
          <t>R01283</t>
        </is>
      </c>
      <c r="C1287" s="5" t="inlineStr">
        <is>
          <t>MTR-DYE-001</t>
        </is>
      </c>
      <c r="D1287" s="5" t="inlineStr">
        <is>
          <t>Dyeing Hall</t>
        </is>
      </c>
      <c r="E1287" s="5" t="inlineStr">
        <is>
          <t>Dyeing Line A</t>
        </is>
      </c>
      <c r="F1287" s="5" t="inlineStr">
        <is>
          <t>2024-07-04 08:00</t>
        </is>
      </c>
      <c r="G1287" s="11" t="n">
        <v>132985.94</v>
      </c>
      <c r="H1287" s="5" t="inlineStr">
        <is>
          <t>m3</t>
        </is>
      </c>
      <c r="I1287" s="5" t="inlineStr">
        <is>
          <t>cumulative</t>
        </is>
      </c>
      <c r="J1287" s="5" t="inlineStr">
        <is>
          <t>EF</t>
        </is>
      </c>
      <c r="K1287" s="5" t="inlineStr"/>
      <c r="L1287" s="7">
        <f>IFERROR(IF(F1287&lt;F1286,"NEGATIVE",ROUND(F1287-F1286,2)),"")</f>
        <v/>
      </c>
    </row>
    <row r="1288" ht="22" customHeight="1">
      <c r="B1288" s="8" t="inlineStr">
        <is>
          <t>R01284</t>
        </is>
      </c>
      <c r="C1288" s="8" t="inlineStr">
        <is>
          <t>MTR-DYE-001</t>
        </is>
      </c>
      <c r="D1288" s="8" t="inlineStr">
        <is>
          <t>Dyeing Hall</t>
        </is>
      </c>
      <c r="E1288" s="8" t="inlineStr">
        <is>
          <t>Dyeing Line A</t>
        </is>
      </c>
      <c r="F1288" s="8" t="inlineStr">
        <is>
          <t>2024-07-05 08:00</t>
        </is>
      </c>
      <c r="G1288" s="12" t="n">
        <v>133041.95</v>
      </c>
      <c r="H1288" s="8" t="inlineStr">
        <is>
          <t>m3</t>
        </is>
      </c>
      <c r="I1288" s="8" t="inlineStr">
        <is>
          <t>cumulative</t>
        </is>
      </c>
      <c r="J1288" s="8" t="inlineStr">
        <is>
          <t>AB</t>
        </is>
      </c>
      <c r="K1288" s="8" t="inlineStr"/>
      <c r="L1288" s="10">
        <f>IFERROR(IF(F1288&lt;F1287,"NEGATIVE",ROUND(F1288-F1287,2)),"")</f>
        <v/>
      </c>
    </row>
    <row r="1289" ht="22" customHeight="1">
      <c r="B1289" s="5" t="inlineStr">
        <is>
          <t>R01285</t>
        </is>
      </c>
      <c r="C1289" s="5" t="inlineStr">
        <is>
          <t>MTR-DYE-001</t>
        </is>
      </c>
      <c r="D1289" s="5" t="inlineStr">
        <is>
          <t>Dyeing Hall</t>
        </is>
      </c>
      <c r="E1289" s="5" t="inlineStr">
        <is>
          <t>Dyeing Line A</t>
        </is>
      </c>
      <c r="F1289" s="5" t="inlineStr">
        <is>
          <t>2024-07-06 08:00</t>
        </is>
      </c>
      <c r="G1289" s="11" t="n">
        <v>133093.23</v>
      </c>
      <c r="H1289" s="5" t="inlineStr">
        <is>
          <t>m3</t>
        </is>
      </c>
      <c r="I1289" s="5" t="inlineStr">
        <is>
          <t>cumulative</t>
        </is>
      </c>
      <c r="J1289" s="5" t="inlineStr">
        <is>
          <t>EF</t>
        </is>
      </c>
      <c r="K1289" s="5" t="inlineStr"/>
      <c r="L1289" s="7">
        <f>IFERROR(IF(F1289&lt;F1288,"NEGATIVE",ROUND(F1289-F1288,2)),"")</f>
        <v/>
      </c>
    </row>
    <row r="1290" ht="22" customHeight="1">
      <c r="B1290" s="8" t="inlineStr">
        <is>
          <t>R01286</t>
        </is>
      </c>
      <c r="C1290" s="8" t="inlineStr">
        <is>
          <t>MTR-DYE-001</t>
        </is>
      </c>
      <c r="D1290" s="8" t="inlineStr">
        <is>
          <t>Dyeing Hall</t>
        </is>
      </c>
      <c r="E1290" s="8" t="inlineStr">
        <is>
          <t>Dyeing Line A</t>
        </is>
      </c>
      <c r="F1290" s="8" t="inlineStr">
        <is>
          <t>2024-07-07 08:00</t>
        </is>
      </c>
      <c r="G1290" s="12" t="n">
        <v>133121.61</v>
      </c>
      <c r="H1290" s="8" t="inlineStr">
        <is>
          <t>m3</t>
        </is>
      </c>
      <c r="I1290" s="8" t="inlineStr">
        <is>
          <t>cumulative</t>
        </is>
      </c>
      <c r="J1290" s="8" t="inlineStr">
        <is>
          <t>IJ</t>
        </is>
      </c>
      <c r="K1290" s="8" t="inlineStr"/>
      <c r="L1290" s="10">
        <f>IFERROR(IF(F1290&lt;F1289,"NEGATIVE",ROUND(F1290-F1289,2)),"")</f>
        <v/>
      </c>
    </row>
    <row r="1291" ht="22" customHeight="1">
      <c r="B1291" s="5" t="inlineStr">
        <is>
          <t>R01287</t>
        </is>
      </c>
      <c r="C1291" s="5" t="inlineStr">
        <is>
          <t>MTR-DYE-001</t>
        </is>
      </c>
      <c r="D1291" s="5" t="inlineStr">
        <is>
          <t>Dyeing Hall</t>
        </is>
      </c>
      <c r="E1291" s="5" t="inlineStr">
        <is>
          <t>Dyeing Line A</t>
        </is>
      </c>
      <c r="F1291" s="5" t="inlineStr">
        <is>
          <t>2024-07-08 08:00</t>
        </is>
      </c>
      <c r="G1291" s="11" t="n">
        <v>133177</v>
      </c>
      <c r="H1291" s="5" t="inlineStr">
        <is>
          <t>m3</t>
        </is>
      </c>
      <c r="I1291" s="5" t="inlineStr">
        <is>
          <t>cumulative</t>
        </is>
      </c>
      <c r="J1291" s="5" t="inlineStr">
        <is>
          <t>GH</t>
        </is>
      </c>
      <c r="K1291" s="5" t="inlineStr"/>
      <c r="L1291" s="7">
        <f>IFERROR(IF(F1291&lt;F1290,"NEGATIVE",ROUND(F1291-F1290,2)),"")</f>
        <v/>
      </c>
    </row>
    <row r="1292" ht="22" customHeight="1">
      <c r="B1292" s="8" t="inlineStr">
        <is>
          <t>R01288</t>
        </is>
      </c>
      <c r="C1292" s="8" t="inlineStr">
        <is>
          <t>MTR-DYE-001</t>
        </is>
      </c>
      <c r="D1292" s="8" t="inlineStr">
        <is>
          <t>Dyeing Hall</t>
        </is>
      </c>
      <c r="E1292" s="8" t="inlineStr">
        <is>
          <t>Dyeing Line A</t>
        </is>
      </c>
      <c r="F1292" s="8" t="inlineStr">
        <is>
          <t>2024-07-09 08:00</t>
        </is>
      </c>
      <c r="G1292" s="12" t="n">
        <v>133235.77</v>
      </c>
      <c r="H1292" s="8" t="inlineStr">
        <is>
          <t>m3</t>
        </is>
      </c>
      <c r="I1292" s="8" t="inlineStr">
        <is>
          <t>cumulative</t>
        </is>
      </c>
      <c r="J1292" s="8" t="inlineStr">
        <is>
          <t>IJ</t>
        </is>
      </c>
      <c r="K1292" s="8" t="inlineStr"/>
      <c r="L1292" s="10">
        <f>IFERROR(IF(F1292&lt;F1291,"NEGATIVE",ROUND(F1292-F1291,2)),"")</f>
        <v/>
      </c>
    </row>
    <row r="1293" ht="22" customHeight="1">
      <c r="B1293" s="5" t="inlineStr">
        <is>
          <t>R01289</t>
        </is>
      </c>
      <c r="C1293" s="5" t="inlineStr">
        <is>
          <t>MTR-DYE-001</t>
        </is>
      </c>
      <c r="D1293" s="5" t="inlineStr">
        <is>
          <t>Dyeing Hall</t>
        </is>
      </c>
      <c r="E1293" s="5" t="inlineStr">
        <is>
          <t>Dyeing Line A</t>
        </is>
      </c>
      <c r="F1293" s="5" t="inlineStr">
        <is>
          <t>2024-07-10 08:00</t>
        </is>
      </c>
      <c r="G1293" s="11" t="n">
        <v>133298.26</v>
      </c>
      <c r="H1293" s="5" t="inlineStr">
        <is>
          <t>m3</t>
        </is>
      </c>
      <c r="I1293" s="5" t="inlineStr">
        <is>
          <t>cumulative</t>
        </is>
      </c>
      <c r="J1293" s="5" t="inlineStr">
        <is>
          <t>CD</t>
        </is>
      </c>
      <c r="K1293" s="5" t="inlineStr"/>
      <c r="L1293" s="7">
        <f>IFERROR(IF(F1293&lt;F1292,"NEGATIVE",ROUND(F1293-F1292,2)),"")</f>
        <v/>
      </c>
    </row>
    <row r="1294" ht="22" customHeight="1">
      <c r="B1294" s="8" t="inlineStr">
        <is>
          <t>R01290</t>
        </is>
      </c>
      <c r="C1294" s="8" t="inlineStr">
        <is>
          <t>MTR-DYE-001</t>
        </is>
      </c>
      <c r="D1294" s="8" t="inlineStr">
        <is>
          <t>Dyeing Hall</t>
        </is>
      </c>
      <c r="E1294" s="8" t="inlineStr">
        <is>
          <t>Dyeing Line A</t>
        </is>
      </c>
      <c r="F1294" s="8" t="inlineStr">
        <is>
          <t>2024-07-11 08:00</t>
        </is>
      </c>
      <c r="G1294" s="12" t="n">
        <v>133353.1</v>
      </c>
      <c r="H1294" s="8" t="inlineStr">
        <is>
          <t>m3</t>
        </is>
      </c>
      <c r="I1294" s="8" t="inlineStr">
        <is>
          <t>cumulative</t>
        </is>
      </c>
      <c r="J1294" s="8" t="inlineStr">
        <is>
          <t>AB</t>
        </is>
      </c>
      <c r="K1294" s="8" t="inlineStr"/>
      <c r="L1294" s="10">
        <f>IFERROR(IF(F1294&lt;F1293,"NEGATIVE",ROUND(F1294-F1293,2)),"")</f>
        <v/>
      </c>
    </row>
    <row r="1295" ht="22" customHeight="1">
      <c r="B1295" s="5" t="inlineStr">
        <is>
          <t>R01291</t>
        </is>
      </c>
      <c r="C1295" s="5" t="inlineStr">
        <is>
          <t>MTR-DYE-001</t>
        </is>
      </c>
      <c r="D1295" s="5" t="inlineStr">
        <is>
          <t>Dyeing Hall</t>
        </is>
      </c>
      <c r="E1295" s="5" t="inlineStr">
        <is>
          <t>Dyeing Line A</t>
        </is>
      </c>
      <c r="F1295" s="5" t="inlineStr">
        <is>
          <t>2024-07-12 08:00</t>
        </is>
      </c>
      <c r="G1295" s="11" t="n">
        <v>133404.75</v>
      </c>
      <c r="H1295" s="5" t="inlineStr">
        <is>
          <t>m3</t>
        </is>
      </c>
      <c r="I1295" s="5" t="inlineStr">
        <is>
          <t>cumulative</t>
        </is>
      </c>
      <c r="J1295" s="5" t="inlineStr">
        <is>
          <t>AB</t>
        </is>
      </c>
      <c r="K1295" s="5" t="inlineStr"/>
      <c r="L1295" s="7">
        <f>IFERROR(IF(F1295&lt;F1294,"NEGATIVE",ROUND(F1295-F1294,2)),"")</f>
        <v/>
      </c>
    </row>
    <row r="1296" ht="22" customHeight="1">
      <c r="B1296" s="8" t="inlineStr">
        <is>
          <t>R01292</t>
        </is>
      </c>
      <c r="C1296" s="8" t="inlineStr">
        <is>
          <t>MTR-DYE-001</t>
        </is>
      </c>
      <c r="D1296" s="8" t="inlineStr">
        <is>
          <t>Dyeing Hall</t>
        </is>
      </c>
      <c r="E1296" s="8" t="inlineStr">
        <is>
          <t>Dyeing Line A</t>
        </is>
      </c>
      <c r="F1296" s="8" t="inlineStr">
        <is>
          <t>2024-07-13 08:00</t>
        </is>
      </c>
      <c r="G1296" s="12" t="n">
        <v>133456.47</v>
      </c>
      <c r="H1296" s="8" t="inlineStr">
        <is>
          <t>m3</t>
        </is>
      </c>
      <c r="I1296" s="8" t="inlineStr">
        <is>
          <t>cumulative</t>
        </is>
      </c>
      <c r="J1296" s="8" t="inlineStr">
        <is>
          <t>GH</t>
        </is>
      </c>
      <c r="K1296" s="8" t="inlineStr"/>
      <c r="L1296" s="10">
        <f>IFERROR(IF(F1296&lt;F1295,"NEGATIVE",ROUND(F1296-F1295,2)),"")</f>
        <v/>
      </c>
    </row>
    <row r="1297" ht="22" customHeight="1">
      <c r="B1297" s="5" t="inlineStr">
        <is>
          <t>R01293</t>
        </is>
      </c>
      <c r="C1297" s="5" t="inlineStr">
        <is>
          <t>MTR-DYE-001</t>
        </is>
      </c>
      <c r="D1297" s="5" t="inlineStr">
        <is>
          <t>Dyeing Hall</t>
        </is>
      </c>
      <c r="E1297" s="5" t="inlineStr">
        <is>
          <t>Dyeing Line A</t>
        </is>
      </c>
      <c r="F1297" s="5" t="inlineStr">
        <is>
          <t>2024-07-14 08:00</t>
        </is>
      </c>
      <c r="G1297" s="11" t="n">
        <v>133485.22</v>
      </c>
      <c r="H1297" s="5" t="inlineStr">
        <is>
          <t>m3</t>
        </is>
      </c>
      <c r="I1297" s="5" t="inlineStr">
        <is>
          <t>cumulative</t>
        </is>
      </c>
      <c r="J1297" s="5" t="inlineStr">
        <is>
          <t>GH</t>
        </is>
      </c>
      <c r="K1297" s="5" t="inlineStr"/>
      <c r="L1297" s="7">
        <f>IFERROR(IF(F1297&lt;F1296,"NEGATIVE",ROUND(F1297-F1296,2)),"")</f>
        <v/>
      </c>
    </row>
    <row r="1298" ht="22" customHeight="1">
      <c r="B1298" s="8" t="inlineStr">
        <is>
          <t>R01294</t>
        </is>
      </c>
      <c r="C1298" s="8" t="inlineStr">
        <is>
          <t>MTR-DYE-001</t>
        </is>
      </c>
      <c r="D1298" s="8" t="inlineStr">
        <is>
          <t>Dyeing Hall</t>
        </is>
      </c>
      <c r="E1298" s="8" t="inlineStr">
        <is>
          <t>Dyeing Line A</t>
        </is>
      </c>
      <c r="F1298" s="8" t="inlineStr">
        <is>
          <t>2024-07-15 08:00</t>
        </is>
      </c>
      <c r="G1298" s="12" t="n">
        <v>133544.79</v>
      </c>
      <c r="H1298" s="8" t="inlineStr">
        <is>
          <t>m3</t>
        </is>
      </c>
      <c r="I1298" s="8" t="inlineStr">
        <is>
          <t>cumulative</t>
        </is>
      </c>
      <c r="J1298" s="8" t="inlineStr">
        <is>
          <t>CD</t>
        </is>
      </c>
      <c r="K1298" s="8" t="inlineStr"/>
      <c r="L1298" s="10">
        <f>IFERROR(IF(F1298&lt;F1297,"NEGATIVE",ROUND(F1298-F1297,2)),"")</f>
        <v/>
      </c>
    </row>
    <row r="1299" ht="22" customHeight="1">
      <c r="B1299" s="5" t="inlineStr">
        <is>
          <t>R01295</t>
        </is>
      </c>
      <c r="C1299" s="5" t="inlineStr">
        <is>
          <t>MTR-DYE-001</t>
        </is>
      </c>
      <c r="D1299" s="5" t="inlineStr">
        <is>
          <t>Dyeing Hall</t>
        </is>
      </c>
      <c r="E1299" s="5" t="inlineStr">
        <is>
          <t>Dyeing Line A</t>
        </is>
      </c>
      <c r="F1299" s="5" t="inlineStr">
        <is>
          <t>2024-07-16 08:00</t>
        </is>
      </c>
      <c r="G1299" s="11" t="n">
        <v>133599.89</v>
      </c>
      <c r="H1299" s="5" t="inlineStr">
        <is>
          <t>m3</t>
        </is>
      </c>
      <c r="I1299" s="5" t="inlineStr">
        <is>
          <t>cumulative</t>
        </is>
      </c>
      <c r="J1299" s="5" t="inlineStr">
        <is>
          <t>CD</t>
        </is>
      </c>
      <c r="K1299" s="5" t="inlineStr"/>
      <c r="L1299" s="7">
        <f>IFERROR(IF(F1299&lt;F1298,"NEGATIVE",ROUND(F1299-F1298,2)),"")</f>
        <v/>
      </c>
    </row>
    <row r="1300" ht="22" customHeight="1">
      <c r="B1300" s="8" t="inlineStr">
        <is>
          <t>R01296</t>
        </is>
      </c>
      <c r="C1300" s="8" t="inlineStr">
        <is>
          <t>MTR-DYE-001</t>
        </is>
      </c>
      <c r="D1300" s="8" t="inlineStr">
        <is>
          <t>Dyeing Hall</t>
        </is>
      </c>
      <c r="E1300" s="8" t="inlineStr">
        <is>
          <t>Dyeing Line A</t>
        </is>
      </c>
      <c r="F1300" s="8" t="inlineStr">
        <is>
          <t>2024-07-17 08:00</t>
        </is>
      </c>
      <c r="G1300" s="12" t="n">
        <v>133648.97</v>
      </c>
      <c r="H1300" s="8" t="inlineStr">
        <is>
          <t>m3</t>
        </is>
      </c>
      <c r="I1300" s="8" t="inlineStr">
        <is>
          <t>cumulative</t>
        </is>
      </c>
      <c r="J1300" s="8" t="inlineStr">
        <is>
          <t>AB</t>
        </is>
      </c>
      <c r="K1300" s="8" t="inlineStr"/>
      <c r="L1300" s="10">
        <f>IFERROR(IF(F1300&lt;F1299,"NEGATIVE",ROUND(F1300-F1299,2)),"")</f>
        <v/>
      </c>
    </row>
    <row r="1301" ht="22" customHeight="1">
      <c r="B1301" s="5" t="inlineStr">
        <is>
          <t>R01297</t>
        </is>
      </c>
      <c r="C1301" s="5" t="inlineStr">
        <is>
          <t>MTR-DYE-001</t>
        </is>
      </c>
      <c r="D1301" s="5" t="inlineStr">
        <is>
          <t>Dyeing Hall</t>
        </is>
      </c>
      <c r="E1301" s="5" t="inlineStr">
        <is>
          <t>Dyeing Line A</t>
        </is>
      </c>
      <c r="F1301" s="5" t="inlineStr">
        <is>
          <t>2024-07-18 08:00</t>
        </is>
      </c>
      <c r="G1301" s="11" t="n">
        <v>133698.71</v>
      </c>
      <c r="H1301" s="5" t="inlineStr">
        <is>
          <t>m3</t>
        </is>
      </c>
      <c r="I1301" s="5" t="inlineStr">
        <is>
          <t>cumulative</t>
        </is>
      </c>
      <c r="J1301" s="5" t="inlineStr">
        <is>
          <t>EF</t>
        </is>
      </c>
      <c r="K1301" s="5" t="inlineStr"/>
      <c r="L1301" s="7">
        <f>IFERROR(IF(F1301&lt;F1300,"NEGATIVE",ROUND(F1301-F1300,2)),"")</f>
        <v/>
      </c>
    </row>
    <row r="1302" ht="22" customHeight="1">
      <c r="B1302" s="8" t="inlineStr">
        <is>
          <t>R01298</t>
        </is>
      </c>
      <c r="C1302" s="8" t="inlineStr">
        <is>
          <t>MTR-DYE-001</t>
        </is>
      </c>
      <c r="D1302" s="8" t="inlineStr">
        <is>
          <t>Dyeing Hall</t>
        </is>
      </c>
      <c r="E1302" s="8" t="inlineStr">
        <is>
          <t>Dyeing Line A</t>
        </is>
      </c>
      <c r="F1302" s="8" t="inlineStr">
        <is>
          <t>2024-07-19 08:00</t>
        </is>
      </c>
      <c r="G1302" s="12" t="n">
        <v>133762.59</v>
      </c>
      <c r="H1302" s="8" t="inlineStr">
        <is>
          <t>m3</t>
        </is>
      </c>
      <c r="I1302" s="8" t="inlineStr">
        <is>
          <t>cumulative</t>
        </is>
      </c>
      <c r="J1302" s="8" t="inlineStr">
        <is>
          <t>IJ</t>
        </is>
      </c>
      <c r="K1302" s="8" t="inlineStr"/>
      <c r="L1302" s="10">
        <f>IFERROR(IF(F1302&lt;F1301,"NEGATIVE",ROUND(F1302-F1301,2)),"")</f>
        <v/>
      </c>
    </row>
    <row r="1303" ht="22" customHeight="1">
      <c r="B1303" s="5" t="inlineStr">
        <is>
          <t>R01299</t>
        </is>
      </c>
      <c r="C1303" s="5" t="inlineStr">
        <is>
          <t>MTR-DYE-001</t>
        </is>
      </c>
      <c r="D1303" s="5" t="inlineStr">
        <is>
          <t>Dyeing Hall</t>
        </is>
      </c>
      <c r="E1303" s="5" t="inlineStr">
        <is>
          <t>Dyeing Line A</t>
        </is>
      </c>
      <c r="F1303" s="5" t="inlineStr">
        <is>
          <t>2024-07-20 08:00</t>
        </is>
      </c>
      <c r="G1303" s="11" t="n">
        <v>133807.67</v>
      </c>
      <c r="H1303" s="5" t="inlineStr">
        <is>
          <t>m3</t>
        </is>
      </c>
      <c r="I1303" s="5" t="inlineStr">
        <is>
          <t>cumulative</t>
        </is>
      </c>
      <c r="J1303" s="5" t="inlineStr">
        <is>
          <t>EF</t>
        </is>
      </c>
      <c r="K1303" s="5" t="inlineStr"/>
      <c r="L1303" s="7">
        <f>IFERROR(IF(F1303&lt;F1302,"NEGATIVE",ROUND(F1303-F1302,2)),"")</f>
        <v/>
      </c>
    </row>
    <row r="1304" ht="22" customHeight="1">
      <c r="B1304" s="8" t="inlineStr">
        <is>
          <t>R01300</t>
        </is>
      </c>
      <c r="C1304" s="8" t="inlineStr">
        <is>
          <t>MTR-DYE-001</t>
        </is>
      </c>
      <c r="D1304" s="8" t="inlineStr">
        <is>
          <t>Dyeing Hall</t>
        </is>
      </c>
      <c r="E1304" s="8" t="inlineStr">
        <is>
          <t>Dyeing Line A</t>
        </is>
      </c>
      <c r="F1304" s="8" t="inlineStr">
        <is>
          <t>2024-07-21 08:00</t>
        </is>
      </c>
      <c r="G1304" s="12" t="n">
        <v>133836.64</v>
      </c>
      <c r="H1304" s="8" t="inlineStr">
        <is>
          <t>m3</t>
        </is>
      </c>
      <c r="I1304" s="8" t="inlineStr">
        <is>
          <t>cumulative</t>
        </is>
      </c>
      <c r="J1304" s="8" t="inlineStr">
        <is>
          <t>CD</t>
        </is>
      </c>
      <c r="K1304" s="8" t="inlineStr"/>
      <c r="L1304" s="10">
        <f>IFERROR(IF(F1304&lt;F1303,"NEGATIVE",ROUND(F1304-F1303,2)),"")</f>
        <v/>
      </c>
    </row>
    <row r="1305" ht="22" customHeight="1">
      <c r="B1305" s="5" t="inlineStr">
        <is>
          <t>R01301</t>
        </is>
      </c>
      <c r="C1305" s="5" t="inlineStr">
        <is>
          <t>MTR-DYE-001</t>
        </is>
      </c>
      <c r="D1305" s="5" t="inlineStr">
        <is>
          <t>Dyeing Hall</t>
        </is>
      </c>
      <c r="E1305" s="5" t="inlineStr">
        <is>
          <t>Dyeing Line A</t>
        </is>
      </c>
      <c r="F1305" s="5" t="inlineStr">
        <is>
          <t>2024-07-22 08:00</t>
        </is>
      </c>
      <c r="G1305" s="11" t="n">
        <v>133890.53</v>
      </c>
      <c r="H1305" s="5" t="inlineStr">
        <is>
          <t>m3</t>
        </is>
      </c>
      <c r="I1305" s="5" t="inlineStr">
        <is>
          <t>cumulative</t>
        </is>
      </c>
      <c r="J1305" s="5" t="inlineStr">
        <is>
          <t>EF</t>
        </is>
      </c>
      <c r="K1305" s="5" t="inlineStr"/>
      <c r="L1305" s="7">
        <f>IFERROR(IF(F1305&lt;F1304,"NEGATIVE",ROUND(F1305-F1304,2)),"")</f>
        <v/>
      </c>
    </row>
    <row r="1306" ht="22" customHeight="1">
      <c r="B1306" s="8" t="inlineStr">
        <is>
          <t>R01302</t>
        </is>
      </c>
      <c r="C1306" s="8" t="inlineStr">
        <is>
          <t>MTR-DYE-001</t>
        </is>
      </c>
      <c r="D1306" s="8" t="inlineStr">
        <is>
          <t>Dyeing Hall</t>
        </is>
      </c>
      <c r="E1306" s="8" t="inlineStr">
        <is>
          <t>Dyeing Line A</t>
        </is>
      </c>
      <c r="F1306" s="8" t="inlineStr">
        <is>
          <t>2024-07-23 08:00</t>
        </is>
      </c>
      <c r="G1306" s="12" t="n">
        <v>133949.19</v>
      </c>
      <c r="H1306" s="8" t="inlineStr">
        <is>
          <t>m3</t>
        </is>
      </c>
      <c r="I1306" s="8" t="inlineStr">
        <is>
          <t>cumulative</t>
        </is>
      </c>
      <c r="J1306" s="8" t="inlineStr">
        <is>
          <t>IJ</t>
        </is>
      </c>
      <c r="K1306" s="8" t="inlineStr"/>
      <c r="L1306" s="10">
        <f>IFERROR(IF(F1306&lt;F1305,"NEGATIVE",ROUND(F1306-F1305,2)),"")</f>
        <v/>
      </c>
    </row>
    <row r="1307" ht="22" customHeight="1">
      <c r="B1307" s="5" t="inlineStr">
        <is>
          <t>R01303</t>
        </is>
      </c>
      <c r="C1307" s="5" t="inlineStr">
        <is>
          <t>MTR-DYE-001</t>
        </is>
      </c>
      <c r="D1307" s="5" t="inlineStr">
        <is>
          <t>Dyeing Hall</t>
        </is>
      </c>
      <c r="E1307" s="5" t="inlineStr">
        <is>
          <t>Dyeing Line A</t>
        </is>
      </c>
      <c r="F1307" s="5" t="inlineStr">
        <is>
          <t>2024-07-24 08:00</t>
        </is>
      </c>
      <c r="G1307" s="11" t="n">
        <v>134001.65</v>
      </c>
      <c r="H1307" s="5" t="inlineStr">
        <is>
          <t>m3</t>
        </is>
      </c>
      <c r="I1307" s="5" t="inlineStr">
        <is>
          <t>cumulative</t>
        </is>
      </c>
      <c r="J1307" s="5" t="inlineStr">
        <is>
          <t>AB</t>
        </is>
      </c>
      <c r="K1307" s="5" t="inlineStr"/>
      <c r="L1307" s="7">
        <f>IFERROR(IF(F1307&lt;F1306,"NEGATIVE",ROUND(F1307-F1306,2)),"")</f>
        <v/>
      </c>
    </row>
    <row r="1308" ht="22" customHeight="1">
      <c r="B1308" s="8" t="inlineStr">
        <is>
          <t>R01304</t>
        </is>
      </c>
      <c r="C1308" s="8" t="inlineStr">
        <is>
          <t>MTR-DYE-001</t>
        </is>
      </c>
      <c r="D1308" s="8" t="inlineStr">
        <is>
          <t>Dyeing Hall</t>
        </is>
      </c>
      <c r="E1308" s="8" t="inlineStr">
        <is>
          <t>Dyeing Line A</t>
        </is>
      </c>
      <c r="F1308" s="8" t="inlineStr">
        <is>
          <t>2024-07-25 08:00</t>
        </is>
      </c>
      <c r="G1308" s="12" t="n">
        <v>134055.68</v>
      </c>
      <c r="H1308" s="8" t="inlineStr">
        <is>
          <t>m3</t>
        </is>
      </c>
      <c r="I1308" s="8" t="inlineStr">
        <is>
          <t>cumulative</t>
        </is>
      </c>
      <c r="J1308" s="8" t="inlineStr">
        <is>
          <t>CD</t>
        </is>
      </c>
      <c r="K1308" s="8" t="inlineStr"/>
      <c r="L1308" s="10">
        <f>IFERROR(IF(F1308&lt;F1307,"NEGATIVE",ROUND(F1308-F1307,2)),"")</f>
        <v/>
      </c>
    </row>
    <row r="1309" ht="22" customHeight="1">
      <c r="B1309" s="5" t="inlineStr">
        <is>
          <t>R01305</t>
        </is>
      </c>
      <c r="C1309" s="5" t="inlineStr">
        <is>
          <t>MTR-DYE-001</t>
        </is>
      </c>
      <c r="D1309" s="5" t="inlineStr">
        <is>
          <t>Dyeing Hall</t>
        </is>
      </c>
      <c r="E1309" s="5" t="inlineStr">
        <is>
          <t>Dyeing Line A</t>
        </is>
      </c>
      <c r="F1309" s="5" t="inlineStr">
        <is>
          <t>2024-07-26 08:00</t>
        </is>
      </c>
      <c r="G1309" s="11" t="n">
        <v>134104.72</v>
      </c>
      <c r="H1309" s="5" t="inlineStr">
        <is>
          <t>m3</t>
        </is>
      </c>
      <c r="I1309" s="5" t="inlineStr">
        <is>
          <t>cumulative</t>
        </is>
      </c>
      <c r="J1309" s="5" t="inlineStr">
        <is>
          <t>KL</t>
        </is>
      </c>
      <c r="K1309" s="5" t="inlineStr"/>
      <c r="L1309" s="7">
        <f>IFERROR(IF(F1309&lt;F1308,"NEGATIVE",ROUND(F1309-F1308,2)),"")</f>
        <v/>
      </c>
    </row>
    <row r="1310" ht="22" customHeight="1">
      <c r="B1310" s="8" t="inlineStr">
        <is>
          <t>R01306</t>
        </is>
      </c>
      <c r="C1310" s="8" t="inlineStr">
        <is>
          <t>MTR-DYE-001</t>
        </is>
      </c>
      <c r="D1310" s="8" t="inlineStr">
        <is>
          <t>Dyeing Hall</t>
        </is>
      </c>
      <c r="E1310" s="8" t="inlineStr">
        <is>
          <t>Dyeing Line A</t>
        </is>
      </c>
      <c r="F1310" s="8" t="inlineStr">
        <is>
          <t>2024-07-27 08:00</t>
        </is>
      </c>
      <c r="G1310" s="12" t="n">
        <v>134146.62</v>
      </c>
      <c r="H1310" s="8" t="inlineStr">
        <is>
          <t>m3</t>
        </is>
      </c>
      <c r="I1310" s="8" t="inlineStr">
        <is>
          <t>cumulative</t>
        </is>
      </c>
      <c r="J1310" s="8" t="inlineStr">
        <is>
          <t>IJ</t>
        </is>
      </c>
      <c r="K1310" s="8" t="inlineStr"/>
      <c r="L1310" s="10">
        <f>IFERROR(IF(F1310&lt;F1309,"NEGATIVE",ROUND(F1310-F1309,2)),"")</f>
        <v/>
      </c>
    </row>
    <row r="1311" ht="22" customHeight="1">
      <c r="B1311" s="5" t="inlineStr">
        <is>
          <t>R01307</t>
        </is>
      </c>
      <c r="C1311" s="5" t="inlineStr">
        <is>
          <t>MTR-DYE-001</t>
        </is>
      </c>
      <c r="D1311" s="5" t="inlineStr">
        <is>
          <t>Dyeing Hall</t>
        </is>
      </c>
      <c r="E1311" s="5" t="inlineStr">
        <is>
          <t>Dyeing Line A</t>
        </is>
      </c>
      <c r="F1311" s="5" t="inlineStr">
        <is>
          <t>2024-07-28 08:00</t>
        </is>
      </c>
      <c r="G1311" s="11" t="n">
        <v>134179.71</v>
      </c>
      <c r="H1311" s="5" t="inlineStr">
        <is>
          <t>m3</t>
        </is>
      </c>
      <c r="I1311" s="5" t="inlineStr">
        <is>
          <t>cumulative</t>
        </is>
      </c>
      <c r="J1311" s="5" t="inlineStr">
        <is>
          <t>EF</t>
        </is>
      </c>
      <c r="K1311" s="5" t="inlineStr"/>
      <c r="L1311" s="7">
        <f>IFERROR(IF(F1311&lt;F1310,"NEGATIVE",ROUND(F1311-F1310,2)),"")</f>
        <v/>
      </c>
    </row>
    <row r="1312" ht="22" customHeight="1">
      <c r="B1312" s="8" t="inlineStr">
        <is>
          <t>R01308</t>
        </is>
      </c>
      <c r="C1312" s="8" t="inlineStr">
        <is>
          <t>MTR-DYE-001</t>
        </is>
      </c>
      <c r="D1312" s="8" t="inlineStr">
        <is>
          <t>Dyeing Hall</t>
        </is>
      </c>
      <c r="E1312" s="8" t="inlineStr">
        <is>
          <t>Dyeing Line A</t>
        </is>
      </c>
      <c r="F1312" s="8" t="inlineStr">
        <is>
          <t>2024-07-29 08:00</t>
        </is>
      </c>
      <c r="G1312" s="12" t="n">
        <v>134236.24</v>
      </c>
      <c r="H1312" s="8" t="inlineStr">
        <is>
          <t>m3</t>
        </is>
      </c>
      <c r="I1312" s="8" t="inlineStr">
        <is>
          <t>cumulative</t>
        </is>
      </c>
      <c r="J1312" s="8" t="inlineStr">
        <is>
          <t>CD</t>
        </is>
      </c>
      <c r="K1312" s="8" t="inlineStr"/>
      <c r="L1312" s="10">
        <f>IFERROR(IF(F1312&lt;F1311,"NEGATIVE",ROUND(F1312-F1311,2)),"")</f>
        <v/>
      </c>
    </row>
    <row r="1313" ht="22" customHeight="1">
      <c r="B1313" s="5" t="inlineStr">
        <is>
          <t>R01309</t>
        </is>
      </c>
      <c r="C1313" s="5" t="inlineStr">
        <is>
          <t>MTR-DYE-001</t>
        </is>
      </c>
      <c r="D1313" s="5" t="inlineStr">
        <is>
          <t>Dyeing Hall</t>
        </is>
      </c>
      <c r="E1313" s="5" t="inlineStr">
        <is>
          <t>Dyeing Line A</t>
        </is>
      </c>
      <c r="F1313" s="5" t="inlineStr">
        <is>
          <t>2024-07-30 08:00</t>
        </is>
      </c>
      <c r="G1313" s="11" t="n">
        <v>134290.53</v>
      </c>
      <c r="H1313" s="5" t="inlineStr">
        <is>
          <t>m3</t>
        </is>
      </c>
      <c r="I1313" s="5" t="inlineStr">
        <is>
          <t>cumulative</t>
        </is>
      </c>
      <c r="J1313" s="5" t="inlineStr">
        <is>
          <t>KL</t>
        </is>
      </c>
      <c r="K1313" s="5" t="inlineStr"/>
      <c r="L1313" s="7">
        <f>IFERROR(IF(F1313&lt;F1312,"NEGATIVE",ROUND(F1313-F1312,2)),"")</f>
        <v/>
      </c>
    </row>
    <row r="1314" ht="22" customHeight="1">
      <c r="B1314" s="8" t="inlineStr">
        <is>
          <t>R01310</t>
        </is>
      </c>
      <c r="C1314" s="8" t="inlineStr">
        <is>
          <t>MTR-DYE-001</t>
        </is>
      </c>
      <c r="D1314" s="8" t="inlineStr">
        <is>
          <t>Dyeing Hall</t>
        </is>
      </c>
      <c r="E1314" s="8" t="inlineStr">
        <is>
          <t>Dyeing Line A</t>
        </is>
      </c>
      <c r="F1314" s="8" t="inlineStr">
        <is>
          <t>2024-07-31 08:00</t>
        </is>
      </c>
      <c r="G1314" s="12" t="n">
        <v>134353.19</v>
      </c>
      <c r="H1314" s="8" t="inlineStr">
        <is>
          <t>m3</t>
        </is>
      </c>
      <c r="I1314" s="8" t="inlineStr">
        <is>
          <t>cumulative</t>
        </is>
      </c>
      <c r="J1314" s="8" t="inlineStr">
        <is>
          <t>KL</t>
        </is>
      </c>
      <c r="K1314" s="8" t="inlineStr"/>
      <c r="L1314" s="10">
        <f>IFERROR(IF(F1314&lt;F1313,"NEGATIVE",ROUND(F1314-F1313,2)),"")</f>
        <v/>
      </c>
    </row>
    <row r="1315" ht="22" customHeight="1">
      <c r="B1315" s="5" t="inlineStr">
        <is>
          <t>R01311</t>
        </is>
      </c>
      <c r="C1315" s="5" t="inlineStr">
        <is>
          <t>MTR-DYE-001</t>
        </is>
      </c>
      <c r="D1315" s="5" t="inlineStr">
        <is>
          <t>Dyeing Hall</t>
        </is>
      </c>
      <c r="E1315" s="5" t="inlineStr">
        <is>
          <t>Dyeing Line A</t>
        </is>
      </c>
      <c r="F1315" s="5" t="inlineStr">
        <is>
          <t>2024-08-01 08:00</t>
        </is>
      </c>
      <c r="G1315" s="11" t="n">
        <v>134407.56</v>
      </c>
      <c r="H1315" s="5" t="inlineStr">
        <is>
          <t>m3</t>
        </is>
      </c>
      <c r="I1315" s="5" t="inlineStr">
        <is>
          <t>cumulative</t>
        </is>
      </c>
      <c r="J1315" s="5" t="inlineStr">
        <is>
          <t>KL</t>
        </is>
      </c>
      <c r="K1315" s="5" t="inlineStr"/>
      <c r="L1315" s="7">
        <f>IFERROR(IF(F1315&lt;F1314,"NEGATIVE",ROUND(F1315-F1314,2)),"")</f>
        <v/>
      </c>
    </row>
    <row r="1316" ht="22" customHeight="1">
      <c r="B1316" s="8" t="inlineStr">
        <is>
          <t>R01312</t>
        </is>
      </c>
      <c r="C1316" s="8" t="inlineStr">
        <is>
          <t>MTR-DYE-001</t>
        </is>
      </c>
      <c r="D1316" s="8" t="inlineStr">
        <is>
          <t>Dyeing Hall</t>
        </is>
      </c>
      <c r="E1316" s="8" t="inlineStr">
        <is>
          <t>Dyeing Line A</t>
        </is>
      </c>
      <c r="F1316" s="8" t="inlineStr">
        <is>
          <t>2024-08-02 08:00</t>
        </is>
      </c>
      <c r="G1316" s="12" t="n">
        <v>134458.1</v>
      </c>
      <c r="H1316" s="8" t="inlineStr">
        <is>
          <t>m3</t>
        </is>
      </c>
      <c r="I1316" s="8" t="inlineStr">
        <is>
          <t>cumulative</t>
        </is>
      </c>
      <c r="J1316" s="8" t="inlineStr">
        <is>
          <t>GH</t>
        </is>
      </c>
      <c r="K1316" s="8" t="inlineStr"/>
      <c r="L1316" s="10">
        <f>IFERROR(IF(F1316&lt;F1315,"NEGATIVE",ROUND(F1316-F1315,2)),"")</f>
        <v/>
      </c>
    </row>
    <row r="1317" ht="22" customHeight="1">
      <c r="B1317" s="5" t="inlineStr">
        <is>
          <t>R01313</t>
        </is>
      </c>
      <c r="C1317" s="5" t="inlineStr">
        <is>
          <t>MTR-DYE-001</t>
        </is>
      </c>
      <c r="D1317" s="5" t="inlineStr">
        <is>
          <t>Dyeing Hall</t>
        </is>
      </c>
      <c r="E1317" s="5" t="inlineStr">
        <is>
          <t>Dyeing Line A</t>
        </is>
      </c>
      <c r="F1317" s="5" t="inlineStr">
        <is>
          <t>2024-08-03 08:00</t>
        </is>
      </c>
      <c r="G1317" s="11" t="n">
        <v>134505.51</v>
      </c>
      <c r="H1317" s="5" t="inlineStr">
        <is>
          <t>m3</t>
        </is>
      </c>
      <c r="I1317" s="5" t="inlineStr">
        <is>
          <t>cumulative</t>
        </is>
      </c>
      <c r="J1317" s="5" t="inlineStr">
        <is>
          <t>AB</t>
        </is>
      </c>
      <c r="K1317" s="5" t="inlineStr"/>
      <c r="L1317" s="7">
        <f>IFERROR(IF(F1317&lt;F1316,"NEGATIVE",ROUND(F1317-F1316,2)),"")</f>
        <v/>
      </c>
    </row>
    <row r="1318" ht="22" customHeight="1">
      <c r="B1318" s="8" t="inlineStr">
        <is>
          <t>R01314</t>
        </is>
      </c>
      <c r="C1318" s="8" t="inlineStr">
        <is>
          <t>MTR-DYE-001</t>
        </is>
      </c>
      <c r="D1318" s="8" t="inlineStr">
        <is>
          <t>Dyeing Hall</t>
        </is>
      </c>
      <c r="E1318" s="8" t="inlineStr">
        <is>
          <t>Dyeing Line A</t>
        </is>
      </c>
      <c r="F1318" s="8" t="inlineStr">
        <is>
          <t>2024-08-04 08:00</t>
        </is>
      </c>
      <c r="G1318" s="12" t="n">
        <v>134536.4</v>
      </c>
      <c r="H1318" s="8" t="inlineStr">
        <is>
          <t>m3</t>
        </is>
      </c>
      <c r="I1318" s="8" t="inlineStr">
        <is>
          <t>cumulative</t>
        </is>
      </c>
      <c r="J1318" s="8" t="inlineStr">
        <is>
          <t>IJ</t>
        </is>
      </c>
      <c r="K1318" s="8" t="inlineStr"/>
      <c r="L1318" s="10">
        <f>IFERROR(IF(F1318&lt;F1317,"NEGATIVE",ROUND(F1318-F1317,2)),"")</f>
        <v/>
      </c>
    </row>
    <row r="1319" ht="22" customHeight="1">
      <c r="B1319" s="5" t="inlineStr">
        <is>
          <t>R01315</t>
        </is>
      </c>
      <c r="C1319" s="5" t="inlineStr">
        <is>
          <t>MTR-DYE-001</t>
        </is>
      </c>
      <c r="D1319" s="5" t="inlineStr">
        <is>
          <t>Dyeing Hall</t>
        </is>
      </c>
      <c r="E1319" s="5" t="inlineStr">
        <is>
          <t>Dyeing Line A</t>
        </is>
      </c>
      <c r="F1319" s="5" t="inlineStr">
        <is>
          <t>2024-08-05 08:00</t>
        </is>
      </c>
      <c r="G1319" s="11" t="n">
        <v>134593.74</v>
      </c>
      <c r="H1319" s="5" t="inlineStr">
        <is>
          <t>m3</t>
        </is>
      </c>
      <c r="I1319" s="5" t="inlineStr">
        <is>
          <t>cumulative</t>
        </is>
      </c>
      <c r="J1319" s="5" t="inlineStr">
        <is>
          <t>EF</t>
        </is>
      </c>
      <c r="K1319" s="5" t="inlineStr"/>
      <c r="L1319" s="7">
        <f>IFERROR(IF(F1319&lt;F1318,"NEGATIVE",ROUND(F1319-F1318,2)),"")</f>
        <v/>
      </c>
    </row>
    <row r="1320" ht="22" customHeight="1">
      <c r="B1320" s="8" t="inlineStr">
        <is>
          <t>R01316</t>
        </is>
      </c>
      <c r="C1320" s="8" t="inlineStr">
        <is>
          <t>MTR-DYE-001</t>
        </is>
      </c>
      <c r="D1320" s="8" t="inlineStr">
        <is>
          <t>Dyeing Hall</t>
        </is>
      </c>
      <c r="E1320" s="8" t="inlineStr">
        <is>
          <t>Dyeing Line A</t>
        </is>
      </c>
      <c r="F1320" s="8" t="inlineStr">
        <is>
          <t>2024-08-06 08:00</t>
        </is>
      </c>
      <c r="G1320" s="12" t="n">
        <v>134653.31</v>
      </c>
      <c r="H1320" s="8" t="inlineStr">
        <is>
          <t>m3</t>
        </is>
      </c>
      <c r="I1320" s="8" t="inlineStr">
        <is>
          <t>cumulative</t>
        </is>
      </c>
      <c r="J1320" s="8" t="inlineStr">
        <is>
          <t>AB</t>
        </is>
      </c>
      <c r="K1320" s="8" t="inlineStr"/>
      <c r="L1320" s="10">
        <f>IFERROR(IF(F1320&lt;F1319,"NEGATIVE",ROUND(F1320-F1319,2)),"")</f>
        <v/>
      </c>
    </row>
    <row r="1321" ht="22" customHeight="1">
      <c r="B1321" s="5" t="inlineStr">
        <is>
          <t>R01317</t>
        </is>
      </c>
      <c r="C1321" s="5" t="inlineStr">
        <is>
          <t>MTR-DYE-001</t>
        </is>
      </c>
      <c r="D1321" s="5" t="inlineStr">
        <is>
          <t>Dyeing Hall</t>
        </is>
      </c>
      <c r="E1321" s="5" t="inlineStr">
        <is>
          <t>Dyeing Line A</t>
        </is>
      </c>
      <c r="F1321" s="5" t="inlineStr">
        <is>
          <t>2024-08-07 08:00</t>
        </is>
      </c>
      <c r="G1321" s="11" t="n">
        <v>134711.3</v>
      </c>
      <c r="H1321" s="5" t="inlineStr">
        <is>
          <t>m3</t>
        </is>
      </c>
      <c r="I1321" s="5" t="inlineStr">
        <is>
          <t>cumulative</t>
        </is>
      </c>
      <c r="J1321" s="5" t="inlineStr">
        <is>
          <t>IJ</t>
        </is>
      </c>
      <c r="K1321" s="5" t="inlineStr"/>
      <c r="L1321" s="7">
        <f>IFERROR(IF(F1321&lt;F1320,"NEGATIVE",ROUND(F1321-F1320,2)),"")</f>
        <v/>
      </c>
    </row>
    <row r="1322" ht="22" customHeight="1">
      <c r="B1322" s="8" t="inlineStr">
        <is>
          <t>R01318</t>
        </is>
      </c>
      <c r="C1322" s="8" t="inlineStr">
        <is>
          <t>MTR-DYE-001</t>
        </is>
      </c>
      <c r="D1322" s="8" t="inlineStr">
        <is>
          <t>Dyeing Hall</t>
        </is>
      </c>
      <c r="E1322" s="8" t="inlineStr">
        <is>
          <t>Dyeing Line A</t>
        </is>
      </c>
      <c r="F1322" s="8" t="inlineStr">
        <is>
          <t>2024-08-08 08:00</t>
        </is>
      </c>
      <c r="G1322" s="12" t="n">
        <v>134773.28</v>
      </c>
      <c r="H1322" s="8" t="inlineStr">
        <is>
          <t>m3</t>
        </is>
      </c>
      <c r="I1322" s="8" t="inlineStr">
        <is>
          <t>cumulative</t>
        </is>
      </c>
      <c r="J1322" s="8" t="inlineStr">
        <is>
          <t>EF</t>
        </is>
      </c>
      <c r="K1322" s="8" t="inlineStr"/>
      <c r="L1322" s="10">
        <f>IFERROR(IF(F1322&lt;F1321,"NEGATIVE",ROUND(F1322-F1321,2)),"")</f>
        <v/>
      </c>
    </row>
    <row r="1323" ht="22" customHeight="1">
      <c r="B1323" s="5" t="inlineStr">
        <is>
          <t>R01319</t>
        </is>
      </c>
      <c r="C1323" s="5" t="inlineStr">
        <is>
          <t>MTR-DYE-001</t>
        </is>
      </c>
      <c r="D1323" s="5" t="inlineStr">
        <is>
          <t>Dyeing Hall</t>
        </is>
      </c>
      <c r="E1323" s="5" t="inlineStr">
        <is>
          <t>Dyeing Line A</t>
        </is>
      </c>
      <c r="F1323" s="5" t="inlineStr">
        <is>
          <t>2024-08-09 08:00</t>
        </is>
      </c>
      <c r="G1323" s="11" t="n">
        <v>134829.02</v>
      </c>
      <c r="H1323" s="5" t="inlineStr">
        <is>
          <t>m3</t>
        </is>
      </c>
      <c r="I1323" s="5" t="inlineStr">
        <is>
          <t>cumulative</t>
        </is>
      </c>
      <c r="J1323" s="5" t="inlineStr">
        <is>
          <t>GH</t>
        </is>
      </c>
      <c r="K1323" s="5" t="inlineStr"/>
      <c r="L1323" s="7">
        <f>IFERROR(IF(F1323&lt;F1322,"NEGATIVE",ROUND(F1323-F1322,2)),"")</f>
        <v/>
      </c>
    </row>
    <row r="1324" ht="22" customHeight="1">
      <c r="B1324" s="8" t="inlineStr">
        <is>
          <t>R01320</t>
        </is>
      </c>
      <c r="C1324" s="8" t="inlineStr">
        <is>
          <t>MTR-DYE-001</t>
        </is>
      </c>
      <c r="D1324" s="8" t="inlineStr">
        <is>
          <t>Dyeing Hall</t>
        </is>
      </c>
      <c r="E1324" s="8" t="inlineStr">
        <is>
          <t>Dyeing Line A</t>
        </is>
      </c>
      <c r="F1324" s="8" t="inlineStr">
        <is>
          <t>2024-08-10 08:00</t>
        </is>
      </c>
      <c r="G1324" s="12" t="n">
        <v>134868.45</v>
      </c>
      <c r="H1324" s="8" t="inlineStr">
        <is>
          <t>m3</t>
        </is>
      </c>
      <c r="I1324" s="8" t="inlineStr">
        <is>
          <t>cumulative</t>
        </is>
      </c>
      <c r="J1324" s="8" t="inlineStr">
        <is>
          <t>GH</t>
        </is>
      </c>
      <c r="K1324" s="8" t="inlineStr"/>
      <c r="L1324" s="10">
        <f>IFERROR(IF(F1324&lt;F1323,"NEGATIVE",ROUND(F1324-F1323,2)),"")</f>
        <v/>
      </c>
    </row>
    <row r="1325" ht="22" customHeight="1">
      <c r="B1325" s="5" t="inlineStr">
        <is>
          <t>R01321</t>
        </is>
      </c>
      <c r="C1325" s="5" t="inlineStr">
        <is>
          <t>MTR-DYE-001</t>
        </is>
      </c>
      <c r="D1325" s="5" t="inlineStr">
        <is>
          <t>Dyeing Hall</t>
        </is>
      </c>
      <c r="E1325" s="5" t="inlineStr">
        <is>
          <t>Dyeing Line A</t>
        </is>
      </c>
      <c r="F1325" s="5" t="inlineStr">
        <is>
          <t>2024-08-11 08:00</t>
        </is>
      </c>
      <c r="G1325" s="11" t="n">
        <v>134897.4</v>
      </c>
      <c r="H1325" s="5" t="inlineStr">
        <is>
          <t>m3</t>
        </is>
      </c>
      <c r="I1325" s="5" t="inlineStr">
        <is>
          <t>cumulative</t>
        </is>
      </c>
      <c r="J1325" s="5" t="inlineStr">
        <is>
          <t>IJ</t>
        </is>
      </c>
      <c r="K1325" s="5" t="inlineStr"/>
      <c r="L1325" s="7">
        <f>IFERROR(IF(F1325&lt;F1324,"NEGATIVE",ROUND(F1325-F1324,2)),"")</f>
        <v/>
      </c>
    </row>
    <row r="1326" ht="22" customHeight="1">
      <c r="B1326" s="8" t="inlineStr">
        <is>
          <t>R01322</t>
        </is>
      </c>
      <c r="C1326" s="8" t="inlineStr">
        <is>
          <t>MTR-DYE-001</t>
        </is>
      </c>
      <c r="D1326" s="8" t="inlineStr">
        <is>
          <t>Dyeing Hall</t>
        </is>
      </c>
      <c r="E1326" s="8" t="inlineStr">
        <is>
          <t>Dyeing Line A</t>
        </is>
      </c>
      <c r="F1326" s="8" t="inlineStr">
        <is>
          <t>2024-08-12 08:00</t>
        </is>
      </c>
      <c r="G1326" s="12" t="n">
        <v>134949.91</v>
      </c>
      <c r="H1326" s="8" t="inlineStr">
        <is>
          <t>m3</t>
        </is>
      </c>
      <c r="I1326" s="8" t="inlineStr">
        <is>
          <t>cumulative</t>
        </is>
      </c>
      <c r="J1326" s="8" t="inlineStr">
        <is>
          <t>AB</t>
        </is>
      </c>
      <c r="K1326" s="8" t="inlineStr"/>
      <c r="L1326" s="10">
        <f>IFERROR(IF(F1326&lt;F1325,"NEGATIVE",ROUND(F1326-F1325,2)),"")</f>
        <v/>
      </c>
    </row>
    <row r="1327" ht="22" customHeight="1">
      <c r="B1327" s="5" t="inlineStr">
        <is>
          <t>R01323</t>
        </is>
      </c>
      <c r="C1327" s="5" t="inlineStr">
        <is>
          <t>MTR-DYE-001</t>
        </is>
      </c>
      <c r="D1327" s="5" t="inlineStr">
        <is>
          <t>Dyeing Hall</t>
        </is>
      </c>
      <c r="E1327" s="5" t="inlineStr">
        <is>
          <t>Dyeing Line A</t>
        </is>
      </c>
      <c r="F1327" s="5" t="inlineStr">
        <is>
          <t>2024-08-13 08:00</t>
        </is>
      </c>
      <c r="G1327" s="11" t="n">
        <v>135000.47</v>
      </c>
      <c r="H1327" s="5" t="inlineStr">
        <is>
          <t>m3</t>
        </is>
      </c>
      <c r="I1327" s="5" t="inlineStr">
        <is>
          <t>cumulative</t>
        </is>
      </c>
      <c r="J1327" s="5" t="inlineStr">
        <is>
          <t>CD</t>
        </is>
      </c>
      <c r="K1327" s="5" t="inlineStr"/>
      <c r="L1327" s="7">
        <f>IFERROR(IF(F1327&lt;F1326,"NEGATIVE",ROUND(F1327-F1326,2)),"")</f>
        <v/>
      </c>
    </row>
    <row r="1328" ht="22" customHeight="1">
      <c r="B1328" s="8" t="inlineStr">
        <is>
          <t>R01324</t>
        </is>
      </c>
      <c r="C1328" s="8" t="inlineStr">
        <is>
          <t>MTR-DYE-001</t>
        </is>
      </c>
      <c r="D1328" s="8" t="inlineStr">
        <is>
          <t>Dyeing Hall</t>
        </is>
      </c>
      <c r="E1328" s="8" t="inlineStr">
        <is>
          <t>Dyeing Line A</t>
        </is>
      </c>
      <c r="F1328" s="8" t="inlineStr">
        <is>
          <t>2024-08-14 08:00</t>
        </is>
      </c>
      <c r="G1328" s="12" t="n">
        <v>135056.34</v>
      </c>
      <c r="H1328" s="8" t="inlineStr">
        <is>
          <t>m3</t>
        </is>
      </c>
      <c r="I1328" s="8" t="inlineStr">
        <is>
          <t>cumulative</t>
        </is>
      </c>
      <c r="J1328" s="8" t="inlineStr">
        <is>
          <t>CD</t>
        </is>
      </c>
      <c r="K1328" s="8" t="inlineStr"/>
      <c r="L1328" s="10">
        <f>IFERROR(IF(F1328&lt;F1327,"NEGATIVE",ROUND(F1328-F1327,2)),"")</f>
        <v/>
      </c>
    </row>
    <row r="1329" ht="22" customHeight="1">
      <c r="B1329" s="5" t="inlineStr">
        <is>
          <t>R01325</t>
        </is>
      </c>
      <c r="C1329" s="5" t="inlineStr">
        <is>
          <t>MTR-DYE-001</t>
        </is>
      </c>
      <c r="D1329" s="5" t="inlineStr">
        <is>
          <t>Dyeing Hall</t>
        </is>
      </c>
      <c r="E1329" s="5" t="inlineStr">
        <is>
          <t>Dyeing Line A</t>
        </is>
      </c>
      <c r="F1329" s="5" t="inlineStr">
        <is>
          <t>2024-08-15 08:00</t>
        </is>
      </c>
      <c r="G1329" s="11" t="n">
        <v>135115.82</v>
      </c>
      <c r="H1329" s="5" t="inlineStr">
        <is>
          <t>m3</t>
        </is>
      </c>
      <c r="I1329" s="5" t="inlineStr">
        <is>
          <t>cumulative</t>
        </is>
      </c>
      <c r="J1329" s="5" t="inlineStr">
        <is>
          <t>KL</t>
        </is>
      </c>
      <c r="K1329" s="5" t="inlineStr"/>
      <c r="L1329" s="7">
        <f>IFERROR(IF(F1329&lt;F1328,"NEGATIVE",ROUND(F1329-F1328,2)),"")</f>
        <v/>
      </c>
    </row>
    <row r="1330" ht="22" customHeight="1">
      <c r="B1330" s="8" t="inlineStr">
        <is>
          <t>R01326</t>
        </is>
      </c>
      <c r="C1330" s="8" t="inlineStr">
        <is>
          <t>MTR-DYE-001</t>
        </is>
      </c>
      <c r="D1330" s="8" t="inlineStr">
        <is>
          <t>Dyeing Hall</t>
        </is>
      </c>
      <c r="E1330" s="8" t="inlineStr">
        <is>
          <t>Dyeing Line A</t>
        </is>
      </c>
      <c r="F1330" s="8" t="inlineStr">
        <is>
          <t>2024-08-16 08:00</t>
        </is>
      </c>
      <c r="G1330" s="12" t="n">
        <v>135166.76</v>
      </c>
      <c r="H1330" s="8" t="inlineStr">
        <is>
          <t>m3</t>
        </is>
      </c>
      <c r="I1330" s="8" t="inlineStr">
        <is>
          <t>cumulative</t>
        </is>
      </c>
      <c r="J1330" s="8" t="inlineStr">
        <is>
          <t>KL</t>
        </is>
      </c>
      <c r="K1330" s="8" t="inlineStr"/>
      <c r="L1330" s="10">
        <f>IFERROR(IF(F1330&lt;F1329,"NEGATIVE",ROUND(F1330-F1329,2)),"")</f>
        <v/>
      </c>
    </row>
    <row r="1331" ht="22" customHeight="1">
      <c r="B1331" s="5" t="inlineStr">
        <is>
          <t>R01327</t>
        </is>
      </c>
      <c r="C1331" s="5" t="inlineStr">
        <is>
          <t>MTR-DYE-001</t>
        </is>
      </c>
      <c r="D1331" s="5" t="inlineStr">
        <is>
          <t>Dyeing Hall</t>
        </is>
      </c>
      <c r="E1331" s="5" t="inlineStr">
        <is>
          <t>Dyeing Line A</t>
        </is>
      </c>
      <c r="F1331" s="5" t="inlineStr">
        <is>
          <t>2024-08-17 08:00</t>
        </is>
      </c>
      <c r="G1331" s="11" t="n">
        <v>135206.52</v>
      </c>
      <c r="H1331" s="5" t="inlineStr">
        <is>
          <t>m3</t>
        </is>
      </c>
      <c r="I1331" s="5" t="inlineStr">
        <is>
          <t>cumulative</t>
        </is>
      </c>
      <c r="J1331" s="5" t="inlineStr">
        <is>
          <t>IJ</t>
        </is>
      </c>
      <c r="K1331" s="5" t="inlineStr"/>
      <c r="L1331" s="7">
        <f>IFERROR(IF(F1331&lt;F1330,"NEGATIVE",ROUND(F1331-F1330,2)),"")</f>
        <v/>
      </c>
    </row>
    <row r="1332" ht="22" customHeight="1">
      <c r="B1332" s="8" t="inlineStr">
        <is>
          <t>R01328</t>
        </is>
      </c>
      <c r="C1332" s="8" t="inlineStr">
        <is>
          <t>MTR-DYE-001</t>
        </is>
      </c>
      <c r="D1332" s="8" t="inlineStr">
        <is>
          <t>Dyeing Hall</t>
        </is>
      </c>
      <c r="E1332" s="8" t="inlineStr">
        <is>
          <t>Dyeing Line A</t>
        </is>
      </c>
      <c r="F1332" s="8" t="inlineStr">
        <is>
          <t>2024-08-18 08:00</t>
        </is>
      </c>
      <c r="G1332" s="12" t="n">
        <v>135236.46</v>
      </c>
      <c r="H1332" s="8" t="inlineStr">
        <is>
          <t>m3</t>
        </is>
      </c>
      <c r="I1332" s="8" t="inlineStr">
        <is>
          <t>cumulative</t>
        </is>
      </c>
      <c r="J1332" s="8" t="inlineStr">
        <is>
          <t>CD</t>
        </is>
      </c>
      <c r="K1332" s="8" t="inlineStr"/>
      <c r="L1332" s="10">
        <f>IFERROR(IF(F1332&lt;F1331,"NEGATIVE",ROUND(F1332-F1331,2)),"")</f>
        <v/>
      </c>
    </row>
    <row r="1333" ht="22" customHeight="1">
      <c r="B1333" s="5" t="inlineStr">
        <is>
          <t>R01329</t>
        </is>
      </c>
      <c r="C1333" s="5" t="inlineStr">
        <is>
          <t>MTR-DYE-001</t>
        </is>
      </c>
      <c r="D1333" s="5" t="inlineStr">
        <is>
          <t>Dyeing Hall</t>
        </is>
      </c>
      <c r="E1333" s="5" t="inlineStr">
        <is>
          <t>Dyeing Line A</t>
        </is>
      </c>
      <c r="F1333" s="5" t="inlineStr">
        <is>
          <t>2024-08-19 08:00</t>
        </is>
      </c>
      <c r="G1333" s="11" t="n">
        <v>135291.36</v>
      </c>
      <c r="H1333" s="5" t="inlineStr">
        <is>
          <t>m3</t>
        </is>
      </c>
      <c r="I1333" s="5" t="inlineStr">
        <is>
          <t>cumulative</t>
        </is>
      </c>
      <c r="J1333" s="5" t="inlineStr">
        <is>
          <t>KL</t>
        </is>
      </c>
      <c r="K1333" s="5" t="inlineStr"/>
      <c r="L1333" s="7">
        <f>IFERROR(IF(F1333&lt;F1332,"NEGATIVE",ROUND(F1333-F1332,2)),"")</f>
        <v/>
      </c>
    </row>
    <row r="1334" ht="22" customHeight="1">
      <c r="B1334" s="8" t="inlineStr">
        <is>
          <t>R01330</t>
        </is>
      </c>
      <c r="C1334" s="8" t="inlineStr">
        <is>
          <t>MTR-DYE-001</t>
        </is>
      </c>
      <c r="D1334" s="8" t="inlineStr">
        <is>
          <t>Dyeing Hall</t>
        </is>
      </c>
      <c r="E1334" s="8" t="inlineStr">
        <is>
          <t>Dyeing Line A</t>
        </is>
      </c>
      <c r="F1334" s="8" t="inlineStr">
        <is>
          <t>2024-08-20 08:00</t>
        </is>
      </c>
      <c r="G1334" s="12" t="n">
        <v>135348.27</v>
      </c>
      <c r="H1334" s="8" t="inlineStr">
        <is>
          <t>m3</t>
        </is>
      </c>
      <c r="I1334" s="8" t="inlineStr">
        <is>
          <t>cumulative</t>
        </is>
      </c>
      <c r="J1334" s="8" t="inlineStr">
        <is>
          <t>EF</t>
        </is>
      </c>
      <c r="K1334" s="8" t="inlineStr"/>
      <c r="L1334" s="10">
        <f>IFERROR(IF(F1334&lt;F1333,"NEGATIVE",ROUND(F1334-F1333,2)),"")</f>
        <v/>
      </c>
    </row>
    <row r="1335" ht="22" customHeight="1">
      <c r="B1335" s="5" t="inlineStr">
        <is>
          <t>R01331</t>
        </is>
      </c>
      <c r="C1335" s="5" t="inlineStr">
        <is>
          <t>MTR-DYE-001</t>
        </is>
      </c>
      <c r="D1335" s="5" t="inlineStr">
        <is>
          <t>Dyeing Hall</t>
        </is>
      </c>
      <c r="E1335" s="5" t="inlineStr">
        <is>
          <t>Dyeing Line A</t>
        </is>
      </c>
      <c r="F1335" s="5" t="inlineStr">
        <is>
          <t>2024-08-21 08:00</t>
        </is>
      </c>
      <c r="G1335" s="11" t="n">
        <v>135396.18</v>
      </c>
      <c r="H1335" s="5" t="inlineStr">
        <is>
          <t>m3</t>
        </is>
      </c>
      <c r="I1335" s="5" t="inlineStr">
        <is>
          <t>cumulative</t>
        </is>
      </c>
      <c r="J1335" s="5" t="inlineStr">
        <is>
          <t>AB</t>
        </is>
      </c>
      <c r="K1335" s="5" t="inlineStr"/>
      <c r="L1335" s="7">
        <f>IFERROR(IF(F1335&lt;F1334,"NEGATIVE",ROUND(F1335-F1334,2)),"")</f>
        <v/>
      </c>
    </row>
    <row r="1336" ht="22" customHeight="1">
      <c r="B1336" s="8" t="inlineStr">
        <is>
          <t>R01332</t>
        </is>
      </c>
      <c r="C1336" s="8" t="inlineStr">
        <is>
          <t>MTR-DYE-001</t>
        </is>
      </c>
      <c r="D1336" s="8" t="inlineStr">
        <is>
          <t>Dyeing Hall</t>
        </is>
      </c>
      <c r="E1336" s="8" t="inlineStr">
        <is>
          <t>Dyeing Line A</t>
        </is>
      </c>
      <c r="F1336" s="8" t="inlineStr">
        <is>
          <t>2024-08-22 08:00</t>
        </is>
      </c>
      <c r="G1336" s="12" t="n">
        <v>135451.96</v>
      </c>
      <c r="H1336" s="8" t="inlineStr">
        <is>
          <t>m3</t>
        </is>
      </c>
      <c r="I1336" s="8" t="inlineStr">
        <is>
          <t>cumulative</t>
        </is>
      </c>
      <c r="J1336" s="8" t="inlineStr">
        <is>
          <t>IJ</t>
        </is>
      </c>
      <c r="K1336" s="8" t="inlineStr"/>
      <c r="L1336" s="10">
        <f>IFERROR(IF(F1336&lt;F1335,"NEGATIVE",ROUND(F1336-F1335,2)),"")</f>
        <v/>
      </c>
    </row>
    <row r="1337" ht="22" customHeight="1">
      <c r="B1337" s="5" t="inlineStr">
        <is>
          <t>R01333</t>
        </is>
      </c>
      <c r="C1337" s="5" t="inlineStr">
        <is>
          <t>MTR-DYE-001</t>
        </is>
      </c>
      <c r="D1337" s="5" t="inlineStr">
        <is>
          <t>Dyeing Hall</t>
        </is>
      </c>
      <c r="E1337" s="5" t="inlineStr">
        <is>
          <t>Dyeing Line A</t>
        </is>
      </c>
      <c r="F1337" s="5" t="inlineStr">
        <is>
          <t>2024-08-23 08:00</t>
        </is>
      </c>
      <c r="G1337" s="11" t="n">
        <v>135503.74</v>
      </c>
      <c r="H1337" s="5" t="inlineStr">
        <is>
          <t>m3</t>
        </is>
      </c>
      <c r="I1337" s="5" t="inlineStr">
        <is>
          <t>cumulative</t>
        </is>
      </c>
      <c r="J1337" s="5" t="inlineStr">
        <is>
          <t>CD</t>
        </is>
      </c>
      <c r="K1337" s="5" t="inlineStr"/>
      <c r="L1337" s="7">
        <f>IFERROR(IF(F1337&lt;F1336,"NEGATIVE",ROUND(F1337-F1336,2)),"")</f>
        <v/>
      </c>
    </row>
    <row r="1338" ht="22" customHeight="1">
      <c r="B1338" s="8" t="inlineStr">
        <is>
          <t>R01334</t>
        </is>
      </c>
      <c r="C1338" s="8" t="inlineStr">
        <is>
          <t>MTR-DYE-001</t>
        </is>
      </c>
      <c r="D1338" s="8" t="inlineStr">
        <is>
          <t>Dyeing Hall</t>
        </is>
      </c>
      <c r="E1338" s="8" t="inlineStr">
        <is>
          <t>Dyeing Line A</t>
        </is>
      </c>
      <c r="F1338" s="8" t="inlineStr">
        <is>
          <t>2024-08-24 08:00</t>
        </is>
      </c>
      <c r="G1338" s="12" t="n">
        <v>135542.65</v>
      </c>
      <c r="H1338" s="8" t="inlineStr">
        <is>
          <t>m3</t>
        </is>
      </c>
      <c r="I1338" s="8" t="inlineStr">
        <is>
          <t>cumulative</t>
        </is>
      </c>
      <c r="J1338" s="8" t="inlineStr">
        <is>
          <t>EF</t>
        </is>
      </c>
      <c r="K1338" s="8" t="inlineStr"/>
      <c r="L1338" s="10">
        <f>IFERROR(IF(F1338&lt;F1337,"NEGATIVE",ROUND(F1338-F1337,2)),"")</f>
        <v/>
      </c>
    </row>
    <row r="1339" ht="22" customHeight="1">
      <c r="B1339" s="5" t="inlineStr">
        <is>
          <t>R01335</t>
        </is>
      </c>
      <c r="C1339" s="5" t="inlineStr">
        <is>
          <t>MTR-DYE-001</t>
        </is>
      </c>
      <c r="D1339" s="5" t="inlineStr">
        <is>
          <t>Dyeing Hall</t>
        </is>
      </c>
      <c r="E1339" s="5" t="inlineStr">
        <is>
          <t>Dyeing Line A</t>
        </is>
      </c>
      <c r="F1339" s="5" t="inlineStr">
        <is>
          <t>2024-08-25 08:00</t>
        </is>
      </c>
      <c r="G1339" s="11" t="n">
        <v>135568.82</v>
      </c>
      <c r="H1339" s="5" t="inlineStr">
        <is>
          <t>m3</t>
        </is>
      </c>
      <c r="I1339" s="5" t="inlineStr">
        <is>
          <t>cumulative</t>
        </is>
      </c>
      <c r="J1339" s="5" t="inlineStr">
        <is>
          <t>GH</t>
        </is>
      </c>
      <c r="K1339" s="5" t="inlineStr"/>
      <c r="L1339" s="7">
        <f>IFERROR(IF(F1339&lt;F1338,"NEGATIVE",ROUND(F1339-F1338,2)),"")</f>
        <v/>
      </c>
    </row>
    <row r="1340" ht="22" customHeight="1">
      <c r="B1340" s="8" t="inlineStr">
        <is>
          <t>R01336</t>
        </is>
      </c>
      <c r="C1340" s="8" t="inlineStr">
        <is>
          <t>MTR-DYE-001</t>
        </is>
      </c>
      <c r="D1340" s="8" t="inlineStr">
        <is>
          <t>Dyeing Hall</t>
        </is>
      </c>
      <c r="E1340" s="8" t="inlineStr">
        <is>
          <t>Dyeing Line A</t>
        </is>
      </c>
      <c r="F1340" s="8" t="inlineStr">
        <is>
          <t>2024-08-26 08:00</t>
        </is>
      </c>
      <c r="G1340" s="12" t="n">
        <v>135621.35</v>
      </c>
      <c r="H1340" s="8" t="inlineStr">
        <is>
          <t>m3</t>
        </is>
      </c>
      <c r="I1340" s="8" t="inlineStr">
        <is>
          <t>cumulative</t>
        </is>
      </c>
      <c r="J1340" s="8" t="inlineStr">
        <is>
          <t>KL</t>
        </is>
      </c>
      <c r="K1340" s="8" t="inlineStr"/>
      <c r="L1340" s="10">
        <f>IFERROR(IF(F1340&lt;F1339,"NEGATIVE",ROUND(F1340-F1339,2)),"")</f>
        <v/>
      </c>
    </row>
    <row r="1341" ht="22" customHeight="1">
      <c r="B1341" s="5" t="inlineStr">
        <is>
          <t>R01337</t>
        </is>
      </c>
      <c r="C1341" s="5" t="inlineStr">
        <is>
          <t>MTR-DYE-001</t>
        </is>
      </c>
      <c r="D1341" s="5" t="inlineStr">
        <is>
          <t>Dyeing Hall</t>
        </is>
      </c>
      <c r="E1341" s="5" t="inlineStr">
        <is>
          <t>Dyeing Line A</t>
        </is>
      </c>
      <c r="F1341" s="5" t="inlineStr">
        <is>
          <t>2024-08-27 08:00</t>
        </is>
      </c>
      <c r="G1341" s="11" t="n">
        <v>135671.81</v>
      </c>
      <c r="H1341" s="5" t="inlineStr">
        <is>
          <t>m3</t>
        </is>
      </c>
      <c r="I1341" s="5" t="inlineStr">
        <is>
          <t>cumulative</t>
        </is>
      </c>
      <c r="J1341" s="5" t="inlineStr">
        <is>
          <t>GH</t>
        </is>
      </c>
      <c r="K1341" s="5" t="inlineStr"/>
      <c r="L1341" s="7">
        <f>IFERROR(IF(F1341&lt;F1340,"NEGATIVE",ROUND(F1341-F1340,2)),"")</f>
        <v/>
      </c>
    </row>
    <row r="1342" ht="22" customHeight="1">
      <c r="B1342" s="8" t="inlineStr">
        <is>
          <t>R01338</t>
        </is>
      </c>
      <c r="C1342" s="8" t="inlineStr">
        <is>
          <t>MTR-DYE-001</t>
        </is>
      </c>
      <c r="D1342" s="8" t="inlineStr">
        <is>
          <t>Dyeing Hall</t>
        </is>
      </c>
      <c r="E1342" s="8" t="inlineStr">
        <is>
          <t>Dyeing Line A</t>
        </is>
      </c>
      <c r="F1342" s="8" t="inlineStr">
        <is>
          <t>2024-08-28 08:00</t>
        </is>
      </c>
      <c r="G1342" s="12" t="n">
        <v>135720.81</v>
      </c>
      <c r="H1342" s="8" t="inlineStr">
        <is>
          <t>m3</t>
        </is>
      </c>
      <c r="I1342" s="8" t="inlineStr">
        <is>
          <t>cumulative</t>
        </is>
      </c>
      <c r="J1342" s="8" t="inlineStr">
        <is>
          <t>KL</t>
        </is>
      </c>
      <c r="K1342" s="8" t="inlineStr"/>
      <c r="L1342" s="10">
        <f>IFERROR(IF(F1342&lt;F1341,"NEGATIVE",ROUND(F1342-F1341,2)),"")</f>
        <v/>
      </c>
    </row>
    <row r="1343" ht="22" customHeight="1">
      <c r="B1343" s="5" t="inlineStr">
        <is>
          <t>R01339</t>
        </is>
      </c>
      <c r="C1343" s="5" t="inlineStr">
        <is>
          <t>MTR-DYE-001</t>
        </is>
      </c>
      <c r="D1343" s="5" t="inlineStr">
        <is>
          <t>Dyeing Hall</t>
        </is>
      </c>
      <c r="E1343" s="5" t="inlineStr">
        <is>
          <t>Dyeing Line A</t>
        </is>
      </c>
      <c r="F1343" s="5" t="inlineStr">
        <is>
          <t>2024-08-29 08:00</t>
        </is>
      </c>
      <c r="G1343" s="11" t="n">
        <v>135773.08</v>
      </c>
      <c r="H1343" s="5" t="inlineStr">
        <is>
          <t>m3</t>
        </is>
      </c>
      <c r="I1343" s="5" t="inlineStr">
        <is>
          <t>cumulative</t>
        </is>
      </c>
      <c r="J1343" s="5" t="inlineStr">
        <is>
          <t>CD</t>
        </is>
      </c>
      <c r="K1343" s="5" t="inlineStr"/>
      <c r="L1343" s="7">
        <f>IFERROR(IF(F1343&lt;F1342,"NEGATIVE",ROUND(F1343-F1342,2)),"")</f>
        <v/>
      </c>
    </row>
    <row r="1344" ht="22" customHeight="1">
      <c r="B1344" s="8" t="inlineStr">
        <is>
          <t>R01340</t>
        </is>
      </c>
      <c r="C1344" s="8" t="inlineStr">
        <is>
          <t>MTR-DYE-001</t>
        </is>
      </c>
      <c r="D1344" s="8" t="inlineStr">
        <is>
          <t>Dyeing Hall</t>
        </is>
      </c>
      <c r="E1344" s="8" t="inlineStr">
        <is>
          <t>Dyeing Line A</t>
        </is>
      </c>
      <c r="F1344" s="8" t="inlineStr">
        <is>
          <t>2024-08-30 08:00</t>
        </is>
      </c>
      <c r="G1344" s="12" t="n">
        <v>135834.44</v>
      </c>
      <c r="H1344" s="8" t="inlineStr">
        <is>
          <t>m3</t>
        </is>
      </c>
      <c r="I1344" s="8" t="inlineStr">
        <is>
          <t>cumulative</t>
        </is>
      </c>
      <c r="J1344" s="8" t="inlineStr">
        <is>
          <t>CD</t>
        </is>
      </c>
      <c r="K1344" s="8" t="inlineStr"/>
      <c r="L1344" s="10">
        <f>IFERROR(IF(F1344&lt;F1343,"NEGATIVE",ROUND(F1344-F1343,2)),"")</f>
        <v/>
      </c>
    </row>
    <row r="1345" ht="22" customHeight="1">
      <c r="B1345" s="5" t="inlineStr">
        <is>
          <t>R01341</t>
        </is>
      </c>
      <c r="C1345" s="5" t="inlineStr">
        <is>
          <t>MTR-DYE-001</t>
        </is>
      </c>
      <c r="D1345" s="5" t="inlineStr">
        <is>
          <t>Dyeing Hall</t>
        </is>
      </c>
      <c r="E1345" s="5" t="inlineStr">
        <is>
          <t>Dyeing Line A</t>
        </is>
      </c>
      <c r="F1345" s="5" t="inlineStr">
        <is>
          <t>2024-08-31 08:00</t>
        </is>
      </c>
      <c r="G1345" s="11" t="n">
        <v>135873.63</v>
      </c>
      <c r="H1345" s="5" t="inlineStr">
        <is>
          <t>m3</t>
        </is>
      </c>
      <c r="I1345" s="5" t="inlineStr">
        <is>
          <t>cumulative</t>
        </is>
      </c>
      <c r="J1345" s="5" t="inlineStr">
        <is>
          <t>GH</t>
        </is>
      </c>
      <c r="K1345" s="5" t="inlineStr"/>
      <c r="L1345" s="7">
        <f>IFERROR(IF(F1345&lt;F1344,"NEGATIVE",ROUND(F1345-F1344,2)),"")</f>
        <v/>
      </c>
    </row>
    <row r="1346" ht="22" customHeight="1">
      <c r="B1346" s="8" t="inlineStr">
        <is>
          <t>R01342</t>
        </is>
      </c>
      <c r="C1346" s="8" t="inlineStr">
        <is>
          <t>MTR-DYE-001</t>
        </is>
      </c>
      <c r="D1346" s="8" t="inlineStr">
        <is>
          <t>Dyeing Hall</t>
        </is>
      </c>
      <c r="E1346" s="8" t="inlineStr">
        <is>
          <t>Dyeing Line A</t>
        </is>
      </c>
      <c r="F1346" s="8" t="inlineStr">
        <is>
          <t>2024-09-01 08:00</t>
        </is>
      </c>
      <c r="G1346" s="12" t="n">
        <v>135901.89</v>
      </c>
      <c r="H1346" s="8" t="inlineStr">
        <is>
          <t>m3</t>
        </is>
      </c>
      <c r="I1346" s="8" t="inlineStr">
        <is>
          <t>cumulative</t>
        </is>
      </c>
      <c r="J1346" s="8" t="inlineStr">
        <is>
          <t>CD</t>
        </is>
      </c>
      <c r="K1346" s="8" t="inlineStr"/>
      <c r="L1346" s="10">
        <f>IFERROR(IF(F1346&lt;F1345,"NEGATIVE",ROUND(F1346-F1345,2)),"")</f>
        <v/>
      </c>
    </row>
    <row r="1347" ht="22" customHeight="1">
      <c r="B1347" s="5" t="inlineStr">
        <is>
          <t>R01343</t>
        </is>
      </c>
      <c r="C1347" s="5" t="inlineStr">
        <is>
          <t>MTR-DYE-001</t>
        </is>
      </c>
      <c r="D1347" s="5" t="inlineStr">
        <is>
          <t>Dyeing Hall</t>
        </is>
      </c>
      <c r="E1347" s="5" t="inlineStr">
        <is>
          <t>Dyeing Line A</t>
        </is>
      </c>
      <c r="F1347" s="5" t="inlineStr">
        <is>
          <t>2024-09-02 08:00</t>
        </is>
      </c>
      <c r="G1347" s="11" t="n">
        <v>135955.96</v>
      </c>
      <c r="H1347" s="5" t="inlineStr">
        <is>
          <t>m3</t>
        </is>
      </c>
      <c r="I1347" s="5" t="inlineStr">
        <is>
          <t>cumulative</t>
        </is>
      </c>
      <c r="J1347" s="5" t="inlineStr">
        <is>
          <t>EF</t>
        </is>
      </c>
      <c r="K1347" s="5" t="inlineStr"/>
      <c r="L1347" s="7">
        <f>IFERROR(IF(F1347&lt;F1346,"NEGATIVE",ROUND(F1347-F1346,2)),"")</f>
        <v/>
      </c>
    </row>
    <row r="1348" ht="22" customHeight="1">
      <c r="B1348" s="8" t="inlineStr">
        <is>
          <t>R01344</t>
        </is>
      </c>
      <c r="C1348" s="8" t="inlineStr">
        <is>
          <t>MTR-DYE-001</t>
        </is>
      </c>
      <c r="D1348" s="8" t="inlineStr">
        <is>
          <t>Dyeing Hall</t>
        </is>
      </c>
      <c r="E1348" s="8" t="inlineStr">
        <is>
          <t>Dyeing Line A</t>
        </is>
      </c>
      <c r="F1348" s="8" t="inlineStr">
        <is>
          <t>2024-09-03 08:00</t>
        </is>
      </c>
      <c r="G1348" s="12" t="n">
        <v>136012.87</v>
      </c>
      <c r="H1348" s="8" t="inlineStr">
        <is>
          <t>m3</t>
        </is>
      </c>
      <c r="I1348" s="8" t="inlineStr">
        <is>
          <t>cumulative</t>
        </is>
      </c>
      <c r="J1348" s="8" t="inlineStr">
        <is>
          <t>EF</t>
        </is>
      </c>
      <c r="K1348" s="8" t="inlineStr"/>
      <c r="L1348" s="10">
        <f>IFERROR(IF(F1348&lt;F1347,"NEGATIVE",ROUND(F1348-F1347,2)),"")</f>
        <v/>
      </c>
    </row>
    <row r="1349" ht="22" customHeight="1">
      <c r="B1349" s="5" t="inlineStr">
        <is>
          <t>R01345</t>
        </is>
      </c>
      <c r="C1349" s="5" t="inlineStr">
        <is>
          <t>MTR-DYE-001</t>
        </is>
      </c>
      <c r="D1349" s="5" t="inlineStr">
        <is>
          <t>Dyeing Hall</t>
        </is>
      </c>
      <c r="E1349" s="5" t="inlineStr">
        <is>
          <t>Dyeing Line A</t>
        </is>
      </c>
      <c r="F1349" s="5" t="inlineStr">
        <is>
          <t>2024-09-04 08:00</t>
        </is>
      </c>
      <c r="G1349" s="11" t="n">
        <v>136061.18</v>
      </c>
      <c r="H1349" s="5" t="inlineStr">
        <is>
          <t>m3</t>
        </is>
      </c>
      <c r="I1349" s="5" t="inlineStr">
        <is>
          <t>cumulative</t>
        </is>
      </c>
      <c r="J1349" s="5" t="inlineStr">
        <is>
          <t>KL</t>
        </is>
      </c>
      <c r="K1349" s="5" t="inlineStr"/>
      <c r="L1349" s="7">
        <f>IFERROR(IF(F1349&lt;F1348,"NEGATIVE",ROUND(F1349-F1348,2)),"")</f>
        <v/>
      </c>
    </row>
    <row r="1350" ht="22" customHeight="1">
      <c r="B1350" s="8" t="inlineStr">
        <is>
          <t>R01346</t>
        </is>
      </c>
      <c r="C1350" s="8" t="inlineStr">
        <is>
          <t>MTR-DYE-001</t>
        </is>
      </c>
      <c r="D1350" s="8" t="inlineStr">
        <is>
          <t>Dyeing Hall</t>
        </is>
      </c>
      <c r="E1350" s="8" t="inlineStr">
        <is>
          <t>Dyeing Line A</t>
        </is>
      </c>
      <c r="F1350" s="8" t="inlineStr">
        <is>
          <t>2024-09-05 08:00</t>
        </is>
      </c>
      <c r="G1350" s="12" t="n">
        <v>136115.21</v>
      </c>
      <c r="H1350" s="8" t="inlineStr">
        <is>
          <t>m3</t>
        </is>
      </c>
      <c r="I1350" s="8" t="inlineStr">
        <is>
          <t>cumulative</t>
        </is>
      </c>
      <c r="J1350" s="8" t="inlineStr">
        <is>
          <t>IJ</t>
        </is>
      </c>
      <c r="K1350" s="8" t="inlineStr"/>
      <c r="L1350" s="10">
        <f>IFERROR(IF(F1350&lt;F1349,"NEGATIVE",ROUND(F1350-F1349,2)),"")</f>
        <v/>
      </c>
    </row>
    <row r="1351" ht="22" customHeight="1">
      <c r="B1351" s="5" t="inlineStr">
        <is>
          <t>R01347</t>
        </is>
      </c>
      <c r="C1351" s="5" t="inlineStr">
        <is>
          <t>MTR-DYE-001</t>
        </is>
      </c>
      <c r="D1351" s="5" t="inlineStr">
        <is>
          <t>Dyeing Hall</t>
        </is>
      </c>
      <c r="E1351" s="5" t="inlineStr">
        <is>
          <t>Dyeing Line A</t>
        </is>
      </c>
      <c r="F1351" s="5" t="inlineStr">
        <is>
          <t>2024-09-06 08:00</t>
        </is>
      </c>
      <c r="G1351" s="11" t="n">
        <v>136173.13</v>
      </c>
      <c r="H1351" s="5" t="inlineStr">
        <is>
          <t>m3</t>
        </is>
      </c>
      <c r="I1351" s="5" t="inlineStr">
        <is>
          <t>cumulative</t>
        </is>
      </c>
      <c r="J1351" s="5" t="inlineStr">
        <is>
          <t>CD</t>
        </is>
      </c>
      <c r="K1351" s="5" t="inlineStr"/>
      <c r="L1351" s="7">
        <f>IFERROR(IF(F1351&lt;F1350,"NEGATIVE",ROUND(F1351-F1350,2)),"")</f>
        <v/>
      </c>
    </row>
    <row r="1352" ht="22" customHeight="1">
      <c r="B1352" s="8" t="inlineStr">
        <is>
          <t>R01348</t>
        </is>
      </c>
      <c r="C1352" s="8" t="inlineStr">
        <is>
          <t>MTR-DYE-001</t>
        </is>
      </c>
      <c r="D1352" s="8" t="inlineStr">
        <is>
          <t>Dyeing Hall</t>
        </is>
      </c>
      <c r="E1352" s="8" t="inlineStr">
        <is>
          <t>Dyeing Line A</t>
        </is>
      </c>
      <c r="F1352" s="8" t="inlineStr">
        <is>
          <t>2024-09-07 08:00</t>
        </is>
      </c>
      <c r="G1352" s="12" t="n">
        <v>136213.68</v>
      </c>
      <c r="H1352" s="8" t="inlineStr">
        <is>
          <t>m3</t>
        </is>
      </c>
      <c r="I1352" s="8" t="inlineStr">
        <is>
          <t>cumulative</t>
        </is>
      </c>
      <c r="J1352" s="8" t="inlineStr">
        <is>
          <t>CD</t>
        </is>
      </c>
      <c r="K1352" s="8" t="inlineStr"/>
      <c r="L1352" s="10">
        <f>IFERROR(IF(F1352&lt;F1351,"NEGATIVE",ROUND(F1352-F1351,2)),"")</f>
        <v/>
      </c>
    </row>
    <row r="1353" ht="22" customHeight="1">
      <c r="B1353" s="5" t="inlineStr">
        <is>
          <t>R01349</t>
        </is>
      </c>
      <c r="C1353" s="5" t="inlineStr">
        <is>
          <t>MTR-DYE-001</t>
        </is>
      </c>
      <c r="D1353" s="5" t="inlineStr">
        <is>
          <t>Dyeing Hall</t>
        </is>
      </c>
      <c r="E1353" s="5" t="inlineStr">
        <is>
          <t>Dyeing Line A</t>
        </is>
      </c>
      <c r="F1353" s="5" t="inlineStr">
        <is>
          <t>2024-09-08 08:00</t>
        </is>
      </c>
      <c r="G1353" s="11" t="n">
        <v>136243.85</v>
      </c>
      <c r="H1353" s="5" t="inlineStr">
        <is>
          <t>m3</t>
        </is>
      </c>
      <c r="I1353" s="5" t="inlineStr">
        <is>
          <t>cumulative</t>
        </is>
      </c>
      <c r="J1353" s="5" t="inlineStr">
        <is>
          <t>AB</t>
        </is>
      </c>
      <c r="K1353" s="5" t="inlineStr"/>
      <c r="L1353" s="7">
        <f>IFERROR(IF(F1353&lt;F1352,"NEGATIVE",ROUND(F1353-F1352,2)),"")</f>
        <v/>
      </c>
    </row>
    <row r="1354" ht="22" customHeight="1">
      <c r="B1354" s="8" t="inlineStr">
        <is>
          <t>R01350</t>
        </is>
      </c>
      <c r="C1354" s="8" t="inlineStr">
        <is>
          <t>MTR-DYE-001</t>
        </is>
      </c>
      <c r="D1354" s="8" t="inlineStr">
        <is>
          <t>Dyeing Hall</t>
        </is>
      </c>
      <c r="E1354" s="8" t="inlineStr">
        <is>
          <t>Dyeing Line A</t>
        </is>
      </c>
      <c r="F1354" s="8" t="inlineStr">
        <is>
          <t>2024-09-09 08:00</t>
        </is>
      </c>
      <c r="G1354" s="12" t="n">
        <v>136290.31</v>
      </c>
      <c r="H1354" s="8" t="inlineStr">
        <is>
          <t>m3</t>
        </is>
      </c>
      <c r="I1354" s="8" t="inlineStr">
        <is>
          <t>cumulative</t>
        </is>
      </c>
      <c r="J1354" s="8" t="inlineStr">
        <is>
          <t>GH</t>
        </is>
      </c>
      <c r="K1354" s="8" t="inlineStr"/>
      <c r="L1354" s="10">
        <f>IFERROR(IF(F1354&lt;F1353,"NEGATIVE",ROUND(F1354-F1353,2)),"")</f>
        <v/>
      </c>
    </row>
    <row r="1355" ht="22" customHeight="1">
      <c r="B1355" s="5" t="inlineStr">
        <is>
          <t>R01351</t>
        </is>
      </c>
      <c r="C1355" s="5" t="inlineStr">
        <is>
          <t>MTR-DYE-001</t>
        </is>
      </c>
      <c r="D1355" s="5" t="inlineStr">
        <is>
          <t>Dyeing Hall</t>
        </is>
      </c>
      <c r="E1355" s="5" t="inlineStr">
        <is>
          <t>Dyeing Line A</t>
        </is>
      </c>
      <c r="F1355" s="5" t="inlineStr">
        <is>
          <t>2024-09-10 08:00</t>
        </is>
      </c>
      <c r="G1355" s="11" t="n">
        <v>136339.56</v>
      </c>
      <c r="H1355" s="5" t="inlineStr">
        <is>
          <t>m3</t>
        </is>
      </c>
      <c r="I1355" s="5" t="inlineStr">
        <is>
          <t>cumulative</t>
        </is>
      </c>
      <c r="J1355" s="5" t="inlineStr">
        <is>
          <t>EF</t>
        </is>
      </c>
      <c r="K1355" s="5" t="inlineStr"/>
      <c r="L1355" s="7">
        <f>IFERROR(IF(F1355&lt;F1354,"NEGATIVE",ROUND(F1355-F1354,2)),"")</f>
        <v/>
      </c>
    </row>
    <row r="1356" ht="22" customHeight="1">
      <c r="B1356" s="8" t="inlineStr">
        <is>
          <t>R01352</t>
        </is>
      </c>
      <c r="C1356" s="8" t="inlineStr">
        <is>
          <t>MTR-DYE-001</t>
        </is>
      </c>
      <c r="D1356" s="8" t="inlineStr">
        <is>
          <t>Dyeing Hall</t>
        </is>
      </c>
      <c r="E1356" s="8" t="inlineStr">
        <is>
          <t>Dyeing Line A</t>
        </is>
      </c>
      <c r="F1356" s="8" t="inlineStr">
        <is>
          <t>2024-09-11 08:00</t>
        </is>
      </c>
      <c r="G1356" s="12" t="n">
        <v>136384.8</v>
      </c>
      <c r="H1356" s="8" t="inlineStr">
        <is>
          <t>m3</t>
        </is>
      </c>
      <c r="I1356" s="8" t="inlineStr">
        <is>
          <t>cumulative</t>
        </is>
      </c>
      <c r="J1356" s="8" t="inlineStr">
        <is>
          <t>CD</t>
        </is>
      </c>
      <c r="K1356" s="8" t="inlineStr"/>
      <c r="L1356" s="10">
        <f>IFERROR(IF(F1356&lt;F1355,"NEGATIVE",ROUND(F1356-F1355,2)),"")</f>
        <v/>
      </c>
    </row>
    <row r="1357" ht="22" customHeight="1">
      <c r="B1357" s="5" t="inlineStr">
        <is>
          <t>R01353</t>
        </is>
      </c>
      <c r="C1357" s="5" t="inlineStr">
        <is>
          <t>MTR-DYE-001</t>
        </is>
      </c>
      <c r="D1357" s="5" t="inlineStr">
        <is>
          <t>Dyeing Hall</t>
        </is>
      </c>
      <c r="E1357" s="5" t="inlineStr">
        <is>
          <t>Dyeing Line A</t>
        </is>
      </c>
      <c r="F1357" s="5" t="inlineStr">
        <is>
          <t>2024-09-12 08:00</t>
        </is>
      </c>
      <c r="G1357" s="11" t="n">
        <v>136431.26</v>
      </c>
      <c r="H1357" s="5" t="inlineStr">
        <is>
          <t>m3</t>
        </is>
      </c>
      <c r="I1357" s="5" t="inlineStr">
        <is>
          <t>cumulative</t>
        </is>
      </c>
      <c r="J1357" s="5" t="inlineStr">
        <is>
          <t>EF</t>
        </is>
      </c>
      <c r="K1357" s="5" t="inlineStr"/>
      <c r="L1357" s="7">
        <f>IFERROR(IF(F1357&lt;F1356,"NEGATIVE",ROUND(F1357-F1356,2)),"")</f>
        <v/>
      </c>
    </row>
    <row r="1358" ht="22" customHeight="1">
      <c r="B1358" s="8" t="inlineStr">
        <is>
          <t>R01354</t>
        </is>
      </c>
      <c r="C1358" s="8" t="inlineStr">
        <is>
          <t>MTR-DYE-001</t>
        </is>
      </c>
      <c r="D1358" s="8" t="inlineStr">
        <is>
          <t>Dyeing Hall</t>
        </is>
      </c>
      <c r="E1358" s="8" t="inlineStr">
        <is>
          <t>Dyeing Line A</t>
        </is>
      </c>
      <c r="F1358" s="8" t="inlineStr">
        <is>
          <t>2024-09-13 08:00</t>
        </is>
      </c>
      <c r="G1358" s="12" t="n">
        <v>136483.06</v>
      </c>
      <c r="H1358" s="8" t="inlineStr">
        <is>
          <t>m3</t>
        </is>
      </c>
      <c r="I1358" s="8" t="inlineStr">
        <is>
          <t>cumulative</t>
        </is>
      </c>
      <c r="J1358" s="8" t="inlineStr">
        <is>
          <t>AB</t>
        </is>
      </c>
      <c r="K1358" s="8" t="inlineStr"/>
      <c r="L1358" s="10">
        <f>IFERROR(IF(F1358&lt;F1357,"NEGATIVE",ROUND(F1358-F1357,2)),"")</f>
        <v/>
      </c>
    </row>
    <row r="1359" ht="22" customHeight="1">
      <c r="B1359" s="5" t="inlineStr">
        <is>
          <t>R01355</t>
        </is>
      </c>
      <c r="C1359" s="5" t="inlineStr">
        <is>
          <t>MTR-DYE-001</t>
        </is>
      </c>
      <c r="D1359" s="5" t="inlineStr">
        <is>
          <t>Dyeing Hall</t>
        </is>
      </c>
      <c r="E1359" s="5" t="inlineStr">
        <is>
          <t>Dyeing Line A</t>
        </is>
      </c>
      <c r="F1359" s="5" t="inlineStr">
        <is>
          <t>2024-09-14 08:00</t>
        </is>
      </c>
      <c r="G1359" s="11" t="n">
        <v>136523.89</v>
      </c>
      <c r="H1359" s="5" t="inlineStr">
        <is>
          <t>m3</t>
        </is>
      </c>
      <c r="I1359" s="5" t="inlineStr">
        <is>
          <t>cumulative</t>
        </is>
      </c>
      <c r="J1359" s="5" t="inlineStr">
        <is>
          <t>AB</t>
        </is>
      </c>
      <c r="K1359" s="5" t="inlineStr"/>
      <c r="L1359" s="7">
        <f>IFERROR(IF(F1359&lt;F1358,"NEGATIVE",ROUND(F1359-F1358,2)),"")</f>
        <v/>
      </c>
    </row>
    <row r="1360" ht="22" customHeight="1">
      <c r="B1360" s="8" t="inlineStr">
        <is>
          <t>R01356</t>
        </is>
      </c>
      <c r="C1360" s="8" t="inlineStr">
        <is>
          <t>MTR-DYE-001</t>
        </is>
      </c>
      <c r="D1360" s="8" t="inlineStr">
        <is>
          <t>Dyeing Hall</t>
        </is>
      </c>
      <c r="E1360" s="8" t="inlineStr">
        <is>
          <t>Dyeing Line A</t>
        </is>
      </c>
      <c r="F1360" s="8" t="inlineStr">
        <is>
          <t>2024-09-15 00:00</t>
        </is>
      </c>
      <c r="G1360" s="12" t="n">
        <v>141406.46</v>
      </c>
      <c r="H1360" s="8" t="inlineStr">
        <is>
          <t>m3</t>
        </is>
      </c>
      <c r="I1360" s="8" t="inlineStr">
        <is>
          <t>cumulative</t>
        </is>
      </c>
      <c r="J1360" s="8" t="inlineStr">
        <is>
          <t>CD</t>
        </is>
      </c>
      <c r="K1360" s="8" t="inlineStr">
        <is>
          <t>hourly batch</t>
        </is>
      </c>
      <c r="L1360" s="10">
        <f>IFERROR(IF(F1360&lt;F1359,"NEGATIVE",ROUND(F1360-F1359,2)),"")</f>
        <v/>
      </c>
    </row>
    <row r="1361" ht="22" customHeight="1">
      <c r="B1361" s="5" t="inlineStr">
        <is>
          <t>R01357</t>
        </is>
      </c>
      <c r="C1361" s="5" t="inlineStr">
        <is>
          <t>MTR-DYE-001</t>
        </is>
      </c>
      <c r="D1361" s="5" t="inlineStr">
        <is>
          <t>Dyeing Hall</t>
        </is>
      </c>
      <c r="E1361" s="5" t="inlineStr">
        <is>
          <t>Dyeing Line A</t>
        </is>
      </c>
      <c r="F1361" s="5" t="inlineStr">
        <is>
          <t>2024-09-15 01:00</t>
        </is>
      </c>
      <c r="G1361" s="11" t="n">
        <v>141408.58</v>
      </c>
      <c r="H1361" s="5" t="inlineStr">
        <is>
          <t>m3</t>
        </is>
      </c>
      <c r="I1361" s="5" t="inlineStr">
        <is>
          <t>cumulative</t>
        </is>
      </c>
      <c r="J1361" s="5" t="inlineStr">
        <is>
          <t>AB</t>
        </is>
      </c>
      <c r="K1361" s="5" t="inlineStr"/>
      <c r="L1361" s="7">
        <f>IFERROR(IF(F1361&lt;F1360,"NEGATIVE",ROUND(F1361-F1360,2)),"")</f>
        <v/>
      </c>
    </row>
    <row r="1362" ht="22" customHeight="1">
      <c r="B1362" s="8" t="inlineStr">
        <is>
          <t>R01358</t>
        </is>
      </c>
      <c r="C1362" s="8" t="inlineStr">
        <is>
          <t>MTR-DYE-001</t>
        </is>
      </c>
      <c r="D1362" s="8" t="inlineStr">
        <is>
          <t>Dyeing Hall</t>
        </is>
      </c>
      <c r="E1362" s="8" t="inlineStr">
        <is>
          <t>Dyeing Line A</t>
        </is>
      </c>
      <c r="F1362" s="8" t="inlineStr">
        <is>
          <t>2024-09-15 02:00</t>
        </is>
      </c>
      <c r="G1362" s="12" t="n">
        <v>141410.4</v>
      </c>
      <c r="H1362" s="8" t="inlineStr">
        <is>
          <t>m3</t>
        </is>
      </c>
      <c r="I1362" s="8" t="inlineStr">
        <is>
          <t>cumulative</t>
        </is>
      </c>
      <c r="J1362" s="8" t="inlineStr">
        <is>
          <t>GH</t>
        </is>
      </c>
      <c r="K1362" s="8" t="inlineStr"/>
      <c r="L1362" s="10">
        <f>IFERROR(IF(F1362&lt;F1361,"NEGATIVE",ROUND(F1362-F1361,2)),"")</f>
        <v/>
      </c>
    </row>
    <row r="1363" ht="22" customHeight="1">
      <c r="B1363" s="5" t="inlineStr">
        <is>
          <t>R01359</t>
        </is>
      </c>
      <c r="C1363" s="5" t="inlineStr">
        <is>
          <t>MTR-DYE-001</t>
        </is>
      </c>
      <c r="D1363" s="5" t="inlineStr">
        <is>
          <t>Dyeing Hall</t>
        </is>
      </c>
      <c r="E1363" s="5" t="inlineStr">
        <is>
          <t>Dyeing Line A</t>
        </is>
      </c>
      <c r="F1363" s="5" t="inlineStr">
        <is>
          <t>2024-09-15 03:00</t>
        </is>
      </c>
      <c r="G1363" s="11" t="n">
        <v>141412.14</v>
      </c>
      <c r="H1363" s="5" t="inlineStr">
        <is>
          <t>m3</t>
        </is>
      </c>
      <c r="I1363" s="5" t="inlineStr">
        <is>
          <t>cumulative</t>
        </is>
      </c>
      <c r="J1363" s="5" t="inlineStr">
        <is>
          <t>EF</t>
        </is>
      </c>
      <c r="K1363" s="5" t="inlineStr"/>
      <c r="L1363" s="7">
        <f>IFERROR(IF(F1363&lt;F1362,"NEGATIVE",ROUND(F1363-F1362,2)),"")</f>
        <v/>
      </c>
    </row>
    <row r="1364" ht="22" customHeight="1">
      <c r="B1364" s="8" t="inlineStr">
        <is>
          <t>R01360</t>
        </is>
      </c>
      <c r="C1364" s="8" t="inlineStr">
        <is>
          <t>MTR-DYE-001</t>
        </is>
      </c>
      <c r="D1364" s="8" t="inlineStr">
        <is>
          <t>Dyeing Hall</t>
        </is>
      </c>
      <c r="E1364" s="8" t="inlineStr">
        <is>
          <t>Dyeing Line A</t>
        </is>
      </c>
      <c r="F1364" s="8" t="inlineStr">
        <is>
          <t>2024-09-15 04:00</t>
        </is>
      </c>
      <c r="G1364" s="12" t="n">
        <v>141413.75</v>
      </c>
      <c r="H1364" s="8" t="inlineStr">
        <is>
          <t>m3</t>
        </is>
      </c>
      <c r="I1364" s="8" t="inlineStr">
        <is>
          <t>cumulative</t>
        </is>
      </c>
      <c r="J1364" s="8" t="inlineStr">
        <is>
          <t>IJ</t>
        </is>
      </c>
      <c r="K1364" s="8" t="inlineStr"/>
      <c r="L1364" s="10">
        <f>IFERROR(IF(F1364&lt;F1363,"NEGATIVE",ROUND(F1364-F1363,2)),"")</f>
        <v/>
      </c>
    </row>
    <row r="1365" ht="22" customHeight="1">
      <c r="B1365" s="5" t="inlineStr">
        <is>
          <t>R01361</t>
        </is>
      </c>
      <c r="C1365" s="5" t="inlineStr">
        <is>
          <t>MTR-DYE-001</t>
        </is>
      </c>
      <c r="D1365" s="5" t="inlineStr">
        <is>
          <t>Dyeing Hall</t>
        </is>
      </c>
      <c r="E1365" s="5" t="inlineStr">
        <is>
          <t>Dyeing Line A</t>
        </is>
      </c>
      <c r="F1365" s="5" t="inlineStr">
        <is>
          <t>2024-09-15 05:00</t>
        </is>
      </c>
      <c r="G1365" s="11" t="n">
        <v>141415.96</v>
      </c>
      <c r="H1365" s="5" t="inlineStr">
        <is>
          <t>m3</t>
        </is>
      </c>
      <c r="I1365" s="5" t="inlineStr">
        <is>
          <t>cumulative</t>
        </is>
      </c>
      <c r="J1365" s="5" t="inlineStr">
        <is>
          <t>AB</t>
        </is>
      </c>
      <c r="K1365" s="5" t="inlineStr"/>
      <c r="L1365" s="7">
        <f>IFERROR(IF(F1365&lt;F1364,"NEGATIVE",ROUND(F1365-F1364,2)),"")</f>
        <v/>
      </c>
    </row>
    <row r="1366" ht="22" customHeight="1">
      <c r="B1366" s="8" t="inlineStr">
        <is>
          <t>R01362</t>
        </is>
      </c>
      <c r="C1366" s="8" t="inlineStr">
        <is>
          <t>MTR-DYE-001</t>
        </is>
      </c>
      <c r="D1366" s="8" t="inlineStr">
        <is>
          <t>Dyeing Hall</t>
        </is>
      </c>
      <c r="E1366" s="8" t="inlineStr">
        <is>
          <t>Dyeing Line A</t>
        </is>
      </c>
      <c r="F1366" s="8" t="inlineStr">
        <is>
          <t>2024-09-15 06:00</t>
        </is>
      </c>
      <c r="G1366" s="12" t="n">
        <v>141417.74</v>
      </c>
      <c r="H1366" s="8" t="inlineStr">
        <is>
          <t>m3</t>
        </is>
      </c>
      <c r="I1366" s="8" t="inlineStr">
        <is>
          <t>cumulative</t>
        </is>
      </c>
      <c r="J1366" s="8" t="inlineStr">
        <is>
          <t>KL</t>
        </is>
      </c>
      <c r="K1366" s="8" t="inlineStr">
        <is>
          <t>hourly batch</t>
        </is>
      </c>
      <c r="L1366" s="10">
        <f>IFERROR(IF(F1366&lt;F1365,"NEGATIVE",ROUND(F1366-F1365,2)),"")</f>
        <v/>
      </c>
    </row>
    <row r="1367" ht="22" customHeight="1">
      <c r="B1367" s="5" t="inlineStr">
        <is>
          <t>R01363</t>
        </is>
      </c>
      <c r="C1367" s="5" t="inlineStr">
        <is>
          <t>MTR-DYE-001</t>
        </is>
      </c>
      <c r="D1367" s="5" t="inlineStr">
        <is>
          <t>Dyeing Hall</t>
        </is>
      </c>
      <c r="E1367" s="5" t="inlineStr">
        <is>
          <t>Dyeing Line A</t>
        </is>
      </c>
      <c r="F1367" s="5" t="inlineStr">
        <is>
          <t>2024-09-15 07:00</t>
        </is>
      </c>
      <c r="G1367" s="11" t="n">
        <v>141420.03</v>
      </c>
      <c r="H1367" s="5" t="inlineStr">
        <is>
          <t>m3</t>
        </is>
      </c>
      <c r="I1367" s="5" t="inlineStr">
        <is>
          <t>cumulative</t>
        </is>
      </c>
      <c r="J1367" s="5" t="inlineStr">
        <is>
          <t>AB</t>
        </is>
      </c>
      <c r="K1367" s="5" t="inlineStr"/>
      <c r="L1367" s="7">
        <f>IFERROR(IF(F1367&lt;F1366,"NEGATIVE",ROUND(F1367-F1366,2)),"")</f>
        <v/>
      </c>
    </row>
    <row r="1368" ht="22" customHeight="1">
      <c r="B1368" s="8" t="inlineStr">
        <is>
          <t>R01364</t>
        </is>
      </c>
      <c r="C1368" s="8" t="inlineStr">
        <is>
          <t>MTR-DYE-001</t>
        </is>
      </c>
      <c r="D1368" s="8" t="inlineStr">
        <is>
          <t>Dyeing Hall</t>
        </is>
      </c>
      <c r="E1368" s="8" t="inlineStr">
        <is>
          <t>Dyeing Line A</t>
        </is>
      </c>
      <c r="F1368" s="8" t="inlineStr">
        <is>
          <t>2024-09-15 08:00</t>
        </is>
      </c>
      <c r="G1368" s="12" t="n">
        <v>141421.66</v>
      </c>
      <c r="H1368" s="8" t="inlineStr">
        <is>
          <t>m3</t>
        </is>
      </c>
      <c r="I1368" s="8" t="inlineStr">
        <is>
          <t>cumulative</t>
        </is>
      </c>
      <c r="J1368" s="8" t="inlineStr">
        <is>
          <t>EF</t>
        </is>
      </c>
      <c r="K1368" s="8" t="inlineStr"/>
      <c r="L1368" s="10">
        <f>IFERROR(IF(F1368&lt;F1367,"NEGATIVE",ROUND(F1368-F1367,2)),"")</f>
        <v/>
      </c>
    </row>
    <row r="1369" ht="22" customHeight="1">
      <c r="B1369" s="5" t="inlineStr">
        <is>
          <t>R01365</t>
        </is>
      </c>
      <c r="C1369" s="5" t="inlineStr">
        <is>
          <t>MTR-DYE-001</t>
        </is>
      </c>
      <c r="D1369" s="5" t="inlineStr">
        <is>
          <t>Dyeing Hall</t>
        </is>
      </c>
      <c r="E1369" s="5" t="inlineStr">
        <is>
          <t>Dyeing Line A</t>
        </is>
      </c>
      <c r="F1369" s="5" t="inlineStr">
        <is>
          <t>2024-09-15 09:00</t>
        </is>
      </c>
      <c r="G1369" s="11" t="n">
        <v>141423.66</v>
      </c>
      <c r="H1369" s="5" t="inlineStr">
        <is>
          <t>m3</t>
        </is>
      </c>
      <c r="I1369" s="5" t="inlineStr">
        <is>
          <t>cumulative</t>
        </is>
      </c>
      <c r="J1369" s="5" t="inlineStr">
        <is>
          <t>KL</t>
        </is>
      </c>
      <c r="K1369" s="5" t="inlineStr"/>
      <c r="L1369" s="7">
        <f>IFERROR(IF(F1369&lt;F1368,"NEGATIVE",ROUND(F1369-F1368,2)),"")</f>
        <v/>
      </c>
    </row>
    <row r="1370" ht="22" customHeight="1">
      <c r="B1370" s="8" t="inlineStr">
        <is>
          <t>R01366</t>
        </is>
      </c>
      <c r="C1370" s="8" t="inlineStr">
        <is>
          <t>MTR-DYE-001</t>
        </is>
      </c>
      <c r="D1370" s="8" t="inlineStr">
        <is>
          <t>Dyeing Hall</t>
        </is>
      </c>
      <c r="E1370" s="8" t="inlineStr">
        <is>
          <t>Dyeing Line A</t>
        </is>
      </c>
      <c r="F1370" s="8" t="inlineStr">
        <is>
          <t>2024-09-15 10:00</t>
        </is>
      </c>
      <c r="G1370" s="12" t="n">
        <v>141425.68</v>
      </c>
      <c r="H1370" s="8" t="inlineStr">
        <is>
          <t>m3</t>
        </is>
      </c>
      <c r="I1370" s="8" t="inlineStr">
        <is>
          <t>cumulative</t>
        </is>
      </c>
      <c r="J1370" s="8" t="inlineStr">
        <is>
          <t>KL</t>
        </is>
      </c>
      <c r="K1370" s="8" t="inlineStr"/>
      <c r="L1370" s="10">
        <f>IFERROR(IF(F1370&lt;F1369,"NEGATIVE",ROUND(F1370-F1369,2)),"")</f>
        <v/>
      </c>
    </row>
    <row r="1371" ht="22" customHeight="1">
      <c r="B1371" s="5" t="inlineStr">
        <is>
          <t>R01367</t>
        </is>
      </c>
      <c r="C1371" s="5" t="inlineStr">
        <is>
          <t>MTR-DYE-001</t>
        </is>
      </c>
      <c r="D1371" s="5" t="inlineStr">
        <is>
          <t>Dyeing Hall</t>
        </is>
      </c>
      <c r="E1371" s="5" t="inlineStr">
        <is>
          <t>Dyeing Line A</t>
        </is>
      </c>
      <c r="F1371" s="5" t="inlineStr">
        <is>
          <t>2024-09-15 11:00</t>
        </is>
      </c>
      <c r="G1371" s="11" t="n">
        <v>141427.43</v>
      </c>
      <c r="H1371" s="5" t="inlineStr">
        <is>
          <t>m3</t>
        </is>
      </c>
      <c r="I1371" s="5" t="inlineStr">
        <is>
          <t>cumulative</t>
        </is>
      </c>
      <c r="J1371" s="5" t="inlineStr">
        <is>
          <t>IJ</t>
        </is>
      </c>
      <c r="K1371" s="5" t="inlineStr"/>
      <c r="L1371" s="7">
        <f>IFERROR(IF(F1371&lt;F1370,"NEGATIVE",ROUND(F1371-F1370,2)),"")</f>
        <v/>
      </c>
    </row>
    <row r="1372" ht="22" customHeight="1">
      <c r="B1372" s="8" t="inlineStr">
        <is>
          <t>R01368</t>
        </is>
      </c>
      <c r="C1372" s="8" t="inlineStr">
        <is>
          <t>MTR-DYE-001</t>
        </is>
      </c>
      <c r="D1372" s="8" t="inlineStr">
        <is>
          <t>Dyeing Hall</t>
        </is>
      </c>
      <c r="E1372" s="8" t="inlineStr">
        <is>
          <t>Dyeing Line A</t>
        </is>
      </c>
      <c r="F1372" s="8" t="inlineStr">
        <is>
          <t>2024-09-15 12:00</t>
        </is>
      </c>
      <c r="G1372" s="12" t="n">
        <v>141429.39</v>
      </c>
      <c r="H1372" s="8" t="inlineStr">
        <is>
          <t>m3</t>
        </is>
      </c>
      <c r="I1372" s="8" t="inlineStr">
        <is>
          <t>cumulative</t>
        </is>
      </c>
      <c r="J1372" s="8" t="inlineStr">
        <is>
          <t>AB</t>
        </is>
      </c>
      <c r="K1372" s="8" t="inlineStr">
        <is>
          <t>hourly batch</t>
        </is>
      </c>
      <c r="L1372" s="10">
        <f>IFERROR(IF(F1372&lt;F1371,"NEGATIVE",ROUND(F1372-F1371,2)),"")</f>
        <v/>
      </c>
    </row>
    <row r="1373" ht="22" customHeight="1">
      <c r="B1373" s="5" t="inlineStr">
        <is>
          <t>R01369</t>
        </is>
      </c>
      <c r="C1373" s="5" t="inlineStr">
        <is>
          <t>MTR-DYE-001</t>
        </is>
      </c>
      <c r="D1373" s="5" t="inlineStr">
        <is>
          <t>Dyeing Hall</t>
        </is>
      </c>
      <c r="E1373" s="5" t="inlineStr">
        <is>
          <t>Dyeing Line A</t>
        </is>
      </c>
      <c r="F1373" s="5" t="inlineStr">
        <is>
          <t>2024-09-15 13:00</t>
        </is>
      </c>
      <c r="G1373" s="11" t="n">
        <v>141431.55</v>
      </c>
      <c r="H1373" s="5" t="inlineStr">
        <is>
          <t>m3</t>
        </is>
      </c>
      <c r="I1373" s="5" t="inlineStr">
        <is>
          <t>cumulative</t>
        </is>
      </c>
      <c r="J1373" s="5" t="inlineStr">
        <is>
          <t>EF</t>
        </is>
      </c>
      <c r="K1373" s="5" t="inlineStr"/>
      <c r="L1373" s="7">
        <f>IFERROR(IF(F1373&lt;F1372,"NEGATIVE",ROUND(F1373-F1372,2)),"")</f>
        <v/>
      </c>
    </row>
    <row r="1374" ht="22" customHeight="1">
      <c r="B1374" s="8" t="inlineStr">
        <is>
          <t>R01370</t>
        </is>
      </c>
      <c r="C1374" s="8" t="inlineStr">
        <is>
          <t>MTR-DYE-001</t>
        </is>
      </c>
      <c r="D1374" s="8" t="inlineStr">
        <is>
          <t>Dyeing Hall</t>
        </is>
      </c>
      <c r="E1374" s="8" t="inlineStr">
        <is>
          <t>Dyeing Line A</t>
        </is>
      </c>
      <c r="F1374" s="8" t="inlineStr">
        <is>
          <t>2024-09-15 14:00</t>
        </is>
      </c>
      <c r="G1374" s="12" t="n">
        <v>141433.49</v>
      </c>
      <c r="H1374" s="8" t="inlineStr">
        <is>
          <t>m3</t>
        </is>
      </c>
      <c r="I1374" s="8" t="inlineStr">
        <is>
          <t>cumulative</t>
        </is>
      </c>
      <c r="J1374" s="8" t="inlineStr">
        <is>
          <t>CD</t>
        </is>
      </c>
      <c r="K1374" s="8" t="inlineStr"/>
      <c r="L1374" s="10">
        <f>IFERROR(IF(F1374&lt;F1373,"NEGATIVE",ROUND(F1374-F1373,2)),"")</f>
        <v/>
      </c>
    </row>
    <row r="1375" ht="22" customHeight="1">
      <c r="B1375" s="5" t="inlineStr">
        <is>
          <t>R01371</t>
        </is>
      </c>
      <c r="C1375" s="5" t="inlineStr">
        <is>
          <t>MTR-DYE-001</t>
        </is>
      </c>
      <c r="D1375" s="5" t="inlineStr">
        <is>
          <t>Dyeing Hall</t>
        </is>
      </c>
      <c r="E1375" s="5" t="inlineStr">
        <is>
          <t>Dyeing Line A</t>
        </is>
      </c>
      <c r="F1375" s="5" t="inlineStr">
        <is>
          <t>2024-09-15 15:00</t>
        </is>
      </c>
      <c r="G1375" s="11" t="n">
        <v>141435.43</v>
      </c>
      <c r="H1375" s="5" t="inlineStr">
        <is>
          <t>m3</t>
        </is>
      </c>
      <c r="I1375" s="5" t="inlineStr">
        <is>
          <t>cumulative</t>
        </is>
      </c>
      <c r="J1375" s="5" t="inlineStr">
        <is>
          <t>IJ</t>
        </is>
      </c>
      <c r="K1375" s="5" t="inlineStr"/>
      <c r="L1375" s="7">
        <f>IFERROR(IF(F1375&lt;F1374,"NEGATIVE",ROUND(F1375-F1374,2)),"")</f>
        <v/>
      </c>
    </row>
    <row r="1376" ht="22" customHeight="1">
      <c r="B1376" s="8" t="inlineStr">
        <is>
          <t>R01372</t>
        </is>
      </c>
      <c r="C1376" s="8" t="inlineStr">
        <is>
          <t>MTR-DYE-001</t>
        </is>
      </c>
      <c r="D1376" s="8" t="inlineStr">
        <is>
          <t>Dyeing Hall</t>
        </is>
      </c>
      <c r="E1376" s="8" t="inlineStr">
        <is>
          <t>Dyeing Line A</t>
        </is>
      </c>
      <c r="F1376" s="8" t="inlineStr">
        <is>
          <t>2024-09-15 16:00</t>
        </is>
      </c>
      <c r="G1376" s="12" t="n">
        <v>141437.06</v>
      </c>
      <c r="H1376" s="8" t="inlineStr">
        <is>
          <t>m3</t>
        </is>
      </c>
      <c r="I1376" s="8" t="inlineStr">
        <is>
          <t>cumulative</t>
        </is>
      </c>
      <c r="J1376" s="8" t="inlineStr">
        <is>
          <t>IJ</t>
        </is>
      </c>
      <c r="K1376" s="8" t="inlineStr"/>
      <c r="L1376" s="10">
        <f>IFERROR(IF(F1376&lt;F1375,"NEGATIVE",ROUND(F1376-F1375,2)),"")</f>
        <v/>
      </c>
    </row>
    <row r="1377" ht="22" customHeight="1">
      <c r="B1377" s="5" t="inlineStr">
        <is>
          <t>R01373</t>
        </is>
      </c>
      <c r="C1377" s="5" t="inlineStr">
        <is>
          <t>MTR-DYE-001</t>
        </is>
      </c>
      <c r="D1377" s="5" t="inlineStr">
        <is>
          <t>Dyeing Hall</t>
        </is>
      </c>
      <c r="E1377" s="5" t="inlineStr">
        <is>
          <t>Dyeing Line A</t>
        </is>
      </c>
      <c r="F1377" s="5" t="inlineStr">
        <is>
          <t>2024-09-15 17:00</t>
        </is>
      </c>
      <c r="G1377" s="11" t="n">
        <v>141439.01</v>
      </c>
      <c r="H1377" s="5" t="inlineStr">
        <is>
          <t>m3</t>
        </is>
      </c>
      <c r="I1377" s="5" t="inlineStr">
        <is>
          <t>cumulative</t>
        </is>
      </c>
      <c r="J1377" s="5" t="inlineStr">
        <is>
          <t>AB</t>
        </is>
      </c>
      <c r="K1377" s="5" t="inlineStr"/>
      <c r="L1377" s="7">
        <f>IFERROR(IF(F1377&lt;F1376,"NEGATIVE",ROUND(F1377-F1376,2)),"")</f>
        <v/>
      </c>
    </row>
    <row r="1378" ht="22" customHeight="1">
      <c r="B1378" s="8" t="inlineStr">
        <is>
          <t>R01374</t>
        </is>
      </c>
      <c r="C1378" s="8" t="inlineStr">
        <is>
          <t>MTR-DYE-001</t>
        </is>
      </c>
      <c r="D1378" s="8" t="inlineStr">
        <is>
          <t>Dyeing Hall</t>
        </is>
      </c>
      <c r="E1378" s="8" t="inlineStr">
        <is>
          <t>Dyeing Line A</t>
        </is>
      </c>
      <c r="F1378" s="8" t="inlineStr">
        <is>
          <t>2024-09-15 18:00</t>
        </is>
      </c>
      <c r="G1378" s="12" t="n">
        <v>141440.8</v>
      </c>
      <c r="H1378" s="8" t="inlineStr">
        <is>
          <t>m3</t>
        </is>
      </c>
      <c r="I1378" s="8" t="inlineStr">
        <is>
          <t>cumulative</t>
        </is>
      </c>
      <c r="J1378" s="8" t="inlineStr">
        <is>
          <t>CD</t>
        </is>
      </c>
      <c r="K1378" s="8" t="inlineStr">
        <is>
          <t>hourly batch</t>
        </is>
      </c>
      <c r="L1378" s="10">
        <f>IFERROR(IF(F1378&lt;F1377,"NEGATIVE",ROUND(F1378-F1377,2)),"")</f>
        <v/>
      </c>
    </row>
    <row r="1379" ht="22" customHeight="1">
      <c r="B1379" s="5" t="inlineStr">
        <is>
          <t>R01375</t>
        </is>
      </c>
      <c r="C1379" s="5" t="inlineStr">
        <is>
          <t>MTR-DYE-001</t>
        </is>
      </c>
      <c r="D1379" s="5" t="inlineStr">
        <is>
          <t>Dyeing Hall</t>
        </is>
      </c>
      <c r="E1379" s="5" t="inlineStr">
        <is>
          <t>Dyeing Line A</t>
        </is>
      </c>
      <c r="F1379" s="5" t="inlineStr">
        <is>
          <t>2024-09-15 19:00</t>
        </is>
      </c>
      <c r="G1379" s="11" t="n">
        <v>141442.86</v>
      </c>
      <c r="H1379" s="5" t="inlineStr">
        <is>
          <t>m3</t>
        </is>
      </c>
      <c r="I1379" s="5" t="inlineStr">
        <is>
          <t>cumulative</t>
        </is>
      </c>
      <c r="J1379" s="5" t="inlineStr">
        <is>
          <t>EF</t>
        </is>
      </c>
      <c r="K1379" s="5" t="inlineStr"/>
      <c r="L1379" s="7">
        <f>IFERROR(IF(F1379&lt;F1378,"NEGATIVE",ROUND(F1379-F1378,2)),"")</f>
        <v/>
      </c>
    </row>
    <row r="1380" ht="22" customHeight="1">
      <c r="B1380" s="8" t="inlineStr">
        <is>
          <t>R01376</t>
        </is>
      </c>
      <c r="C1380" s="8" t="inlineStr">
        <is>
          <t>MTR-DYE-001</t>
        </is>
      </c>
      <c r="D1380" s="8" t="inlineStr">
        <is>
          <t>Dyeing Hall</t>
        </is>
      </c>
      <c r="E1380" s="8" t="inlineStr">
        <is>
          <t>Dyeing Line A</t>
        </is>
      </c>
      <c r="F1380" s="8" t="inlineStr">
        <is>
          <t>2024-09-15 20:00</t>
        </is>
      </c>
      <c r="G1380" s="12" t="n">
        <v>141444.66</v>
      </c>
      <c r="H1380" s="8" t="inlineStr">
        <is>
          <t>m3</t>
        </is>
      </c>
      <c r="I1380" s="8" t="inlineStr">
        <is>
          <t>cumulative</t>
        </is>
      </c>
      <c r="J1380" s="8" t="inlineStr">
        <is>
          <t>CD</t>
        </is>
      </c>
      <c r="K1380" s="8" t="inlineStr"/>
      <c r="L1380" s="10">
        <f>IFERROR(IF(F1380&lt;F1379,"NEGATIVE",ROUND(F1380-F1379,2)),"")</f>
        <v/>
      </c>
    </row>
    <row r="1381" ht="22" customHeight="1">
      <c r="B1381" s="5" t="inlineStr">
        <is>
          <t>R01377</t>
        </is>
      </c>
      <c r="C1381" s="5" t="inlineStr">
        <is>
          <t>MTR-DYE-001</t>
        </is>
      </c>
      <c r="D1381" s="5" t="inlineStr">
        <is>
          <t>Dyeing Hall</t>
        </is>
      </c>
      <c r="E1381" s="5" t="inlineStr">
        <is>
          <t>Dyeing Line A</t>
        </is>
      </c>
      <c r="F1381" s="5" t="inlineStr">
        <is>
          <t>2024-09-15 21:00</t>
        </is>
      </c>
      <c r="G1381" s="11" t="n">
        <v>141446.96</v>
      </c>
      <c r="H1381" s="5" t="inlineStr">
        <is>
          <t>m3</t>
        </is>
      </c>
      <c r="I1381" s="5" t="inlineStr">
        <is>
          <t>cumulative</t>
        </is>
      </c>
      <c r="J1381" s="5" t="inlineStr">
        <is>
          <t>IJ</t>
        </is>
      </c>
      <c r="K1381" s="5" t="inlineStr"/>
      <c r="L1381" s="7">
        <f>IFERROR(IF(F1381&lt;F1380,"NEGATIVE",ROUND(F1381-F1380,2)),"")</f>
        <v/>
      </c>
    </row>
    <row r="1382" ht="22" customHeight="1">
      <c r="B1382" s="8" t="inlineStr">
        <is>
          <t>R01378</t>
        </is>
      </c>
      <c r="C1382" s="8" t="inlineStr">
        <is>
          <t>MTR-DYE-001</t>
        </is>
      </c>
      <c r="D1382" s="8" t="inlineStr">
        <is>
          <t>Dyeing Hall</t>
        </is>
      </c>
      <c r="E1382" s="8" t="inlineStr">
        <is>
          <t>Dyeing Line A</t>
        </is>
      </c>
      <c r="F1382" s="8" t="inlineStr">
        <is>
          <t>2024-09-15 22:00</t>
        </is>
      </c>
      <c r="G1382" s="12" t="n">
        <v>141448.91</v>
      </c>
      <c r="H1382" s="8" t="inlineStr">
        <is>
          <t>m3</t>
        </is>
      </c>
      <c r="I1382" s="8" t="inlineStr">
        <is>
          <t>cumulative</t>
        </is>
      </c>
      <c r="J1382" s="8" t="inlineStr">
        <is>
          <t>IJ</t>
        </is>
      </c>
      <c r="K1382" s="8" t="inlineStr"/>
      <c r="L1382" s="10">
        <f>IFERROR(IF(F1382&lt;F1381,"NEGATIVE",ROUND(F1382-F1381,2)),"")</f>
        <v/>
      </c>
    </row>
    <row r="1383" ht="22" customHeight="1">
      <c r="B1383" s="5" t="inlineStr">
        <is>
          <t>R01379</t>
        </is>
      </c>
      <c r="C1383" s="5" t="inlineStr">
        <is>
          <t>MTR-DYE-001</t>
        </is>
      </c>
      <c r="D1383" s="5" t="inlineStr">
        <is>
          <t>Dyeing Hall</t>
        </is>
      </c>
      <c r="E1383" s="5" t="inlineStr">
        <is>
          <t>Dyeing Line A</t>
        </is>
      </c>
      <c r="F1383" s="5" t="inlineStr">
        <is>
          <t>2024-09-15 23:00</t>
        </is>
      </c>
      <c r="G1383" s="11" t="n">
        <v>141451.1</v>
      </c>
      <c r="H1383" s="5" t="inlineStr">
        <is>
          <t>m3</t>
        </is>
      </c>
      <c r="I1383" s="5" t="inlineStr">
        <is>
          <t>cumulative</t>
        </is>
      </c>
      <c r="J1383" s="5" t="inlineStr">
        <is>
          <t>KL</t>
        </is>
      </c>
      <c r="K1383" s="5" t="inlineStr"/>
      <c r="L1383" s="7">
        <f>IFERROR(IF(F1383&lt;F1382,"NEGATIVE",ROUND(F1383-F1382,2)),"")</f>
        <v/>
      </c>
    </row>
    <row r="1384" ht="22" customHeight="1">
      <c r="B1384" s="8" t="inlineStr">
        <is>
          <t>R01380</t>
        </is>
      </c>
      <c r="C1384" s="8" t="inlineStr">
        <is>
          <t>MTR-DYE-001</t>
        </is>
      </c>
      <c r="D1384" s="8" t="inlineStr">
        <is>
          <t>Dyeing Hall</t>
        </is>
      </c>
      <c r="E1384" s="8" t="inlineStr">
        <is>
          <t>Dyeing Line A</t>
        </is>
      </c>
      <c r="F1384" s="8" t="inlineStr">
        <is>
          <t>2024-09-16 08:00</t>
        </is>
      </c>
      <c r="G1384" s="12" t="n">
        <v>136605.34</v>
      </c>
      <c r="H1384" s="8" t="inlineStr">
        <is>
          <t>m3</t>
        </is>
      </c>
      <c r="I1384" s="8" t="inlineStr">
        <is>
          <t>cumulative</t>
        </is>
      </c>
      <c r="J1384" s="8" t="inlineStr">
        <is>
          <t>CD</t>
        </is>
      </c>
      <c r="K1384" s="8" t="inlineStr"/>
      <c r="L1384" s="10">
        <f>IFERROR(IF(F1384&lt;F1383,"NEGATIVE",ROUND(F1384-F1383,2)),"")</f>
        <v/>
      </c>
    </row>
    <row r="1385" ht="22" customHeight="1">
      <c r="B1385" s="5" t="inlineStr">
        <is>
          <t>R01381</t>
        </is>
      </c>
      <c r="C1385" s="5" t="inlineStr">
        <is>
          <t>MTR-DYE-001</t>
        </is>
      </c>
      <c r="D1385" s="5" t="inlineStr">
        <is>
          <t>Dyeing Hall</t>
        </is>
      </c>
      <c r="E1385" s="5" t="inlineStr">
        <is>
          <t>Dyeing Line A</t>
        </is>
      </c>
      <c r="F1385" s="5" t="inlineStr">
        <is>
          <t>2024-09-17 08:00</t>
        </is>
      </c>
      <c r="G1385" s="11" t="n">
        <v>136659.68</v>
      </c>
      <c r="H1385" s="5" t="inlineStr">
        <is>
          <t>m3</t>
        </is>
      </c>
      <c r="I1385" s="5" t="inlineStr">
        <is>
          <t>cumulative</t>
        </is>
      </c>
      <c r="J1385" s="5" t="inlineStr">
        <is>
          <t>GH</t>
        </is>
      </c>
      <c r="K1385" s="5" t="inlineStr"/>
      <c r="L1385" s="7">
        <f>IFERROR(IF(F1385&lt;F1384,"NEGATIVE",ROUND(F1385-F1384,2)),"")</f>
        <v/>
      </c>
    </row>
    <row r="1386" ht="22" customHeight="1">
      <c r="B1386" s="8" t="inlineStr">
        <is>
          <t>R01382</t>
        </is>
      </c>
      <c r="C1386" s="8" t="inlineStr">
        <is>
          <t>MTR-DYE-001</t>
        </is>
      </c>
      <c r="D1386" s="8" t="inlineStr">
        <is>
          <t>Dyeing Hall</t>
        </is>
      </c>
      <c r="E1386" s="8" t="inlineStr">
        <is>
          <t>Dyeing Line A</t>
        </is>
      </c>
      <c r="F1386" s="8" t="inlineStr">
        <is>
          <t>2024-09-18 08:00</t>
        </is>
      </c>
      <c r="G1386" s="12" t="n">
        <v>136714.31</v>
      </c>
      <c r="H1386" s="8" t="inlineStr">
        <is>
          <t>m3</t>
        </is>
      </c>
      <c r="I1386" s="8" t="inlineStr">
        <is>
          <t>cumulative</t>
        </is>
      </c>
      <c r="J1386" s="8" t="inlineStr">
        <is>
          <t>KL</t>
        </is>
      </c>
      <c r="K1386" s="8" t="inlineStr"/>
      <c r="L1386" s="10">
        <f>IFERROR(IF(F1386&lt;F1385,"NEGATIVE",ROUND(F1386-F1385,2)),"")</f>
        <v/>
      </c>
    </row>
    <row r="1387" ht="22" customHeight="1">
      <c r="B1387" s="5" t="inlineStr">
        <is>
          <t>R01383</t>
        </is>
      </c>
      <c r="C1387" s="5" t="inlineStr">
        <is>
          <t>MTR-DYE-001</t>
        </is>
      </c>
      <c r="D1387" s="5" t="inlineStr">
        <is>
          <t>Dyeing Hall</t>
        </is>
      </c>
      <c r="E1387" s="5" t="inlineStr">
        <is>
          <t>Dyeing Line A</t>
        </is>
      </c>
      <c r="F1387" s="5" t="inlineStr">
        <is>
          <t>2024-09-19 08:00</t>
        </is>
      </c>
      <c r="G1387" s="11" t="n">
        <v>136771.74</v>
      </c>
      <c r="H1387" s="5" t="inlineStr">
        <is>
          <t>m3</t>
        </is>
      </c>
      <c r="I1387" s="5" t="inlineStr">
        <is>
          <t>cumulative</t>
        </is>
      </c>
      <c r="J1387" s="5" t="inlineStr">
        <is>
          <t>CD</t>
        </is>
      </c>
      <c r="K1387" s="5" t="inlineStr"/>
      <c r="L1387" s="7">
        <f>IFERROR(IF(F1387&lt;F1386,"NEGATIVE",ROUND(F1387-F1386,2)),"")</f>
        <v/>
      </c>
    </row>
    <row r="1388" ht="22" customHeight="1">
      <c r="B1388" s="8" t="inlineStr">
        <is>
          <t>R01384</t>
        </is>
      </c>
      <c r="C1388" s="8" t="inlineStr">
        <is>
          <t>MTR-DYE-001</t>
        </is>
      </c>
      <c r="D1388" s="8" t="inlineStr">
        <is>
          <t>Dyeing Hall</t>
        </is>
      </c>
      <c r="E1388" s="8" t="inlineStr">
        <is>
          <t>Dyeing Line A</t>
        </is>
      </c>
      <c r="F1388" s="8" t="inlineStr">
        <is>
          <t>2024-09-20 08:00</t>
        </is>
      </c>
      <c r="G1388" s="12" t="n">
        <v>136818.82</v>
      </c>
      <c r="H1388" s="8" t="inlineStr">
        <is>
          <t>m3</t>
        </is>
      </c>
      <c r="I1388" s="8" t="inlineStr">
        <is>
          <t>cumulative</t>
        </is>
      </c>
      <c r="J1388" s="8" t="inlineStr">
        <is>
          <t>IJ</t>
        </is>
      </c>
      <c r="K1388" s="8" t="inlineStr"/>
      <c r="L1388" s="10">
        <f>IFERROR(IF(F1388&lt;F1387,"NEGATIVE",ROUND(F1388-F1387,2)),"")</f>
        <v/>
      </c>
    </row>
    <row r="1389" ht="22" customHeight="1">
      <c r="B1389" s="5" t="inlineStr">
        <is>
          <t>R01385</t>
        </is>
      </c>
      <c r="C1389" s="5" t="inlineStr">
        <is>
          <t>MTR-DYE-001</t>
        </is>
      </c>
      <c r="D1389" s="5" t="inlineStr">
        <is>
          <t>Dyeing Hall</t>
        </is>
      </c>
      <c r="E1389" s="5" t="inlineStr">
        <is>
          <t>Dyeing Line A</t>
        </is>
      </c>
      <c r="F1389" s="5" t="inlineStr">
        <is>
          <t>2024-09-21 08:00</t>
        </is>
      </c>
      <c r="G1389" s="11" t="n">
        <v>136855.75</v>
      </c>
      <c r="H1389" s="5" t="inlineStr">
        <is>
          <t>m3</t>
        </is>
      </c>
      <c r="I1389" s="5" t="inlineStr">
        <is>
          <t>cumulative</t>
        </is>
      </c>
      <c r="J1389" s="5" t="inlineStr">
        <is>
          <t>AB</t>
        </is>
      </c>
      <c r="K1389" s="5" t="inlineStr"/>
      <c r="L1389" s="7">
        <f>IFERROR(IF(F1389&lt;F1388,"NEGATIVE",ROUND(F1389-F1388,2)),"")</f>
        <v/>
      </c>
    </row>
    <row r="1390" ht="22" customHeight="1">
      <c r="B1390" s="8" t="inlineStr">
        <is>
          <t>R01386</t>
        </is>
      </c>
      <c r="C1390" s="8" t="inlineStr">
        <is>
          <t>MTR-DYE-001</t>
        </is>
      </c>
      <c r="D1390" s="8" t="inlineStr">
        <is>
          <t>Dyeing Hall</t>
        </is>
      </c>
      <c r="E1390" s="8" t="inlineStr">
        <is>
          <t>Dyeing Line A</t>
        </is>
      </c>
      <c r="F1390" s="8" t="inlineStr">
        <is>
          <t>2024-09-22 08:00</t>
        </is>
      </c>
      <c r="G1390" s="12" t="n">
        <v>136883.78</v>
      </c>
      <c r="H1390" s="8" t="inlineStr">
        <is>
          <t>m3</t>
        </is>
      </c>
      <c r="I1390" s="8" t="inlineStr">
        <is>
          <t>cumulative</t>
        </is>
      </c>
      <c r="J1390" s="8" t="inlineStr">
        <is>
          <t>CD</t>
        </is>
      </c>
      <c r="K1390" s="8" t="inlineStr"/>
      <c r="L1390" s="10">
        <f>IFERROR(IF(F1390&lt;F1389,"NEGATIVE",ROUND(F1390-F1389,2)),"")</f>
        <v/>
      </c>
    </row>
    <row r="1391" ht="22" customHeight="1">
      <c r="B1391" s="5" t="inlineStr">
        <is>
          <t>R01387</t>
        </is>
      </c>
      <c r="C1391" s="5" t="inlineStr">
        <is>
          <t>MTR-DYE-001</t>
        </is>
      </c>
      <c r="D1391" s="5" t="inlineStr">
        <is>
          <t>Dyeing Hall</t>
        </is>
      </c>
      <c r="E1391" s="5" t="inlineStr">
        <is>
          <t>Dyeing Line A</t>
        </is>
      </c>
      <c r="F1391" s="5" t="inlineStr">
        <is>
          <t>2024-09-23 08:00</t>
        </is>
      </c>
      <c r="G1391" s="11" t="n">
        <v>136939.57</v>
      </c>
      <c r="H1391" s="5" t="inlineStr">
        <is>
          <t>m3</t>
        </is>
      </c>
      <c r="I1391" s="5" t="inlineStr">
        <is>
          <t>cumulative</t>
        </is>
      </c>
      <c r="J1391" s="5" t="inlineStr">
        <is>
          <t>AB</t>
        </is>
      </c>
      <c r="K1391" s="5" t="inlineStr"/>
      <c r="L1391" s="7">
        <f>IFERROR(IF(F1391&lt;F1390,"NEGATIVE",ROUND(F1391-F1390,2)),"")</f>
        <v/>
      </c>
    </row>
    <row r="1392" ht="22" customHeight="1">
      <c r="B1392" s="8" t="inlineStr">
        <is>
          <t>R01388</t>
        </is>
      </c>
      <c r="C1392" s="8" t="inlineStr">
        <is>
          <t>MTR-DYE-001</t>
        </is>
      </c>
      <c r="D1392" s="8" t="inlineStr">
        <is>
          <t>Dyeing Hall</t>
        </is>
      </c>
      <c r="E1392" s="8" t="inlineStr">
        <is>
          <t>Dyeing Line A</t>
        </is>
      </c>
      <c r="F1392" s="8" t="inlineStr">
        <is>
          <t>2024-09-24 08:00</t>
        </is>
      </c>
      <c r="G1392" s="12" t="n">
        <v>136985.43</v>
      </c>
      <c r="H1392" s="8" t="inlineStr">
        <is>
          <t>m3</t>
        </is>
      </c>
      <c r="I1392" s="8" t="inlineStr">
        <is>
          <t>cumulative</t>
        </is>
      </c>
      <c r="J1392" s="8" t="inlineStr">
        <is>
          <t>KL</t>
        </is>
      </c>
      <c r="K1392" s="8" t="inlineStr"/>
      <c r="L1392" s="10">
        <f>IFERROR(IF(F1392&lt;F1391,"NEGATIVE",ROUND(F1392-F1391,2)),"")</f>
        <v/>
      </c>
    </row>
    <row r="1393" ht="22" customHeight="1">
      <c r="B1393" s="5" t="inlineStr">
        <is>
          <t>R01389</t>
        </is>
      </c>
      <c r="C1393" s="5" t="inlineStr">
        <is>
          <t>MTR-DYE-001</t>
        </is>
      </c>
      <c r="D1393" s="5" t="inlineStr">
        <is>
          <t>Dyeing Hall</t>
        </is>
      </c>
      <c r="E1393" s="5" t="inlineStr">
        <is>
          <t>Dyeing Line A</t>
        </is>
      </c>
      <c r="F1393" s="5" t="inlineStr">
        <is>
          <t>2024-09-25 08:00</t>
        </is>
      </c>
      <c r="G1393" s="11" t="n">
        <v>137038.62</v>
      </c>
      <c r="H1393" s="5" t="inlineStr">
        <is>
          <t>m3</t>
        </is>
      </c>
      <c r="I1393" s="5" t="inlineStr">
        <is>
          <t>cumulative</t>
        </is>
      </c>
      <c r="J1393" s="5" t="inlineStr">
        <is>
          <t>KL</t>
        </is>
      </c>
      <c r="K1393" s="5" t="inlineStr"/>
      <c r="L1393" s="7">
        <f>IFERROR(IF(F1393&lt;F1392,"NEGATIVE",ROUND(F1393-F1392,2)),"")</f>
        <v/>
      </c>
    </row>
    <row r="1394" ht="22" customHeight="1">
      <c r="B1394" s="8" t="inlineStr">
        <is>
          <t>R01390</t>
        </is>
      </c>
      <c r="C1394" s="8" t="inlineStr">
        <is>
          <t>MTR-DYE-001</t>
        </is>
      </c>
      <c r="D1394" s="8" t="inlineStr">
        <is>
          <t>Dyeing Hall</t>
        </is>
      </c>
      <c r="E1394" s="8" t="inlineStr">
        <is>
          <t>Dyeing Line A</t>
        </is>
      </c>
      <c r="F1394" s="8" t="inlineStr">
        <is>
          <t>2024-09-26 08:00</t>
        </is>
      </c>
      <c r="G1394" s="12" t="n">
        <v>137087.92</v>
      </c>
      <c r="H1394" s="8" t="inlineStr">
        <is>
          <t>m3</t>
        </is>
      </c>
      <c r="I1394" s="8" t="inlineStr">
        <is>
          <t>cumulative</t>
        </is>
      </c>
      <c r="J1394" s="8" t="inlineStr">
        <is>
          <t>AB</t>
        </is>
      </c>
      <c r="K1394" s="8" t="inlineStr"/>
      <c r="L1394" s="10">
        <f>IFERROR(IF(F1394&lt;F1393,"NEGATIVE",ROUND(F1394-F1393,2)),"")</f>
        <v/>
      </c>
    </row>
    <row r="1395" ht="22" customHeight="1">
      <c r="B1395" s="5" t="inlineStr">
        <is>
          <t>R01391</t>
        </is>
      </c>
      <c r="C1395" s="5" t="inlineStr">
        <is>
          <t>MTR-DYE-001</t>
        </is>
      </c>
      <c r="D1395" s="5" t="inlineStr">
        <is>
          <t>Dyeing Hall</t>
        </is>
      </c>
      <c r="E1395" s="5" t="inlineStr">
        <is>
          <t>Dyeing Line A</t>
        </is>
      </c>
      <c r="F1395" s="5" t="inlineStr">
        <is>
          <t>2024-09-27 08:00</t>
        </is>
      </c>
      <c r="G1395" s="11" t="n">
        <v>137136.95</v>
      </c>
      <c r="H1395" s="5" t="inlineStr">
        <is>
          <t>m3</t>
        </is>
      </c>
      <c r="I1395" s="5" t="inlineStr">
        <is>
          <t>cumulative</t>
        </is>
      </c>
      <c r="J1395" s="5" t="inlineStr">
        <is>
          <t>AB</t>
        </is>
      </c>
      <c r="K1395" s="5" t="inlineStr"/>
      <c r="L1395" s="7">
        <f>IFERROR(IF(F1395&lt;F1394,"NEGATIVE",ROUND(F1395-F1394,2)),"")</f>
        <v/>
      </c>
    </row>
    <row r="1396" ht="22" customHeight="1">
      <c r="B1396" s="8" t="inlineStr">
        <is>
          <t>R01392</t>
        </is>
      </c>
      <c r="C1396" s="8" t="inlineStr">
        <is>
          <t>MTR-DYE-001</t>
        </is>
      </c>
      <c r="D1396" s="8" t="inlineStr">
        <is>
          <t>Dyeing Hall</t>
        </is>
      </c>
      <c r="E1396" s="8" t="inlineStr">
        <is>
          <t>Dyeing Line A</t>
        </is>
      </c>
      <c r="F1396" s="8" t="inlineStr">
        <is>
          <t>2024-09-28 08:00</t>
        </is>
      </c>
      <c r="G1396" s="12" t="n">
        <v>137178.04</v>
      </c>
      <c r="H1396" s="8" t="inlineStr">
        <is>
          <t>m3</t>
        </is>
      </c>
      <c r="I1396" s="8" t="inlineStr">
        <is>
          <t>cumulative</t>
        </is>
      </c>
      <c r="J1396" s="8" t="inlineStr">
        <is>
          <t>CD</t>
        </is>
      </c>
      <c r="K1396" s="8" t="inlineStr"/>
      <c r="L1396" s="10">
        <f>IFERROR(IF(F1396&lt;F1395,"NEGATIVE",ROUND(F1396-F1395,2)),"")</f>
        <v/>
      </c>
    </row>
    <row r="1397" ht="22" customHeight="1">
      <c r="B1397" s="5" t="inlineStr">
        <is>
          <t>R01393</t>
        </is>
      </c>
      <c r="C1397" s="5" t="inlineStr">
        <is>
          <t>MTR-DYE-001</t>
        </is>
      </c>
      <c r="D1397" s="5" t="inlineStr">
        <is>
          <t>Dyeing Hall</t>
        </is>
      </c>
      <c r="E1397" s="5" t="inlineStr">
        <is>
          <t>Dyeing Line A</t>
        </is>
      </c>
      <c r="F1397" s="5" t="inlineStr">
        <is>
          <t>2024-09-29 08:00</t>
        </is>
      </c>
      <c r="G1397" s="11" t="n">
        <v>137204.26</v>
      </c>
      <c r="H1397" s="5" t="inlineStr">
        <is>
          <t>m3</t>
        </is>
      </c>
      <c r="I1397" s="5" t="inlineStr">
        <is>
          <t>cumulative</t>
        </is>
      </c>
      <c r="J1397" s="5" t="inlineStr">
        <is>
          <t>AB</t>
        </is>
      </c>
      <c r="K1397" s="5" t="inlineStr"/>
      <c r="L1397" s="7">
        <f>IFERROR(IF(F1397&lt;F1396,"NEGATIVE",ROUND(F1397-F1396,2)),"")</f>
        <v/>
      </c>
    </row>
    <row r="1398" ht="22" customHeight="1">
      <c r="B1398" s="8" t="inlineStr">
        <is>
          <t>R01394</t>
        </is>
      </c>
      <c r="C1398" s="8" t="inlineStr">
        <is>
          <t>MTR-DYE-001</t>
        </is>
      </c>
      <c r="D1398" s="8" t="inlineStr">
        <is>
          <t>Dyeing Hall</t>
        </is>
      </c>
      <c r="E1398" s="8" t="inlineStr">
        <is>
          <t>Dyeing Line A</t>
        </is>
      </c>
      <c r="F1398" s="8" t="inlineStr">
        <is>
          <t>2024-09-30 08:00</t>
        </is>
      </c>
      <c r="G1398" s="12" t="n">
        <v>137262.99</v>
      </c>
      <c r="H1398" s="8" t="inlineStr">
        <is>
          <t>m3</t>
        </is>
      </c>
      <c r="I1398" s="8" t="inlineStr">
        <is>
          <t>cumulative</t>
        </is>
      </c>
      <c r="J1398" s="8" t="inlineStr">
        <is>
          <t>EF</t>
        </is>
      </c>
      <c r="K1398" s="8" t="inlineStr"/>
      <c r="L1398" s="10">
        <f>IFERROR(IF(F1398&lt;F1397,"NEGATIVE",ROUND(F1398-F1397,2)),"")</f>
        <v/>
      </c>
    </row>
    <row r="1399" ht="22" customHeight="1">
      <c r="B1399" s="5" t="inlineStr">
        <is>
          <t>R01395</t>
        </is>
      </c>
      <c r="C1399" s="5" t="inlineStr">
        <is>
          <t>MTR-DYE-001</t>
        </is>
      </c>
      <c r="D1399" s="5" t="inlineStr">
        <is>
          <t>Dyeing Hall</t>
        </is>
      </c>
      <c r="E1399" s="5" t="inlineStr">
        <is>
          <t>Dyeing Line A</t>
        </is>
      </c>
      <c r="F1399" s="5" t="inlineStr">
        <is>
          <t>2024-10-01 08:00</t>
        </is>
      </c>
      <c r="G1399" s="11" t="n">
        <v>137312.46</v>
      </c>
      <c r="H1399" s="5" t="inlineStr">
        <is>
          <t>m3</t>
        </is>
      </c>
      <c r="I1399" s="5" t="inlineStr">
        <is>
          <t>cumulative</t>
        </is>
      </c>
      <c r="J1399" s="5" t="inlineStr">
        <is>
          <t>GH</t>
        </is>
      </c>
      <c r="K1399" s="5" t="inlineStr"/>
      <c r="L1399" s="7">
        <f>IFERROR(IF(F1399&lt;F1398,"NEGATIVE",ROUND(F1399-F1398,2)),"")</f>
        <v/>
      </c>
    </row>
    <row r="1400" ht="22" customHeight="1">
      <c r="B1400" s="8" t="inlineStr">
        <is>
          <t>R01396</t>
        </is>
      </c>
      <c r="C1400" s="8" t="inlineStr">
        <is>
          <t>MTR-DYE-001</t>
        </is>
      </c>
      <c r="D1400" s="8" t="inlineStr">
        <is>
          <t>Dyeing Hall</t>
        </is>
      </c>
      <c r="E1400" s="8" t="inlineStr">
        <is>
          <t>Dyeing Line A</t>
        </is>
      </c>
      <c r="F1400" s="8" t="inlineStr">
        <is>
          <t>2024-10-02 08:00</t>
        </is>
      </c>
      <c r="G1400" s="12" t="n">
        <v>137361.59</v>
      </c>
      <c r="H1400" s="8" t="inlineStr">
        <is>
          <t>m3</t>
        </is>
      </c>
      <c r="I1400" s="8" t="inlineStr">
        <is>
          <t>cumulative</t>
        </is>
      </c>
      <c r="J1400" s="8" t="inlineStr">
        <is>
          <t>KL</t>
        </is>
      </c>
      <c r="K1400" s="8" t="inlineStr"/>
      <c r="L1400" s="10">
        <f>IFERROR(IF(F1400&lt;F1399,"NEGATIVE",ROUND(F1400-F1399,2)),"")</f>
        <v/>
      </c>
    </row>
    <row r="1401" ht="22" customHeight="1">
      <c r="B1401" s="5" t="inlineStr">
        <is>
          <t>R01397</t>
        </is>
      </c>
      <c r="C1401" s="5" t="inlineStr">
        <is>
          <t>MTR-DYE-001</t>
        </is>
      </c>
      <c r="D1401" s="5" t="inlineStr">
        <is>
          <t>Dyeing Hall</t>
        </is>
      </c>
      <c r="E1401" s="5" t="inlineStr">
        <is>
          <t>Dyeing Line A</t>
        </is>
      </c>
      <c r="F1401" s="5" t="inlineStr">
        <is>
          <t>2024-10-03 08:00</t>
        </is>
      </c>
      <c r="G1401" s="11" t="n">
        <v>137411.85</v>
      </c>
      <c r="H1401" s="5" t="inlineStr">
        <is>
          <t>m3</t>
        </is>
      </c>
      <c r="I1401" s="5" t="inlineStr">
        <is>
          <t>cumulative</t>
        </is>
      </c>
      <c r="J1401" s="5" t="inlineStr">
        <is>
          <t>AB</t>
        </is>
      </c>
      <c r="K1401" s="5" t="inlineStr"/>
      <c r="L1401" s="7">
        <f>IFERROR(IF(F1401&lt;F1400,"NEGATIVE",ROUND(F1401-F1400,2)),"")</f>
        <v/>
      </c>
    </row>
    <row r="1402" ht="22" customHeight="1">
      <c r="B1402" s="8" t="inlineStr">
        <is>
          <t>R01398</t>
        </is>
      </c>
      <c r="C1402" s="8" t="inlineStr">
        <is>
          <t>MTR-DYE-001</t>
        </is>
      </c>
      <c r="D1402" s="8" t="inlineStr">
        <is>
          <t>Dyeing Hall</t>
        </is>
      </c>
      <c r="E1402" s="8" t="inlineStr">
        <is>
          <t>Dyeing Line A</t>
        </is>
      </c>
      <c r="F1402" s="8" t="inlineStr">
        <is>
          <t>2024-10-04 08:00</t>
        </is>
      </c>
      <c r="G1402" s="12" t="n">
        <v>137462.71</v>
      </c>
      <c r="H1402" s="8" t="inlineStr">
        <is>
          <t>m3</t>
        </is>
      </c>
      <c r="I1402" s="8" t="inlineStr">
        <is>
          <t>cumulative</t>
        </is>
      </c>
      <c r="J1402" s="8" t="inlineStr">
        <is>
          <t>KL</t>
        </is>
      </c>
      <c r="K1402" s="8" t="inlineStr"/>
      <c r="L1402" s="10">
        <f>IFERROR(IF(F1402&lt;F1401,"NEGATIVE",ROUND(F1402-F1401,2)),"")</f>
        <v/>
      </c>
    </row>
    <row r="1403" ht="22" customHeight="1">
      <c r="B1403" s="5" t="inlineStr">
        <is>
          <t>R01399</t>
        </is>
      </c>
      <c r="C1403" s="5" t="inlineStr">
        <is>
          <t>MTR-DYE-001</t>
        </is>
      </c>
      <c r="D1403" s="5" t="inlineStr">
        <is>
          <t>Dyeing Hall</t>
        </is>
      </c>
      <c r="E1403" s="5" t="inlineStr">
        <is>
          <t>Dyeing Line A</t>
        </is>
      </c>
      <c r="F1403" s="5" t="inlineStr">
        <is>
          <t>2024-10-05 08:00</t>
        </is>
      </c>
      <c r="G1403" s="11" t="n">
        <v>137501.11</v>
      </c>
      <c r="H1403" s="5" t="inlineStr">
        <is>
          <t>m3</t>
        </is>
      </c>
      <c r="I1403" s="5" t="inlineStr">
        <is>
          <t>cumulative</t>
        </is>
      </c>
      <c r="J1403" s="5" t="inlineStr">
        <is>
          <t>EF</t>
        </is>
      </c>
      <c r="K1403" s="5" t="inlineStr"/>
      <c r="L1403" s="7">
        <f>IFERROR(IF(F1403&lt;F1402,"NEGATIVE",ROUND(F1403-F1402,2)),"")</f>
        <v/>
      </c>
    </row>
    <row r="1404" ht="22" customHeight="1">
      <c r="B1404" s="8" t="inlineStr">
        <is>
          <t>R01400</t>
        </is>
      </c>
      <c r="C1404" s="8" t="inlineStr">
        <is>
          <t>MTR-DYE-001</t>
        </is>
      </c>
      <c r="D1404" s="8" t="inlineStr">
        <is>
          <t>Dyeing Hall</t>
        </is>
      </c>
      <c r="E1404" s="8" t="inlineStr">
        <is>
          <t>Dyeing Line A</t>
        </is>
      </c>
      <c r="F1404" s="8" t="inlineStr">
        <is>
          <t>2024-10-06 08:00</t>
        </is>
      </c>
      <c r="G1404" s="12" t="n">
        <v>137530.35</v>
      </c>
      <c r="H1404" s="8" t="inlineStr">
        <is>
          <t>m3</t>
        </is>
      </c>
      <c r="I1404" s="8" t="inlineStr">
        <is>
          <t>cumulative</t>
        </is>
      </c>
      <c r="J1404" s="8" t="inlineStr">
        <is>
          <t>IJ</t>
        </is>
      </c>
      <c r="K1404" s="8" t="inlineStr"/>
      <c r="L1404" s="10">
        <f>IFERROR(IF(F1404&lt;F1403,"NEGATIVE",ROUND(F1404-F1403,2)),"")</f>
        <v/>
      </c>
    </row>
    <row r="1405" ht="22" customHeight="1">
      <c r="B1405" s="5" t="inlineStr">
        <is>
          <t>R01401</t>
        </is>
      </c>
      <c r="C1405" s="5" t="inlineStr">
        <is>
          <t>MTR-DYE-001</t>
        </is>
      </c>
      <c r="D1405" s="5" t="inlineStr">
        <is>
          <t>Dyeing Hall</t>
        </is>
      </c>
      <c r="E1405" s="5" t="inlineStr">
        <is>
          <t>Dyeing Line A</t>
        </is>
      </c>
      <c r="F1405" s="5" t="inlineStr">
        <is>
          <t>2024-10-07 08:00</t>
        </is>
      </c>
      <c r="G1405" s="11" t="n">
        <v>137578.22</v>
      </c>
      <c r="H1405" s="5" t="inlineStr">
        <is>
          <t>m3</t>
        </is>
      </c>
      <c r="I1405" s="5" t="inlineStr">
        <is>
          <t>cumulative</t>
        </is>
      </c>
      <c r="J1405" s="5" t="inlineStr">
        <is>
          <t>AB</t>
        </is>
      </c>
      <c r="K1405" s="5" t="inlineStr"/>
      <c r="L1405" s="7">
        <f>IFERROR(IF(F1405&lt;F1404,"NEGATIVE",ROUND(F1405-F1404,2)),"")</f>
        <v/>
      </c>
    </row>
    <row r="1406" ht="22" customHeight="1">
      <c r="B1406" s="8" t="inlineStr">
        <is>
          <t>R01402</t>
        </is>
      </c>
      <c r="C1406" s="8" t="inlineStr">
        <is>
          <t>MTR-DYE-001</t>
        </is>
      </c>
      <c r="D1406" s="8" t="inlineStr">
        <is>
          <t>Dyeing Hall</t>
        </is>
      </c>
      <c r="E1406" s="8" t="inlineStr">
        <is>
          <t>Dyeing Line A</t>
        </is>
      </c>
      <c r="F1406" s="8" t="inlineStr">
        <is>
          <t>2024-10-08 08:00</t>
        </is>
      </c>
      <c r="G1406" s="12" t="n">
        <v>137625.83</v>
      </c>
      <c r="H1406" s="8" t="inlineStr">
        <is>
          <t>m3</t>
        </is>
      </c>
      <c r="I1406" s="8" t="inlineStr">
        <is>
          <t>cumulative</t>
        </is>
      </c>
      <c r="J1406" s="8" t="inlineStr">
        <is>
          <t>EF</t>
        </is>
      </c>
      <c r="K1406" s="8" t="inlineStr"/>
      <c r="L1406" s="10">
        <f>IFERROR(IF(F1406&lt;F1405,"NEGATIVE",ROUND(F1406-F1405,2)),"")</f>
        <v/>
      </c>
    </row>
    <row r="1407" ht="22" customHeight="1">
      <c r="B1407" s="5" t="inlineStr">
        <is>
          <t>R01403</t>
        </is>
      </c>
      <c r="C1407" s="5" t="inlineStr">
        <is>
          <t>MTR-DYE-001</t>
        </is>
      </c>
      <c r="D1407" s="5" t="inlineStr">
        <is>
          <t>Dyeing Hall</t>
        </is>
      </c>
      <c r="E1407" s="5" t="inlineStr">
        <is>
          <t>Dyeing Line A</t>
        </is>
      </c>
      <c r="F1407" s="5" t="inlineStr">
        <is>
          <t>2024-10-09 08:00</t>
        </is>
      </c>
      <c r="G1407" s="11" t="n">
        <v>137681.17</v>
      </c>
      <c r="H1407" s="5" t="inlineStr">
        <is>
          <t>m3</t>
        </is>
      </c>
      <c r="I1407" s="5" t="inlineStr">
        <is>
          <t>cumulative</t>
        </is>
      </c>
      <c r="J1407" s="5" t="inlineStr">
        <is>
          <t>CD</t>
        </is>
      </c>
      <c r="K1407" s="5" t="inlineStr"/>
      <c r="L1407" s="7">
        <f>IFERROR(IF(F1407&lt;F1406,"NEGATIVE",ROUND(F1407-F1406,2)),"")</f>
        <v/>
      </c>
    </row>
    <row r="1408" ht="22" customHeight="1">
      <c r="B1408" s="8" t="inlineStr">
        <is>
          <t>R01404</t>
        </is>
      </c>
      <c r="C1408" s="8" t="inlineStr">
        <is>
          <t>MTR-DYE-001</t>
        </is>
      </c>
      <c r="D1408" s="8" t="inlineStr">
        <is>
          <t>Dyeing Hall</t>
        </is>
      </c>
      <c r="E1408" s="8" t="inlineStr">
        <is>
          <t>Dyeing Line A</t>
        </is>
      </c>
      <c r="F1408" s="8" t="inlineStr">
        <is>
          <t>2024-10-10 08:00</t>
        </is>
      </c>
      <c r="G1408" s="12" t="n">
        <v>137730.7</v>
      </c>
      <c r="H1408" s="8" t="inlineStr">
        <is>
          <t>m3</t>
        </is>
      </c>
      <c r="I1408" s="8" t="inlineStr">
        <is>
          <t>cumulative</t>
        </is>
      </c>
      <c r="J1408" s="8" t="inlineStr">
        <is>
          <t>KL</t>
        </is>
      </c>
      <c r="K1408" s="8" t="inlineStr"/>
      <c r="L1408" s="10">
        <f>IFERROR(IF(F1408&lt;F1407,"NEGATIVE",ROUND(F1408-F1407,2)),"")</f>
        <v/>
      </c>
    </row>
    <row r="1409" ht="22" customHeight="1">
      <c r="B1409" s="5" t="inlineStr">
        <is>
          <t>R01405</t>
        </is>
      </c>
      <c r="C1409" s="5" t="inlineStr">
        <is>
          <t>MTR-DYE-001</t>
        </is>
      </c>
      <c r="D1409" s="5" t="inlineStr">
        <is>
          <t>Dyeing Hall</t>
        </is>
      </c>
      <c r="E1409" s="5" t="inlineStr">
        <is>
          <t>Dyeing Line A</t>
        </is>
      </c>
      <c r="F1409" s="5" t="inlineStr">
        <is>
          <t>2024-10-11 08:00</t>
        </is>
      </c>
      <c r="G1409" s="11" t="n">
        <v>137781.33</v>
      </c>
      <c r="H1409" s="5" t="inlineStr">
        <is>
          <t>m3</t>
        </is>
      </c>
      <c r="I1409" s="5" t="inlineStr">
        <is>
          <t>cumulative</t>
        </is>
      </c>
      <c r="J1409" s="5" t="inlineStr">
        <is>
          <t>CD</t>
        </is>
      </c>
      <c r="K1409" s="5" t="inlineStr"/>
      <c r="L1409" s="7">
        <f>IFERROR(IF(F1409&lt;F1408,"NEGATIVE",ROUND(F1409-F1408,2)),"")</f>
        <v/>
      </c>
    </row>
    <row r="1410" ht="22" customHeight="1">
      <c r="B1410" s="8" t="inlineStr">
        <is>
          <t>R01406</t>
        </is>
      </c>
      <c r="C1410" s="8" t="inlineStr">
        <is>
          <t>MTR-DYE-001</t>
        </is>
      </c>
      <c r="D1410" s="8" t="inlineStr">
        <is>
          <t>Dyeing Hall</t>
        </is>
      </c>
      <c r="E1410" s="8" t="inlineStr">
        <is>
          <t>Dyeing Line A</t>
        </is>
      </c>
      <c r="F1410" s="8" t="inlineStr">
        <is>
          <t>2024-10-12 08:00</t>
        </is>
      </c>
      <c r="G1410" s="12" t="n">
        <v>137821.56</v>
      </c>
      <c r="H1410" s="8" t="inlineStr">
        <is>
          <t>m3</t>
        </is>
      </c>
      <c r="I1410" s="8" t="inlineStr">
        <is>
          <t>cumulative</t>
        </is>
      </c>
      <c r="J1410" s="8" t="inlineStr">
        <is>
          <t>GH</t>
        </is>
      </c>
      <c r="K1410" s="8" t="inlineStr"/>
      <c r="L1410" s="10">
        <f>IFERROR(IF(F1410&lt;F1409,"NEGATIVE",ROUND(F1410-F1409,2)),"")</f>
        <v/>
      </c>
    </row>
    <row r="1411" ht="22" customHeight="1">
      <c r="B1411" s="5" t="inlineStr">
        <is>
          <t>R01407</t>
        </is>
      </c>
      <c r="C1411" s="5" t="inlineStr">
        <is>
          <t>MTR-DYE-001</t>
        </is>
      </c>
      <c r="D1411" s="5" t="inlineStr">
        <is>
          <t>Dyeing Hall</t>
        </is>
      </c>
      <c r="E1411" s="5" t="inlineStr">
        <is>
          <t>Dyeing Line A</t>
        </is>
      </c>
      <c r="F1411" s="5" t="inlineStr">
        <is>
          <t>2024-10-13 08:00</t>
        </is>
      </c>
      <c r="G1411" s="11" t="n">
        <v>137846.88</v>
      </c>
      <c r="H1411" s="5" t="inlineStr">
        <is>
          <t>m3</t>
        </is>
      </c>
      <c r="I1411" s="5" t="inlineStr">
        <is>
          <t>cumulative</t>
        </is>
      </c>
      <c r="J1411" s="5" t="inlineStr">
        <is>
          <t>GH</t>
        </is>
      </c>
      <c r="K1411" s="5" t="inlineStr"/>
      <c r="L1411" s="7">
        <f>IFERROR(IF(F1411&lt;F1410,"NEGATIVE",ROUND(F1411-F1410,2)),"")</f>
        <v/>
      </c>
    </row>
    <row r="1412" ht="22" customHeight="1">
      <c r="B1412" s="8" t="inlineStr">
        <is>
          <t>R01408</t>
        </is>
      </c>
      <c r="C1412" s="8" t="inlineStr">
        <is>
          <t>MTR-DYE-001</t>
        </is>
      </c>
      <c r="D1412" s="8" t="inlineStr">
        <is>
          <t>Dyeing Hall</t>
        </is>
      </c>
      <c r="E1412" s="8" t="inlineStr">
        <is>
          <t>Dyeing Line A</t>
        </is>
      </c>
      <c r="F1412" s="8" t="inlineStr">
        <is>
          <t>2024-10-14 08:00</t>
        </is>
      </c>
      <c r="G1412" s="12" t="n">
        <v>137902.94</v>
      </c>
      <c r="H1412" s="8" t="inlineStr">
        <is>
          <t>m3</t>
        </is>
      </c>
      <c r="I1412" s="8" t="inlineStr">
        <is>
          <t>cumulative</t>
        </is>
      </c>
      <c r="J1412" s="8" t="inlineStr">
        <is>
          <t>GH</t>
        </is>
      </c>
      <c r="K1412" s="8" t="inlineStr"/>
      <c r="L1412" s="10">
        <f>IFERROR(IF(F1412&lt;F1411,"NEGATIVE",ROUND(F1412-F1411,2)),"")</f>
        <v/>
      </c>
    </row>
    <row r="1413" ht="22" customHeight="1">
      <c r="B1413" s="5" t="inlineStr">
        <is>
          <t>R01409</t>
        </is>
      </c>
      <c r="C1413" s="5" t="inlineStr">
        <is>
          <t>MTR-DYE-001</t>
        </is>
      </c>
      <c r="D1413" s="5" t="inlineStr">
        <is>
          <t>Dyeing Hall</t>
        </is>
      </c>
      <c r="E1413" s="5" t="inlineStr">
        <is>
          <t>Dyeing Line A</t>
        </is>
      </c>
      <c r="F1413" s="5" t="inlineStr">
        <is>
          <t>2024-10-15 08:00</t>
        </is>
      </c>
      <c r="G1413" s="11" t="n">
        <v>137951.64</v>
      </c>
      <c r="H1413" s="5" t="inlineStr">
        <is>
          <t>m3</t>
        </is>
      </c>
      <c r="I1413" s="5" t="inlineStr">
        <is>
          <t>cumulative</t>
        </is>
      </c>
      <c r="J1413" s="5" t="inlineStr">
        <is>
          <t>CD</t>
        </is>
      </c>
      <c r="K1413" s="5" t="inlineStr"/>
      <c r="L1413" s="7">
        <f>IFERROR(IF(F1413&lt;F1412,"NEGATIVE",ROUND(F1413-F1412,2)),"")</f>
        <v/>
      </c>
    </row>
    <row r="1414" ht="22" customHeight="1">
      <c r="B1414" s="8" t="inlineStr">
        <is>
          <t>R01410</t>
        </is>
      </c>
      <c r="C1414" s="8" t="inlineStr">
        <is>
          <t>MTR-DYE-001</t>
        </is>
      </c>
      <c r="D1414" s="8" t="inlineStr">
        <is>
          <t>Dyeing Hall</t>
        </is>
      </c>
      <c r="E1414" s="8" t="inlineStr">
        <is>
          <t>Dyeing Line A</t>
        </is>
      </c>
      <c r="F1414" s="8" t="inlineStr">
        <is>
          <t>2024-10-16 08:00</t>
        </is>
      </c>
      <c r="G1414" s="12" t="n">
        <v>137999.14</v>
      </c>
      <c r="H1414" s="8" t="inlineStr">
        <is>
          <t>m3</t>
        </is>
      </c>
      <c r="I1414" s="8" t="inlineStr">
        <is>
          <t>cumulative</t>
        </is>
      </c>
      <c r="J1414" s="8" t="inlineStr">
        <is>
          <t>IJ</t>
        </is>
      </c>
      <c r="K1414" s="8" t="inlineStr"/>
      <c r="L1414" s="10">
        <f>IFERROR(IF(F1414&lt;F1413,"NEGATIVE",ROUND(F1414-F1413,2)),"")</f>
        <v/>
      </c>
    </row>
    <row r="1415" ht="22" customHeight="1">
      <c r="B1415" s="5" t="inlineStr">
        <is>
          <t>R01411</t>
        </is>
      </c>
      <c r="C1415" s="5" t="inlineStr">
        <is>
          <t>MTR-DYE-001</t>
        </is>
      </c>
      <c r="D1415" s="5" t="inlineStr">
        <is>
          <t>Dyeing Hall</t>
        </is>
      </c>
      <c r="E1415" s="5" t="inlineStr">
        <is>
          <t>Dyeing Line A</t>
        </is>
      </c>
      <c r="F1415" s="5" t="inlineStr">
        <is>
          <t>2024-10-17 08:00</t>
        </is>
      </c>
      <c r="G1415" s="11" t="n">
        <v>138047.83</v>
      </c>
      <c r="H1415" s="5" t="inlineStr">
        <is>
          <t>m3</t>
        </is>
      </c>
      <c r="I1415" s="5" t="inlineStr">
        <is>
          <t>cumulative</t>
        </is>
      </c>
      <c r="J1415" s="5" t="inlineStr">
        <is>
          <t>KL</t>
        </is>
      </c>
      <c r="K1415" s="5" t="inlineStr"/>
      <c r="L1415" s="7">
        <f>IFERROR(IF(F1415&lt;F1414,"NEGATIVE",ROUND(F1415-F1414,2)),"")</f>
        <v/>
      </c>
    </row>
    <row r="1416" ht="22" customHeight="1">
      <c r="B1416" s="8" t="inlineStr">
        <is>
          <t>R01412</t>
        </is>
      </c>
      <c r="C1416" s="8" t="inlineStr">
        <is>
          <t>MTR-DYE-001</t>
        </is>
      </c>
      <c r="D1416" s="8" t="inlineStr">
        <is>
          <t>Dyeing Hall</t>
        </is>
      </c>
      <c r="E1416" s="8" t="inlineStr">
        <is>
          <t>Dyeing Line A</t>
        </is>
      </c>
      <c r="F1416" s="8" t="inlineStr">
        <is>
          <t>2024-10-18 08:00</t>
        </is>
      </c>
      <c r="G1416" s="12" t="n">
        <v>138099.98</v>
      </c>
      <c r="H1416" s="8" t="inlineStr">
        <is>
          <t>m3</t>
        </is>
      </c>
      <c r="I1416" s="8" t="inlineStr">
        <is>
          <t>cumulative</t>
        </is>
      </c>
      <c r="J1416" s="8" t="inlineStr">
        <is>
          <t>CD</t>
        </is>
      </c>
      <c r="K1416" s="8" t="inlineStr"/>
      <c r="L1416" s="10">
        <f>IFERROR(IF(F1416&lt;F1415,"NEGATIVE",ROUND(F1416-F1415,2)),"")</f>
        <v/>
      </c>
    </row>
    <row r="1417" ht="22" customHeight="1">
      <c r="B1417" s="5" t="inlineStr">
        <is>
          <t>R01413</t>
        </is>
      </c>
      <c r="C1417" s="5" t="inlineStr">
        <is>
          <t>MTR-DYE-001</t>
        </is>
      </c>
      <c r="D1417" s="5" t="inlineStr">
        <is>
          <t>Dyeing Hall</t>
        </is>
      </c>
      <c r="E1417" s="5" t="inlineStr">
        <is>
          <t>Dyeing Line A</t>
        </is>
      </c>
      <c r="F1417" s="5" t="inlineStr">
        <is>
          <t>2024-10-19 08:00</t>
        </is>
      </c>
      <c r="G1417" s="11" t="n">
        <v>138145.51</v>
      </c>
      <c r="H1417" s="5" t="inlineStr">
        <is>
          <t>m3</t>
        </is>
      </c>
      <c r="I1417" s="5" t="inlineStr">
        <is>
          <t>cumulative</t>
        </is>
      </c>
      <c r="J1417" s="5" t="inlineStr">
        <is>
          <t>EF</t>
        </is>
      </c>
      <c r="K1417" s="5" t="inlineStr"/>
      <c r="L1417" s="7">
        <f>IFERROR(IF(F1417&lt;F1416,"NEGATIVE",ROUND(F1417-F1416,2)),"")</f>
        <v/>
      </c>
    </row>
    <row r="1418" ht="22" customHeight="1">
      <c r="B1418" s="8" t="inlineStr">
        <is>
          <t>R01414</t>
        </is>
      </c>
      <c r="C1418" s="8" t="inlineStr">
        <is>
          <t>MTR-DYE-001</t>
        </is>
      </c>
      <c r="D1418" s="8" t="inlineStr">
        <is>
          <t>Dyeing Hall</t>
        </is>
      </c>
      <c r="E1418" s="8" t="inlineStr">
        <is>
          <t>Dyeing Line A</t>
        </is>
      </c>
      <c r="F1418" s="8" t="inlineStr">
        <is>
          <t>2024-10-20 08:00</t>
        </is>
      </c>
      <c r="G1418" s="12" t="n">
        <v>138171.46</v>
      </c>
      <c r="H1418" s="8" t="inlineStr">
        <is>
          <t>m3</t>
        </is>
      </c>
      <c r="I1418" s="8" t="inlineStr">
        <is>
          <t>cumulative</t>
        </is>
      </c>
      <c r="J1418" s="8" t="inlineStr">
        <is>
          <t>KL</t>
        </is>
      </c>
      <c r="K1418" s="8" t="inlineStr"/>
      <c r="L1418" s="10">
        <f>IFERROR(IF(F1418&lt;F1417,"NEGATIVE",ROUND(F1418-F1417,2)),"")</f>
        <v/>
      </c>
    </row>
    <row r="1419" ht="22" customHeight="1">
      <c r="B1419" s="5" t="inlineStr">
        <is>
          <t>R01415</t>
        </is>
      </c>
      <c r="C1419" s="5" t="inlineStr">
        <is>
          <t>MTR-DYE-001</t>
        </is>
      </c>
      <c r="D1419" s="5" t="inlineStr">
        <is>
          <t>Dyeing Hall</t>
        </is>
      </c>
      <c r="E1419" s="5" t="inlineStr">
        <is>
          <t>Dyeing Line A</t>
        </is>
      </c>
      <c r="F1419" s="5" t="inlineStr">
        <is>
          <t>2024-10-21 08:00</t>
        </is>
      </c>
      <c r="G1419" s="11" t="n">
        <v>138225.27</v>
      </c>
      <c r="H1419" s="5" t="inlineStr">
        <is>
          <t>m3</t>
        </is>
      </c>
      <c r="I1419" s="5" t="inlineStr">
        <is>
          <t>cumulative</t>
        </is>
      </c>
      <c r="J1419" s="5" t="inlineStr">
        <is>
          <t>CD</t>
        </is>
      </c>
      <c r="K1419" s="5" t="inlineStr"/>
      <c r="L1419" s="7">
        <f>IFERROR(IF(F1419&lt;F1418,"NEGATIVE",ROUND(F1419-F1418,2)),"")</f>
        <v/>
      </c>
    </row>
    <row r="1420" ht="22" customHeight="1">
      <c r="B1420" s="8" t="inlineStr">
        <is>
          <t>R01416</t>
        </is>
      </c>
      <c r="C1420" s="8" t="inlineStr">
        <is>
          <t>MTR-DYE-001</t>
        </is>
      </c>
      <c r="D1420" s="8" t="inlineStr">
        <is>
          <t>Dyeing Hall</t>
        </is>
      </c>
      <c r="E1420" s="8" t="inlineStr">
        <is>
          <t>Dyeing Line A</t>
        </is>
      </c>
      <c r="F1420" s="8" t="inlineStr">
        <is>
          <t>2024-10-22 08:00</t>
        </is>
      </c>
      <c r="G1420" s="12" t="n">
        <v>138279.68</v>
      </c>
      <c r="H1420" s="8" t="inlineStr">
        <is>
          <t>m3</t>
        </is>
      </c>
      <c r="I1420" s="8" t="inlineStr">
        <is>
          <t>cumulative</t>
        </is>
      </c>
      <c r="J1420" s="8" t="inlineStr">
        <is>
          <t>CD</t>
        </is>
      </c>
      <c r="K1420" s="8" t="inlineStr"/>
      <c r="L1420" s="10">
        <f>IFERROR(IF(F1420&lt;F1419,"NEGATIVE",ROUND(F1420-F1419,2)),"")</f>
        <v/>
      </c>
    </row>
    <row r="1421" ht="22" customHeight="1">
      <c r="B1421" s="5" t="inlineStr">
        <is>
          <t>R01417</t>
        </is>
      </c>
      <c r="C1421" s="5" t="inlineStr">
        <is>
          <t>MTR-DYE-001</t>
        </is>
      </c>
      <c r="D1421" s="5" t="inlineStr">
        <is>
          <t>Dyeing Hall</t>
        </is>
      </c>
      <c r="E1421" s="5" t="inlineStr">
        <is>
          <t>Dyeing Line A</t>
        </is>
      </c>
      <c r="F1421" s="5" t="inlineStr">
        <is>
          <t>2024-10-23 08:00</t>
        </is>
      </c>
      <c r="G1421" s="11" t="n">
        <v>138326.87</v>
      </c>
      <c r="H1421" s="5" t="inlineStr">
        <is>
          <t>m3</t>
        </is>
      </c>
      <c r="I1421" s="5" t="inlineStr">
        <is>
          <t>cumulative</t>
        </is>
      </c>
      <c r="J1421" s="5" t="inlineStr">
        <is>
          <t>IJ</t>
        </is>
      </c>
      <c r="K1421" s="5" t="inlineStr"/>
      <c r="L1421" s="7">
        <f>IFERROR(IF(F1421&lt;F1420,"NEGATIVE",ROUND(F1421-F1420,2)),"")</f>
        <v/>
      </c>
    </row>
    <row r="1422" ht="22" customHeight="1">
      <c r="B1422" s="8" t="inlineStr">
        <is>
          <t>R01418</t>
        </is>
      </c>
      <c r="C1422" s="8" t="inlineStr">
        <is>
          <t>MTR-DYE-001</t>
        </is>
      </c>
      <c r="D1422" s="8" t="inlineStr">
        <is>
          <t>Dyeing Hall</t>
        </is>
      </c>
      <c r="E1422" s="8" t="inlineStr">
        <is>
          <t>Dyeing Line A</t>
        </is>
      </c>
      <c r="F1422" s="8" t="inlineStr">
        <is>
          <t>2024-10-24 08:00</t>
        </is>
      </c>
      <c r="G1422" s="12" t="n">
        <v>138383.34</v>
      </c>
      <c r="H1422" s="8" t="inlineStr">
        <is>
          <t>m3</t>
        </is>
      </c>
      <c r="I1422" s="8" t="inlineStr">
        <is>
          <t>cumulative</t>
        </is>
      </c>
      <c r="J1422" s="8" t="inlineStr">
        <is>
          <t>KL</t>
        </is>
      </c>
      <c r="K1422" s="8" t="inlineStr"/>
      <c r="L1422" s="10">
        <f>IFERROR(IF(F1422&lt;F1421,"NEGATIVE",ROUND(F1422-F1421,2)),"")</f>
        <v/>
      </c>
    </row>
    <row r="1423" ht="22" customHeight="1">
      <c r="B1423" s="5" t="inlineStr">
        <is>
          <t>R01419</t>
        </is>
      </c>
      <c r="C1423" s="5" t="inlineStr">
        <is>
          <t>MTR-DYE-001</t>
        </is>
      </c>
      <c r="D1423" s="5" t="inlineStr">
        <is>
          <t>Dyeing Hall</t>
        </is>
      </c>
      <c r="E1423" s="5" t="inlineStr">
        <is>
          <t>Dyeing Line A</t>
        </is>
      </c>
      <c r="F1423" s="5" t="inlineStr">
        <is>
          <t>2024-10-25 08:00</t>
        </is>
      </c>
      <c r="G1423" s="11" t="n">
        <v>138427.14</v>
      </c>
      <c r="H1423" s="5" t="inlineStr">
        <is>
          <t>m3</t>
        </is>
      </c>
      <c r="I1423" s="5" t="inlineStr">
        <is>
          <t>cumulative</t>
        </is>
      </c>
      <c r="J1423" s="5" t="inlineStr">
        <is>
          <t>GH</t>
        </is>
      </c>
      <c r="K1423" s="5" t="inlineStr"/>
      <c r="L1423" s="7">
        <f>IFERROR(IF(F1423&lt;F1422,"NEGATIVE",ROUND(F1423-F1422,2)),"")</f>
        <v/>
      </c>
    </row>
    <row r="1424" ht="22" customHeight="1">
      <c r="B1424" s="8" t="inlineStr">
        <is>
          <t>R01420</t>
        </is>
      </c>
      <c r="C1424" s="8" t="inlineStr">
        <is>
          <t>MTR-DYE-001</t>
        </is>
      </c>
      <c r="D1424" s="8" t="inlineStr">
        <is>
          <t>Dyeing Hall</t>
        </is>
      </c>
      <c r="E1424" s="8" t="inlineStr">
        <is>
          <t>Dyeing Line A</t>
        </is>
      </c>
      <c r="F1424" s="8" t="inlineStr">
        <is>
          <t>2024-10-26 08:00</t>
        </is>
      </c>
      <c r="G1424" s="12" t="n">
        <v>138472.44</v>
      </c>
      <c r="H1424" s="8" t="inlineStr">
        <is>
          <t>m3</t>
        </is>
      </c>
      <c r="I1424" s="8" t="inlineStr">
        <is>
          <t>cumulative</t>
        </is>
      </c>
      <c r="J1424" s="8" t="inlineStr">
        <is>
          <t>IJ</t>
        </is>
      </c>
      <c r="K1424" s="8" t="inlineStr"/>
      <c r="L1424" s="10">
        <f>IFERROR(IF(F1424&lt;F1423,"NEGATIVE",ROUND(F1424-F1423,2)),"")</f>
        <v/>
      </c>
    </row>
    <row r="1425" ht="22" customHeight="1">
      <c r="B1425" s="5" t="inlineStr">
        <is>
          <t>R01421</t>
        </is>
      </c>
      <c r="C1425" s="5" t="inlineStr">
        <is>
          <t>MTR-DYE-001</t>
        </is>
      </c>
      <c r="D1425" s="5" t="inlineStr">
        <is>
          <t>Dyeing Hall</t>
        </is>
      </c>
      <c r="E1425" s="5" t="inlineStr">
        <is>
          <t>Dyeing Line A</t>
        </is>
      </c>
      <c r="F1425" s="5" t="inlineStr">
        <is>
          <t>2024-10-27 08:00</t>
        </is>
      </c>
      <c r="G1425" s="11" t="n">
        <v>138495.97</v>
      </c>
      <c r="H1425" s="5" t="inlineStr">
        <is>
          <t>m3</t>
        </is>
      </c>
      <c r="I1425" s="5" t="inlineStr">
        <is>
          <t>cumulative</t>
        </is>
      </c>
      <c r="J1425" s="5" t="inlineStr">
        <is>
          <t>CD</t>
        </is>
      </c>
      <c r="K1425" s="5" t="inlineStr"/>
      <c r="L1425" s="7">
        <f>IFERROR(IF(F1425&lt;F1424,"NEGATIVE",ROUND(F1425-F1424,2)),"")</f>
        <v/>
      </c>
    </row>
    <row r="1426" ht="22" customHeight="1">
      <c r="B1426" s="8" t="inlineStr">
        <is>
          <t>R01422</t>
        </is>
      </c>
      <c r="C1426" s="8" t="inlineStr">
        <is>
          <t>MTR-DYE-001</t>
        </is>
      </c>
      <c r="D1426" s="8" t="inlineStr">
        <is>
          <t>Dyeing Hall</t>
        </is>
      </c>
      <c r="E1426" s="8" t="inlineStr">
        <is>
          <t>Dyeing Line A</t>
        </is>
      </c>
      <c r="F1426" s="8" t="inlineStr">
        <is>
          <t>2024-10-28 08:00</t>
        </is>
      </c>
      <c r="G1426" s="12" t="n">
        <v>138540.23</v>
      </c>
      <c r="H1426" s="8" t="inlineStr">
        <is>
          <t>m3</t>
        </is>
      </c>
      <c r="I1426" s="8" t="inlineStr">
        <is>
          <t>cumulative</t>
        </is>
      </c>
      <c r="J1426" s="8" t="inlineStr">
        <is>
          <t>KL</t>
        </is>
      </c>
      <c r="K1426" s="8" t="inlineStr"/>
      <c r="L1426" s="10">
        <f>IFERROR(IF(F1426&lt;F1425,"NEGATIVE",ROUND(F1426-F1425,2)),"")</f>
        <v/>
      </c>
    </row>
    <row r="1427" ht="22" customHeight="1">
      <c r="B1427" s="5" t="inlineStr">
        <is>
          <t>R01423</t>
        </is>
      </c>
      <c r="C1427" s="5" t="inlineStr">
        <is>
          <t>MTR-DYE-001</t>
        </is>
      </c>
      <c r="D1427" s="5" t="inlineStr">
        <is>
          <t>Dyeing Hall</t>
        </is>
      </c>
      <c r="E1427" s="5" t="inlineStr">
        <is>
          <t>Dyeing Line A</t>
        </is>
      </c>
      <c r="F1427" s="5" t="inlineStr">
        <is>
          <t>2024-10-29 08:00</t>
        </is>
      </c>
      <c r="G1427" s="11" t="n">
        <v>138592.35</v>
      </c>
      <c r="H1427" s="5" t="inlineStr">
        <is>
          <t>m3</t>
        </is>
      </c>
      <c r="I1427" s="5" t="inlineStr">
        <is>
          <t>cumulative</t>
        </is>
      </c>
      <c r="J1427" s="5" t="inlineStr">
        <is>
          <t>KL</t>
        </is>
      </c>
      <c r="K1427" s="5" t="inlineStr"/>
      <c r="L1427" s="7">
        <f>IFERROR(IF(F1427&lt;F1426,"NEGATIVE",ROUND(F1427-F1426,2)),"")</f>
        <v/>
      </c>
    </row>
    <row r="1428" ht="22" customHeight="1">
      <c r="B1428" s="8" t="inlineStr">
        <is>
          <t>R01424</t>
        </is>
      </c>
      <c r="C1428" s="8" t="inlineStr">
        <is>
          <t>MTR-DYE-001</t>
        </is>
      </c>
      <c r="D1428" s="8" t="inlineStr">
        <is>
          <t>Dyeing Hall</t>
        </is>
      </c>
      <c r="E1428" s="8" t="inlineStr">
        <is>
          <t>Dyeing Line A</t>
        </is>
      </c>
      <c r="F1428" s="8" t="inlineStr">
        <is>
          <t>2024-10-30 08:00</t>
        </is>
      </c>
      <c r="G1428" s="12" t="n">
        <v>138640.68</v>
      </c>
      <c r="H1428" s="8" t="inlineStr">
        <is>
          <t>m3</t>
        </is>
      </c>
      <c r="I1428" s="8" t="inlineStr">
        <is>
          <t>cumulative</t>
        </is>
      </c>
      <c r="J1428" s="8" t="inlineStr">
        <is>
          <t>KL</t>
        </is>
      </c>
      <c r="K1428" s="8" t="inlineStr"/>
      <c r="L1428" s="10">
        <f>IFERROR(IF(F1428&lt;F1427,"NEGATIVE",ROUND(F1428-F1427,2)),"")</f>
        <v/>
      </c>
    </row>
    <row r="1429" ht="22" customHeight="1">
      <c r="B1429" s="5" t="inlineStr">
        <is>
          <t>R01425</t>
        </is>
      </c>
      <c r="C1429" s="5" t="inlineStr">
        <is>
          <t>MTR-DYE-001</t>
        </is>
      </c>
      <c r="D1429" s="5" t="inlineStr">
        <is>
          <t>Dyeing Hall</t>
        </is>
      </c>
      <c r="E1429" s="5" t="inlineStr">
        <is>
          <t>Dyeing Line A</t>
        </is>
      </c>
      <c r="F1429" s="5" t="inlineStr">
        <is>
          <t>2024-10-31 08:00</t>
        </is>
      </c>
      <c r="G1429" s="11" t="n">
        <v>138689.22</v>
      </c>
      <c r="H1429" s="5" t="inlineStr">
        <is>
          <t>m3</t>
        </is>
      </c>
      <c r="I1429" s="5" t="inlineStr">
        <is>
          <t>cumulative</t>
        </is>
      </c>
      <c r="J1429" s="5" t="inlineStr">
        <is>
          <t>GH</t>
        </is>
      </c>
      <c r="K1429" s="5" t="inlineStr"/>
      <c r="L1429" s="7">
        <f>IFERROR(IF(F1429&lt;F1428,"NEGATIVE",ROUND(F1429-F1428,2)),"")</f>
        <v/>
      </c>
    </row>
    <row r="1430" ht="22" customHeight="1">
      <c r="B1430" s="8" t="inlineStr">
        <is>
          <t>R01426</t>
        </is>
      </c>
      <c r="C1430" s="8" t="inlineStr">
        <is>
          <t>MTR-DYE-001</t>
        </is>
      </c>
      <c r="D1430" s="8" t="inlineStr">
        <is>
          <t>Dyeing Hall</t>
        </is>
      </c>
      <c r="E1430" s="8" t="inlineStr">
        <is>
          <t>Dyeing Line A</t>
        </is>
      </c>
      <c r="F1430" s="8" t="inlineStr">
        <is>
          <t>2024-11-01 08:00</t>
        </is>
      </c>
      <c r="G1430" s="12" t="n">
        <v>138732.46</v>
      </c>
      <c r="H1430" s="8" t="inlineStr">
        <is>
          <t>m3</t>
        </is>
      </c>
      <c r="I1430" s="8" t="inlineStr">
        <is>
          <t>cumulative</t>
        </is>
      </c>
      <c r="J1430" s="8" t="inlineStr">
        <is>
          <t>GH</t>
        </is>
      </c>
      <c r="K1430" s="8" t="inlineStr"/>
      <c r="L1430" s="10">
        <f>IFERROR(IF(F1430&lt;F1429,"NEGATIVE",ROUND(F1430-F1429,2)),"")</f>
        <v/>
      </c>
    </row>
    <row r="1431" ht="22" customHeight="1">
      <c r="B1431" s="5" t="inlineStr">
        <is>
          <t>R01427</t>
        </is>
      </c>
      <c r="C1431" s="5" t="inlineStr">
        <is>
          <t>MTR-DYE-001</t>
        </is>
      </c>
      <c r="D1431" s="5" t="inlineStr">
        <is>
          <t>Dyeing Hall</t>
        </is>
      </c>
      <c r="E1431" s="5" t="inlineStr">
        <is>
          <t>Dyeing Line A</t>
        </is>
      </c>
      <c r="F1431" s="5" t="inlineStr">
        <is>
          <t>2024-11-02 08:00</t>
        </is>
      </c>
      <c r="G1431" s="11" t="n">
        <v>138771.96</v>
      </c>
      <c r="H1431" s="5" t="inlineStr">
        <is>
          <t>m3</t>
        </is>
      </c>
      <c r="I1431" s="5" t="inlineStr">
        <is>
          <t>cumulative</t>
        </is>
      </c>
      <c r="J1431" s="5" t="inlineStr">
        <is>
          <t>IJ</t>
        </is>
      </c>
      <c r="K1431" s="5" t="inlineStr"/>
      <c r="L1431" s="7">
        <f>IFERROR(IF(F1431&lt;F1430,"NEGATIVE",ROUND(F1431-F1430,2)),"")</f>
        <v/>
      </c>
    </row>
    <row r="1432" ht="22" customHeight="1">
      <c r="B1432" s="8" t="inlineStr">
        <is>
          <t>R01428</t>
        </is>
      </c>
      <c r="C1432" s="8" t="inlineStr">
        <is>
          <t>MTR-DYE-001</t>
        </is>
      </c>
      <c r="D1432" s="8" t="inlineStr">
        <is>
          <t>Dyeing Hall</t>
        </is>
      </c>
      <c r="E1432" s="8" t="inlineStr">
        <is>
          <t>Dyeing Line A</t>
        </is>
      </c>
      <c r="F1432" s="8" t="inlineStr">
        <is>
          <t>2024-11-03 08:00</t>
        </is>
      </c>
      <c r="G1432" s="12" t="n">
        <v>138798.01</v>
      </c>
      <c r="H1432" s="8" t="inlineStr">
        <is>
          <t>m3</t>
        </is>
      </c>
      <c r="I1432" s="8" t="inlineStr">
        <is>
          <t>cumulative</t>
        </is>
      </c>
      <c r="J1432" s="8" t="inlineStr">
        <is>
          <t>AB</t>
        </is>
      </c>
      <c r="K1432" s="8" t="inlineStr"/>
      <c r="L1432" s="10">
        <f>IFERROR(IF(F1432&lt;F1431,"NEGATIVE",ROUND(F1432-F1431,2)),"")</f>
        <v/>
      </c>
    </row>
    <row r="1433" ht="22" customHeight="1">
      <c r="B1433" s="5" t="inlineStr">
        <is>
          <t>R01429</t>
        </is>
      </c>
      <c r="C1433" s="5" t="inlineStr">
        <is>
          <t>MTR-DYE-001</t>
        </is>
      </c>
      <c r="D1433" s="5" t="inlineStr">
        <is>
          <t>Dyeing Hall</t>
        </is>
      </c>
      <c r="E1433" s="5" t="inlineStr">
        <is>
          <t>Dyeing Line A</t>
        </is>
      </c>
      <c r="F1433" s="5" t="inlineStr">
        <is>
          <t>2024-11-04 08:00</t>
        </is>
      </c>
      <c r="G1433" s="11" t="n">
        <v>138843.18</v>
      </c>
      <c r="H1433" s="5" t="inlineStr">
        <is>
          <t>m3</t>
        </is>
      </c>
      <c r="I1433" s="5" t="inlineStr">
        <is>
          <t>cumulative</t>
        </is>
      </c>
      <c r="J1433" s="5" t="inlineStr">
        <is>
          <t>CD</t>
        </is>
      </c>
      <c r="K1433" s="5" t="inlineStr"/>
      <c r="L1433" s="7">
        <f>IFERROR(IF(F1433&lt;F1432,"NEGATIVE",ROUND(F1433-F1432,2)),"")</f>
        <v/>
      </c>
    </row>
    <row r="1434" ht="22" customHeight="1">
      <c r="B1434" s="8" t="inlineStr">
        <is>
          <t>R01430</t>
        </is>
      </c>
      <c r="C1434" s="8" t="inlineStr">
        <is>
          <t>MTR-DYE-001</t>
        </is>
      </c>
      <c r="D1434" s="8" t="inlineStr">
        <is>
          <t>Dyeing Hall</t>
        </is>
      </c>
      <c r="E1434" s="8" t="inlineStr">
        <is>
          <t>Dyeing Line A</t>
        </is>
      </c>
      <c r="F1434" s="8" t="inlineStr">
        <is>
          <t>2024-11-05 08:00</t>
        </is>
      </c>
      <c r="G1434" s="12" t="n">
        <v>138889.63</v>
      </c>
      <c r="H1434" s="8" t="inlineStr">
        <is>
          <t>m3</t>
        </is>
      </c>
      <c r="I1434" s="8" t="inlineStr">
        <is>
          <t>cumulative</t>
        </is>
      </c>
      <c r="J1434" s="8" t="inlineStr">
        <is>
          <t>KL</t>
        </is>
      </c>
      <c r="K1434" s="8" t="inlineStr"/>
      <c r="L1434" s="10">
        <f>IFERROR(IF(F1434&lt;F1433,"NEGATIVE",ROUND(F1434-F1433,2)),"")</f>
        <v/>
      </c>
    </row>
    <row r="1435" ht="22" customHeight="1">
      <c r="B1435" s="5" t="inlineStr">
        <is>
          <t>R01431</t>
        </is>
      </c>
      <c r="C1435" s="5" t="inlineStr">
        <is>
          <t>MTR-DYE-001</t>
        </is>
      </c>
      <c r="D1435" s="5" t="inlineStr">
        <is>
          <t>Dyeing Hall</t>
        </is>
      </c>
      <c r="E1435" s="5" t="inlineStr">
        <is>
          <t>Dyeing Line A</t>
        </is>
      </c>
      <c r="F1435" s="5" t="inlineStr">
        <is>
          <t>2024-11-06 08:00</t>
        </is>
      </c>
      <c r="G1435" s="11" t="n">
        <v>138944.02</v>
      </c>
      <c r="H1435" s="5" t="inlineStr">
        <is>
          <t>m3</t>
        </is>
      </c>
      <c r="I1435" s="5" t="inlineStr">
        <is>
          <t>cumulative</t>
        </is>
      </c>
      <c r="J1435" s="5" t="inlineStr">
        <is>
          <t>IJ</t>
        </is>
      </c>
      <c r="K1435" s="5" t="inlineStr"/>
      <c r="L1435" s="7">
        <f>IFERROR(IF(F1435&lt;F1434,"NEGATIVE",ROUND(F1435-F1434,2)),"")</f>
        <v/>
      </c>
    </row>
    <row r="1436" ht="22" customHeight="1">
      <c r="B1436" s="8" t="inlineStr">
        <is>
          <t>R01432</t>
        </is>
      </c>
      <c r="C1436" s="8" t="inlineStr">
        <is>
          <t>MTR-DYE-001</t>
        </is>
      </c>
      <c r="D1436" s="8" t="inlineStr">
        <is>
          <t>Dyeing Hall</t>
        </is>
      </c>
      <c r="E1436" s="8" t="inlineStr">
        <is>
          <t>Dyeing Line A</t>
        </is>
      </c>
      <c r="F1436" s="8" t="inlineStr">
        <is>
          <t>2024-11-07 08:00</t>
        </is>
      </c>
      <c r="G1436" s="12" t="n">
        <v>138998.31</v>
      </c>
      <c r="H1436" s="8" t="inlineStr">
        <is>
          <t>m3</t>
        </is>
      </c>
      <c r="I1436" s="8" t="inlineStr">
        <is>
          <t>cumulative</t>
        </is>
      </c>
      <c r="J1436" s="8" t="inlineStr">
        <is>
          <t>EF</t>
        </is>
      </c>
      <c r="K1436" s="8" t="inlineStr"/>
      <c r="L1436" s="10">
        <f>IFERROR(IF(F1436&lt;F1435,"NEGATIVE",ROUND(F1436-F1435,2)),"")</f>
        <v/>
      </c>
    </row>
    <row r="1437" ht="22" customHeight="1">
      <c r="B1437" s="5" t="inlineStr">
        <is>
          <t>R01433</t>
        </is>
      </c>
      <c r="C1437" s="5" t="inlineStr">
        <is>
          <t>MTR-DYE-001</t>
        </is>
      </c>
      <c r="D1437" s="5" t="inlineStr">
        <is>
          <t>Dyeing Hall</t>
        </is>
      </c>
      <c r="E1437" s="5" t="inlineStr">
        <is>
          <t>Dyeing Line A</t>
        </is>
      </c>
      <c r="F1437" s="5" t="inlineStr">
        <is>
          <t>2024-11-08 08:00</t>
        </is>
      </c>
      <c r="G1437" s="11" t="n">
        <v>139046.94</v>
      </c>
      <c r="H1437" s="5" t="inlineStr">
        <is>
          <t>m3</t>
        </is>
      </c>
      <c r="I1437" s="5" t="inlineStr">
        <is>
          <t>cumulative</t>
        </is>
      </c>
      <c r="J1437" s="5" t="inlineStr">
        <is>
          <t>IJ</t>
        </is>
      </c>
      <c r="K1437" s="5" t="inlineStr"/>
      <c r="L1437" s="7">
        <f>IFERROR(IF(F1437&lt;F1436,"NEGATIVE",ROUND(F1437-F1436,2)),"")</f>
        <v/>
      </c>
    </row>
    <row r="1438" ht="22" customHeight="1">
      <c r="B1438" s="8" t="inlineStr">
        <is>
          <t>R01434</t>
        </is>
      </c>
      <c r="C1438" s="8" t="inlineStr">
        <is>
          <t>MTR-DYE-001</t>
        </is>
      </c>
      <c r="D1438" s="8" t="inlineStr">
        <is>
          <t>Dyeing Hall</t>
        </is>
      </c>
      <c r="E1438" s="8" t="inlineStr">
        <is>
          <t>Dyeing Line A</t>
        </is>
      </c>
      <c r="F1438" s="8" t="inlineStr">
        <is>
          <t>2024-11-09 08:00</t>
        </is>
      </c>
      <c r="G1438" s="12" t="n">
        <v>139092.31</v>
      </c>
      <c r="H1438" s="8" t="inlineStr">
        <is>
          <t>m3</t>
        </is>
      </c>
      <c r="I1438" s="8" t="inlineStr">
        <is>
          <t>cumulative</t>
        </is>
      </c>
      <c r="J1438" s="8" t="inlineStr">
        <is>
          <t>AB</t>
        </is>
      </c>
      <c r="K1438" s="8" t="inlineStr"/>
      <c r="L1438" s="10">
        <f>IFERROR(IF(F1438&lt;F1437,"NEGATIVE",ROUND(F1438-F1437,2)),"")</f>
        <v/>
      </c>
    </row>
    <row r="1439" ht="22" customHeight="1">
      <c r="B1439" s="5" t="inlineStr">
        <is>
          <t>R01435</t>
        </is>
      </c>
      <c r="C1439" s="5" t="inlineStr">
        <is>
          <t>MTR-DYE-001</t>
        </is>
      </c>
      <c r="D1439" s="5" t="inlineStr">
        <is>
          <t>Dyeing Hall</t>
        </is>
      </c>
      <c r="E1439" s="5" t="inlineStr">
        <is>
          <t>Dyeing Line A</t>
        </is>
      </c>
      <c r="F1439" s="5" t="inlineStr">
        <is>
          <t>2024-11-10 08:00</t>
        </is>
      </c>
      <c r="G1439" s="11" t="n">
        <v>139118.1</v>
      </c>
      <c r="H1439" s="5" t="inlineStr">
        <is>
          <t>m3</t>
        </is>
      </c>
      <c r="I1439" s="5" t="inlineStr">
        <is>
          <t>cumulative</t>
        </is>
      </c>
      <c r="J1439" s="5" t="inlineStr">
        <is>
          <t>EF</t>
        </is>
      </c>
      <c r="K1439" s="5" t="inlineStr"/>
      <c r="L1439" s="7">
        <f>IFERROR(IF(F1439&lt;F1438,"NEGATIVE",ROUND(F1439-F1438,2)),"")</f>
        <v/>
      </c>
    </row>
    <row r="1440" ht="22" customHeight="1">
      <c r="B1440" s="8" t="inlineStr">
        <is>
          <t>R01436</t>
        </is>
      </c>
      <c r="C1440" s="8" t="inlineStr">
        <is>
          <t>MTR-DYE-001</t>
        </is>
      </c>
      <c r="D1440" s="8" t="inlineStr">
        <is>
          <t>Dyeing Hall</t>
        </is>
      </c>
      <c r="E1440" s="8" t="inlineStr">
        <is>
          <t>Dyeing Line A</t>
        </is>
      </c>
      <c r="F1440" s="8" t="inlineStr">
        <is>
          <t>2024-11-11 08:00</t>
        </is>
      </c>
      <c r="G1440" s="12" t="n">
        <v>139173.7</v>
      </c>
      <c r="H1440" s="8" t="inlineStr">
        <is>
          <t>m3</t>
        </is>
      </c>
      <c r="I1440" s="8" t="inlineStr">
        <is>
          <t>cumulative</t>
        </is>
      </c>
      <c r="J1440" s="8" t="inlineStr">
        <is>
          <t>AB</t>
        </is>
      </c>
      <c r="K1440" s="8" t="inlineStr"/>
      <c r="L1440" s="10">
        <f>IFERROR(IF(F1440&lt;F1439,"NEGATIVE",ROUND(F1440-F1439,2)),"")</f>
        <v/>
      </c>
    </row>
    <row r="1441" ht="22" customHeight="1">
      <c r="B1441" s="5" t="inlineStr">
        <is>
          <t>R01437</t>
        </is>
      </c>
      <c r="C1441" s="5" t="inlineStr">
        <is>
          <t>MTR-DYE-001</t>
        </is>
      </c>
      <c r="D1441" s="5" t="inlineStr">
        <is>
          <t>Dyeing Hall</t>
        </is>
      </c>
      <c r="E1441" s="5" t="inlineStr">
        <is>
          <t>Dyeing Line A</t>
        </is>
      </c>
      <c r="F1441" s="5" t="inlineStr">
        <is>
          <t>2024-11-12 08:00</t>
        </is>
      </c>
      <c r="G1441" s="11" t="n">
        <v>139218.88</v>
      </c>
      <c r="H1441" s="5" t="inlineStr">
        <is>
          <t>m3</t>
        </is>
      </c>
      <c r="I1441" s="5" t="inlineStr">
        <is>
          <t>cumulative</t>
        </is>
      </c>
      <c r="J1441" s="5" t="inlineStr">
        <is>
          <t>CD</t>
        </is>
      </c>
      <c r="K1441" s="5" t="inlineStr"/>
      <c r="L1441" s="7">
        <f>IFERROR(IF(F1441&lt;F1440,"NEGATIVE",ROUND(F1441-F1440,2)),"")</f>
        <v/>
      </c>
    </row>
    <row r="1442" ht="22" customHeight="1">
      <c r="B1442" s="8" t="inlineStr">
        <is>
          <t>R01438</t>
        </is>
      </c>
      <c r="C1442" s="8" t="inlineStr">
        <is>
          <t>MTR-DYE-001</t>
        </is>
      </c>
      <c r="D1442" s="8" t="inlineStr">
        <is>
          <t>Dyeing Hall</t>
        </is>
      </c>
      <c r="E1442" s="8" t="inlineStr">
        <is>
          <t>Dyeing Line A</t>
        </is>
      </c>
      <c r="F1442" s="8" t="inlineStr">
        <is>
          <t>2024-11-13 08:00</t>
        </is>
      </c>
      <c r="G1442" s="12" t="n">
        <v>139267.42</v>
      </c>
      <c r="H1442" s="8" t="inlineStr">
        <is>
          <t>m3</t>
        </is>
      </c>
      <c r="I1442" s="8" t="inlineStr">
        <is>
          <t>cumulative</t>
        </is>
      </c>
      <c r="J1442" s="8" t="inlineStr">
        <is>
          <t>AB</t>
        </is>
      </c>
      <c r="K1442" s="8" t="inlineStr"/>
      <c r="L1442" s="10">
        <f>IFERROR(IF(F1442&lt;F1441,"NEGATIVE",ROUND(F1442-F1441,2)),"")</f>
        <v/>
      </c>
    </row>
    <row r="1443" ht="22" customHeight="1">
      <c r="B1443" s="5" t="inlineStr">
        <is>
          <t>R01439</t>
        </is>
      </c>
      <c r="C1443" s="5" t="inlineStr">
        <is>
          <t>MTR-DYE-001</t>
        </is>
      </c>
      <c r="D1443" s="5" t="inlineStr">
        <is>
          <t>Dyeing Hall</t>
        </is>
      </c>
      <c r="E1443" s="5" t="inlineStr">
        <is>
          <t>Dyeing Line A</t>
        </is>
      </c>
      <c r="F1443" s="5" t="inlineStr">
        <is>
          <t>2024-11-14 08:00</t>
        </is>
      </c>
      <c r="G1443" s="11" t="n">
        <v>139321.25</v>
      </c>
      <c r="H1443" s="5" t="inlineStr">
        <is>
          <t>m3</t>
        </is>
      </c>
      <c r="I1443" s="5" t="inlineStr">
        <is>
          <t>cumulative</t>
        </is>
      </c>
      <c r="J1443" s="5" t="inlineStr">
        <is>
          <t>KL</t>
        </is>
      </c>
      <c r="K1443" s="5" t="inlineStr"/>
      <c r="L1443" s="7">
        <f>IFERROR(IF(F1443&lt;F1442,"NEGATIVE",ROUND(F1443-F1442,2)),"")</f>
        <v/>
      </c>
    </row>
    <row r="1444" ht="22" customHeight="1">
      <c r="B1444" s="8" t="inlineStr">
        <is>
          <t>R01440</t>
        </is>
      </c>
      <c r="C1444" s="8" t="inlineStr">
        <is>
          <t>MTR-DYE-001</t>
        </is>
      </c>
      <c r="D1444" s="8" t="inlineStr">
        <is>
          <t>Dyeing Hall</t>
        </is>
      </c>
      <c r="E1444" s="8" t="inlineStr">
        <is>
          <t>Dyeing Line A</t>
        </is>
      </c>
      <c r="F1444" s="8" t="inlineStr">
        <is>
          <t>2024-11-15 08:00</t>
        </is>
      </c>
      <c r="G1444" s="12" t="n">
        <v>139367.87</v>
      </c>
      <c r="H1444" s="8" t="inlineStr">
        <is>
          <t>m3</t>
        </is>
      </c>
      <c r="I1444" s="8" t="inlineStr">
        <is>
          <t>cumulative</t>
        </is>
      </c>
      <c r="J1444" s="8" t="inlineStr">
        <is>
          <t>GH</t>
        </is>
      </c>
      <c r="K1444" s="8" t="inlineStr"/>
      <c r="L1444" s="10">
        <f>IFERROR(IF(F1444&lt;F1443,"NEGATIVE",ROUND(F1444-F1443,2)),"")</f>
        <v/>
      </c>
    </row>
    <row r="1445" ht="22" customHeight="1">
      <c r="B1445" s="5" t="inlineStr">
        <is>
          <t>R01441</t>
        </is>
      </c>
      <c r="C1445" s="5" t="inlineStr">
        <is>
          <t>MTR-DYE-001</t>
        </is>
      </c>
      <c r="D1445" s="5" t="inlineStr">
        <is>
          <t>Dyeing Hall</t>
        </is>
      </c>
      <c r="E1445" s="5" t="inlineStr">
        <is>
          <t>Dyeing Line A</t>
        </is>
      </c>
      <c r="F1445" s="5" t="inlineStr">
        <is>
          <t>2024-11-16 08:00</t>
        </is>
      </c>
      <c r="G1445" s="11" t="n">
        <v>139411</v>
      </c>
      <c r="H1445" s="5" t="inlineStr">
        <is>
          <t>m3</t>
        </is>
      </c>
      <c r="I1445" s="5" t="inlineStr">
        <is>
          <t>cumulative</t>
        </is>
      </c>
      <c r="J1445" s="5" t="inlineStr">
        <is>
          <t>KL</t>
        </is>
      </c>
      <c r="K1445" s="5" t="inlineStr"/>
      <c r="L1445" s="7">
        <f>IFERROR(IF(F1445&lt;F1444,"NEGATIVE",ROUND(F1445-F1444,2)),"")</f>
        <v/>
      </c>
    </row>
    <row r="1446" ht="22" customHeight="1">
      <c r="B1446" s="8" t="inlineStr">
        <is>
          <t>R01442</t>
        </is>
      </c>
      <c r="C1446" s="8" t="inlineStr">
        <is>
          <t>MTR-DYE-001</t>
        </is>
      </c>
      <c r="D1446" s="8" t="inlineStr">
        <is>
          <t>Dyeing Hall</t>
        </is>
      </c>
      <c r="E1446" s="8" t="inlineStr">
        <is>
          <t>Dyeing Line A</t>
        </is>
      </c>
      <c r="F1446" s="8" t="inlineStr">
        <is>
          <t>2024-11-17 08:00</t>
        </is>
      </c>
      <c r="G1446" s="12" t="n">
        <v>139436.43</v>
      </c>
      <c r="H1446" s="8" t="inlineStr">
        <is>
          <t>m3</t>
        </is>
      </c>
      <c r="I1446" s="8" t="inlineStr">
        <is>
          <t>cumulative</t>
        </is>
      </c>
      <c r="J1446" s="8" t="inlineStr">
        <is>
          <t>AB</t>
        </is>
      </c>
      <c r="K1446" s="8" t="inlineStr"/>
      <c r="L1446" s="10">
        <f>IFERROR(IF(F1446&lt;F1445,"NEGATIVE",ROUND(F1446-F1445,2)),"")</f>
        <v/>
      </c>
    </row>
    <row r="1447" ht="22" customHeight="1">
      <c r="B1447" s="5" t="inlineStr">
        <is>
          <t>R01443</t>
        </is>
      </c>
      <c r="C1447" s="5" t="inlineStr">
        <is>
          <t>MTR-DYE-001</t>
        </is>
      </c>
      <c r="D1447" s="5" t="inlineStr">
        <is>
          <t>Dyeing Hall</t>
        </is>
      </c>
      <c r="E1447" s="5" t="inlineStr">
        <is>
          <t>Dyeing Line A</t>
        </is>
      </c>
      <c r="F1447" s="5" t="inlineStr">
        <is>
          <t>2024-11-18 08:00</t>
        </is>
      </c>
      <c r="G1447" s="11" t="n">
        <v>139479.96</v>
      </c>
      <c r="H1447" s="5" t="inlineStr">
        <is>
          <t>m3</t>
        </is>
      </c>
      <c r="I1447" s="5" t="inlineStr">
        <is>
          <t>cumulative</t>
        </is>
      </c>
      <c r="J1447" s="5" t="inlineStr">
        <is>
          <t>EF</t>
        </is>
      </c>
      <c r="K1447" s="5" t="inlineStr"/>
      <c r="L1447" s="7">
        <f>IFERROR(IF(F1447&lt;F1446,"NEGATIVE",ROUND(F1447-F1446,2)),"")</f>
        <v/>
      </c>
    </row>
    <row r="1448" ht="22" customHeight="1">
      <c r="B1448" s="8" t="inlineStr">
        <is>
          <t>R01444</t>
        </is>
      </c>
      <c r="C1448" s="8" t="inlineStr">
        <is>
          <t>MTR-DYE-001</t>
        </is>
      </c>
      <c r="D1448" s="8" t="inlineStr">
        <is>
          <t>Dyeing Hall</t>
        </is>
      </c>
      <c r="E1448" s="8" t="inlineStr">
        <is>
          <t>Dyeing Line A</t>
        </is>
      </c>
      <c r="F1448" s="8" t="inlineStr">
        <is>
          <t>2024-11-19 08:00</t>
        </is>
      </c>
      <c r="G1448" s="12" t="n">
        <v>139536.05</v>
      </c>
      <c r="H1448" s="8" t="inlineStr">
        <is>
          <t>m3</t>
        </is>
      </c>
      <c r="I1448" s="8" t="inlineStr">
        <is>
          <t>cumulative</t>
        </is>
      </c>
      <c r="J1448" s="8" t="inlineStr">
        <is>
          <t>IJ</t>
        </is>
      </c>
      <c r="K1448" s="8" t="inlineStr"/>
      <c r="L1448" s="10">
        <f>IFERROR(IF(F1448&lt;F1447,"NEGATIVE",ROUND(F1448-F1447,2)),"")</f>
        <v/>
      </c>
    </row>
    <row r="1449" ht="22" customHeight="1">
      <c r="B1449" s="5" t="inlineStr">
        <is>
          <t>R01445</t>
        </is>
      </c>
      <c r="C1449" s="5" t="inlineStr">
        <is>
          <t>MTR-DYE-001</t>
        </is>
      </c>
      <c r="D1449" s="5" t="inlineStr">
        <is>
          <t>Dyeing Hall</t>
        </is>
      </c>
      <c r="E1449" s="5" t="inlineStr">
        <is>
          <t>Dyeing Line A</t>
        </is>
      </c>
      <c r="F1449" s="5" t="inlineStr">
        <is>
          <t>2024-11-20 08:00</t>
        </is>
      </c>
      <c r="G1449" s="11" t="n">
        <v>139584.46</v>
      </c>
      <c r="H1449" s="5" t="inlineStr">
        <is>
          <t>m3</t>
        </is>
      </c>
      <c r="I1449" s="5" t="inlineStr">
        <is>
          <t>cumulative</t>
        </is>
      </c>
      <c r="J1449" s="5" t="inlineStr">
        <is>
          <t>AB</t>
        </is>
      </c>
      <c r="K1449" s="5" t="inlineStr"/>
      <c r="L1449" s="7">
        <f>IFERROR(IF(F1449&lt;F1448,"NEGATIVE",ROUND(F1449-F1448,2)),"")</f>
        <v/>
      </c>
    </row>
    <row r="1450" ht="22" customHeight="1">
      <c r="B1450" s="8" t="inlineStr">
        <is>
          <t>R01446</t>
        </is>
      </c>
      <c r="C1450" s="8" t="inlineStr">
        <is>
          <t>MTR-DYE-001</t>
        </is>
      </c>
      <c r="D1450" s="8" t="inlineStr">
        <is>
          <t>Dyeing Hall</t>
        </is>
      </c>
      <c r="E1450" s="8" t="inlineStr">
        <is>
          <t>Dyeing Line A</t>
        </is>
      </c>
      <c r="F1450" s="8" t="inlineStr">
        <is>
          <t>2024-11-21 08:00</t>
        </is>
      </c>
      <c r="G1450" s="12" t="n">
        <v>139632.42</v>
      </c>
      <c r="H1450" s="8" t="inlineStr">
        <is>
          <t>m3</t>
        </is>
      </c>
      <c r="I1450" s="8" t="inlineStr">
        <is>
          <t>cumulative</t>
        </is>
      </c>
      <c r="J1450" s="8" t="inlineStr">
        <is>
          <t>EF</t>
        </is>
      </c>
      <c r="K1450" s="8" t="inlineStr"/>
      <c r="L1450" s="10">
        <f>IFERROR(IF(F1450&lt;F1449,"NEGATIVE",ROUND(F1450-F1449,2)),"")</f>
        <v/>
      </c>
    </row>
    <row r="1451" ht="22" customHeight="1">
      <c r="B1451" s="5" t="inlineStr">
        <is>
          <t>R01447</t>
        </is>
      </c>
      <c r="C1451" s="5" t="inlineStr">
        <is>
          <t>MTR-DYE-001</t>
        </is>
      </c>
      <c r="D1451" s="5" t="inlineStr">
        <is>
          <t>Dyeing Hall</t>
        </is>
      </c>
      <c r="E1451" s="5" t="inlineStr">
        <is>
          <t>Dyeing Line A</t>
        </is>
      </c>
      <c r="F1451" s="5" t="inlineStr">
        <is>
          <t>2024-11-22 08:00</t>
        </is>
      </c>
      <c r="G1451" s="11" t="n">
        <v>139686.46</v>
      </c>
      <c r="H1451" s="5" t="inlineStr">
        <is>
          <t>m3</t>
        </is>
      </c>
      <c r="I1451" s="5" t="inlineStr">
        <is>
          <t>cumulative</t>
        </is>
      </c>
      <c r="J1451" s="5" t="inlineStr">
        <is>
          <t>CD</t>
        </is>
      </c>
      <c r="K1451" s="5" t="inlineStr"/>
      <c r="L1451" s="7">
        <f>IFERROR(IF(F1451&lt;F1450,"NEGATIVE",ROUND(F1451-F1450,2)),"")</f>
        <v/>
      </c>
    </row>
    <row r="1452" ht="22" customHeight="1">
      <c r="B1452" s="8" t="inlineStr">
        <is>
          <t>R01448</t>
        </is>
      </c>
      <c r="C1452" s="8" t="inlineStr">
        <is>
          <t>MTR-DYE-001</t>
        </is>
      </c>
      <c r="D1452" s="8" t="inlineStr">
        <is>
          <t>Dyeing Hall</t>
        </is>
      </c>
      <c r="E1452" s="8" t="inlineStr">
        <is>
          <t>Dyeing Line A</t>
        </is>
      </c>
      <c r="F1452" s="8" t="inlineStr">
        <is>
          <t>2024-11-23 08:00</t>
        </is>
      </c>
      <c r="G1452" s="12" t="n">
        <v>139725.44</v>
      </c>
      <c r="H1452" s="8" t="inlineStr">
        <is>
          <t>m3</t>
        </is>
      </c>
      <c r="I1452" s="8" t="inlineStr">
        <is>
          <t>cumulative</t>
        </is>
      </c>
      <c r="J1452" s="8" t="inlineStr">
        <is>
          <t>IJ</t>
        </is>
      </c>
      <c r="K1452" s="8" t="inlineStr"/>
      <c r="L1452" s="10">
        <f>IFERROR(IF(F1452&lt;F1451,"NEGATIVE",ROUND(F1452-F1451,2)),"")</f>
        <v/>
      </c>
    </row>
    <row r="1453" ht="22" customHeight="1">
      <c r="B1453" s="5" t="inlineStr">
        <is>
          <t>R01449</t>
        </is>
      </c>
      <c r="C1453" s="5" t="inlineStr">
        <is>
          <t>MTR-DYE-001</t>
        </is>
      </c>
      <c r="D1453" s="5" t="inlineStr">
        <is>
          <t>Dyeing Hall</t>
        </is>
      </c>
      <c r="E1453" s="5" t="inlineStr">
        <is>
          <t>Dyeing Line A</t>
        </is>
      </c>
      <c r="F1453" s="5" t="inlineStr">
        <is>
          <t>2024-11-24 08:00</t>
        </is>
      </c>
      <c r="G1453" s="11" t="n">
        <v>139750.74</v>
      </c>
      <c r="H1453" s="5" t="inlineStr">
        <is>
          <t>m3</t>
        </is>
      </c>
      <c r="I1453" s="5" t="inlineStr">
        <is>
          <t>cumulative</t>
        </is>
      </c>
      <c r="J1453" s="5" t="inlineStr">
        <is>
          <t>EF</t>
        </is>
      </c>
      <c r="K1453" s="5" t="inlineStr"/>
      <c r="L1453" s="7">
        <f>IFERROR(IF(F1453&lt;F1452,"NEGATIVE",ROUND(F1453-F1452,2)),"")</f>
        <v/>
      </c>
    </row>
    <row r="1454" ht="22" customHeight="1">
      <c r="B1454" s="8" t="inlineStr">
        <is>
          <t>R01450</t>
        </is>
      </c>
      <c r="C1454" s="8" t="inlineStr">
        <is>
          <t>MTR-DYE-001</t>
        </is>
      </c>
      <c r="D1454" s="8" t="inlineStr">
        <is>
          <t>Dyeing Hall</t>
        </is>
      </c>
      <c r="E1454" s="8" t="inlineStr">
        <is>
          <t>Dyeing Line A</t>
        </is>
      </c>
      <c r="F1454" s="8" t="inlineStr">
        <is>
          <t>2024-11-25 08:00</t>
        </is>
      </c>
      <c r="G1454" s="12" t="n">
        <v>139796.02</v>
      </c>
      <c r="H1454" s="8" t="inlineStr">
        <is>
          <t>m3</t>
        </is>
      </c>
      <c r="I1454" s="8" t="inlineStr">
        <is>
          <t>cumulative</t>
        </is>
      </c>
      <c r="J1454" s="8" t="inlineStr">
        <is>
          <t>AB</t>
        </is>
      </c>
      <c r="K1454" s="8" t="inlineStr"/>
      <c r="L1454" s="10">
        <f>IFERROR(IF(F1454&lt;F1453,"NEGATIVE",ROUND(F1454-F1453,2)),"")</f>
        <v/>
      </c>
    </row>
    <row r="1455" ht="22" customHeight="1">
      <c r="B1455" s="5" t="inlineStr">
        <is>
          <t>R01451</t>
        </is>
      </c>
      <c r="C1455" s="5" t="inlineStr">
        <is>
          <t>MTR-DYE-001</t>
        </is>
      </c>
      <c r="D1455" s="5" t="inlineStr">
        <is>
          <t>Dyeing Hall</t>
        </is>
      </c>
      <c r="E1455" s="5" t="inlineStr">
        <is>
          <t>Dyeing Line A</t>
        </is>
      </c>
      <c r="F1455" s="5" t="inlineStr">
        <is>
          <t>2024-11-26 08:00</t>
        </is>
      </c>
      <c r="G1455" s="11" t="n">
        <v>139847.25</v>
      </c>
      <c r="H1455" s="5" t="inlineStr">
        <is>
          <t>m3</t>
        </is>
      </c>
      <c r="I1455" s="5" t="inlineStr">
        <is>
          <t>cumulative</t>
        </is>
      </c>
      <c r="J1455" s="5" t="inlineStr">
        <is>
          <t>CD</t>
        </is>
      </c>
      <c r="K1455" s="5" t="inlineStr"/>
      <c r="L1455" s="7">
        <f>IFERROR(IF(F1455&lt;F1454,"NEGATIVE",ROUND(F1455-F1454,2)),"")</f>
        <v/>
      </c>
    </row>
    <row r="1456" ht="22" customHeight="1">
      <c r="B1456" s="8" t="inlineStr">
        <is>
          <t>R01452</t>
        </is>
      </c>
      <c r="C1456" s="8" t="inlineStr">
        <is>
          <t>MTR-DYE-001</t>
        </is>
      </c>
      <c r="D1456" s="8" t="inlineStr">
        <is>
          <t>Dyeing Hall</t>
        </is>
      </c>
      <c r="E1456" s="8" t="inlineStr">
        <is>
          <t>Dyeing Line A</t>
        </is>
      </c>
      <c r="F1456" s="8" t="inlineStr">
        <is>
          <t>2024-11-27 08:00</t>
        </is>
      </c>
      <c r="G1456" s="12" t="n">
        <v>139897.84</v>
      </c>
      <c r="H1456" s="8" t="inlineStr">
        <is>
          <t>m3</t>
        </is>
      </c>
      <c r="I1456" s="8" t="inlineStr">
        <is>
          <t>cumulative</t>
        </is>
      </c>
      <c r="J1456" s="8" t="inlineStr">
        <is>
          <t>KL</t>
        </is>
      </c>
      <c r="K1456" s="8" t="inlineStr"/>
      <c r="L1456" s="10">
        <f>IFERROR(IF(F1456&lt;F1455,"NEGATIVE",ROUND(F1456-F1455,2)),"")</f>
        <v/>
      </c>
    </row>
    <row r="1457" ht="22" customHeight="1">
      <c r="B1457" s="5" t="inlineStr">
        <is>
          <t>R01453</t>
        </is>
      </c>
      <c r="C1457" s="5" t="inlineStr">
        <is>
          <t>MTR-DYE-001</t>
        </is>
      </c>
      <c r="D1457" s="5" t="inlineStr">
        <is>
          <t>Dyeing Hall</t>
        </is>
      </c>
      <c r="E1457" s="5" t="inlineStr">
        <is>
          <t>Dyeing Line A</t>
        </is>
      </c>
      <c r="F1457" s="5" t="inlineStr">
        <is>
          <t>2024-11-28 08:00</t>
        </is>
      </c>
      <c r="G1457" s="11" t="n">
        <v>139953.59</v>
      </c>
      <c r="H1457" s="5" t="inlineStr">
        <is>
          <t>m3</t>
        </is>
      </c>
      <c r="I1457" s="5" t="inlineStr">
        <is>
          <t>cumulative</t>
        </is>
      </c>
      <c r="J1457" s="5" t="inlineStr">
        <is>
          <t>EF</t>
        </is>
      </c>
      <c r="K1457" s="5" t="inlineStr"/>
      <c r="L1457" s="7">
        <f>IFERROR(IF(F1457&lt;F1456,"NEGATIVE",ROUND(F1457-F1456,2)),"")</f>
        <v/>
      </c>
    </row>
    <row r="1458" ht="22" customHeight="1">
      <c r="B1458" s="8" t="inlineStr">
        <is>
          <t>R01454</t>
        </is>
      </c>
      <c r="C1458" s="8" t="inlineStr">
        <is>
          <t>MTR-DYE-001</t>
        </is>
      </c>
      <c r="D1458" s="8" t="inlineStr">
        <is>
          <t>Dyeing Hall</t>
        </is>
      </c>
      <c r="E1458" s="8" t="inlineStr">
        <is>
          <t>Dyeing Line A</t>
        </is>
      </c>
      <c r="F1458" s="8" t="inlineStr">
        <is>
          <t>2024-11-29 08:00</t>
        </is>
      </c>
      <c r="G1458" s="12" t="n">
        <v>140005.12</v>
      </c>
      <c r="H1458" s="8" t="inlineStr">
        <is>
          <t>m3</t>
        </is>
      </c>
      <c r="I1458" s="8" t="inlineStr">
        <is>
          <t>cumulative</t>
        </is>
      </c>
      <c r="J1458" s="8" t="inlineStr">
        <is>
          <t>EF</t>
        </is>
      </c>
      <c r="K1458" s="8" t="inlineStr"/>
      <c r="L1458" s="10">
        <f>IFERROR(IF(F1458&lt;F1457,"NEGATIVE",ROUND(F1458-F1457,2)),"")</f>
        <v/>
      </c>
    </row>
    <row r="1459" ht="22" customHeight="1">
      <c r="B1459" s="5" t="inlineStr">
        <is>
          <t>R01455</t>
        </is>
      </c>
      <c r="C1459" s="5" t="inlineStr">
        <is>
          <t>MTR-DYE-001</t>
        </is>
      </c>
      <c r="D1459" s="5" t="inlineStr">
        <is>
          <t>Dyeing Hall</t>
        </is>
      </c>
      <c r="E1459" s="5" t="inlineStr">
        <is>
          <t>Dyeing Line A</t>
        </is>
      </c>
      <c r="F1459" s="5" t="inlineStr">
        <is>
          <t>2024-11-30 08:00</t>
        </is>
      </c>
      <c r="G1459" s="11" t="n">
        <v>140039.82</v>
      </c>
      <c r="H1459" s="5" t="inlineStr">
        <is>
          <t>m3</t>
        </is>
      </c>
      <c r="I1459" s="5" t="inlineStr">
        <is>
          <t>cumulative</t>
        </is>
      </c>
      <c r="J1459" s="5" t="inlineStr">
        <is>
          <t>CD</t>
        </is>
      </c>
      <c r="K1459" s="5" t="inlineStr"/>
      <c r="L1459" s="7">
        <f>IFERROR(IF(F1459&lt;F1458,"NEGATIVE",ROUND(F1459-F1458,2)),"")</f>
        <v/>
      </c>
    </row>
    <row r="1460" ht="22" customHeight="1">
      <c r="B1460" s="8" t="inlineStr">
        <is>
          <t>R01456</t>
        </is>
      </c>
      <c r="C1460" s="8" t="inlineStr">
        <is>
          <t>MTR-DYE-001</t>
        </is>
      </c>
      <c r="D1460" s="8" t="inlineStr">
        <is>
          <t>Dyeing Hall</t>
        </is>
      </c>
      <c r="E1460" s="8" t="inlineStr">
        <is>
          <t>Dyeing Line A</t>
        </is>
      </c>
      <c r="F1460" s="8" t="inlineStr">
        <is>
          <t>2024-12-01 08:00</t>
        </is>
      </c>
      <c r="G1460" s="12" t="n">
        <v>140064.36</v>
      </c>
      <c r="H1460" s="8" t="inlineStr">
        <is>
          <t>m3</t>
        </is>
      </c>
      <c r="I1460" s="8" t="inlineStr">
        <is>
          <t>cumulative</t>
        </is>
      </c>
      <c r="J1460" s="8" t="inlineStr">
        <is>
          <t>KL</t>
        </is>
      </c>
      <c r="K1460" s="8" t="inlineStr"/>
      <c r="L1460" s="10">
        <f>IFERROR(IF(F1460&lt;F1459,"NEGATIVE",ROUND(F1460-F1459,2)),"")</f>
        <v/>
      </c>
    </row>
    <row r="1461" ht="22" customHeight="1">
      <c r="B1461" s="5" t="inlineStr">
        <is>
          <t>R01457</t>
        </is>
      </c>
      <c r="C1461" s="5" t="inlineStr">
        <is>
          <t>MTR-DYE-001</t>
        </is>
      </c>
      <c r="D1461" s="5" t="inlineStr">
        <is>
          <t>Dyeing Hall</t>
        </is>
      </c>
      <c r="E1461" s="5" t="inlineStr">
        <is>
          <t>Dyeing Line A</t>
        </is>
      </c>
      <c r="F1461" s="5" t="inlineStr">
        <is>
          <t>2024-12-02 08:00</t>
        </is>
      </c>
      <c r="G1461" s="11" t="n">
        <v>140111.81</v>
      </c>
      <c r="H1461" s="5" t="inlineStr">
        <is>
          <t>m3</t>
        </is>
      </c>
      <c r="I1461" s="5" t="inlineStr">
        <is>
          <t>cumulative</t>
        </is>
      </c>
      <c r="J1461" s="5" t="inlineStr">
        <is>
          <t>GH</t>
        </is>
      </c>
      <c r="K1461" s="5" t="inlineStr"/>
      <c r="L1461" s="7">
        <f>IFERROR(IF(F1461&lt;F1460,"NEGATIVE",ROUND(F1461-F1460,2)),"")</f>
        <v/>
      </c>
    </row>
    <row r="1462" ht="22" customHeight="1">
      <c r="B1462" s="8" t="inlineStr">
        <is>
          <t>R01458</t>
        </is>
      </c>
      <c r="C1462" s="8" t="inlineStr">
        <is>
          <t>MTR-DYE-001</t>
        </is>
      </c>
      <c r="D1462" s="8" t="inlineStr">
        <is>
          <t>Dyeing Hall</t>
        </is>
      </c>
      <c r="E1462" s="8" t="inlineStr">
        <is>
          <t>Dyeing Line A</t>
        </is>
      </c>
      <c r="F1462" s="8" t="inlineStr">
        <is>
          <t>2024-12-03 08:00</t>
        </is>
      </c>
      <c r="G1462" s="12" t="n">
        <v>140162.85</v>
      </c>
      <c r="H1462" s="8" t="inlineStr">
        <is>
          <t>m3</t>
        </is>
      </c>
      <c r="I1462" s="8" t="inlineStr">
        <is>
          <t>cumulative</t>
        </is>
      </c>
      <c r="J1462" s="8" t="inlineStr">
        <is>
          <t>EF</t>
        </is>
      </c>
      <c r="K1462" s="8" t="inlineStr"/>
      <c r="L1462" s="10">
        <f>IFERROR(IF(F1462&lt;F1461,"NEGATIVE",ROUND(F1462-F1461,2)),"")</f>
        <v/>
      </c>
    </row>
    <row r="1463" ht="22" customHeight="1">
      <c r="B1463" s="5" t="inlineStr">
        <is>
          <t>R01459</t>
        </is>
      </c>
      <c r="C1463" s="5" t="inlineStr">
        <is>
          <t>MTR-DYE-001</t>
        </is>
      </c>
      <c r="D1463" s="5" t="inlineStr">
        <is>
          <t>Dyeing Hall</t>
        </is>
      </c>
      <c r="E1463" s="5" t="inlineStr">
        <is>
          <t>Dyeing Line A</t>
        </is>
      </c>
      <c r="F1463" s="5" t="inlineStr">
        <is>
          <t>2024-12-04 08:00</t>
        </is>
      </c>
      <c r="G1463" s="11" t="n">
        <v>140207.12</v>
      </c>
      <c r="H1463" s="5" t="inlineStr">
        <is>
          <t>m3</t>
        </is>
      </c>
      <c r="I1463" s="5" t="inlineStr">
        <is>
          <t>cumulative</t>
        </is>
      </c>
      <c r="J1463" s="5" t="inlineStr">
        <is>
          <t>CD</t>
        </is>
      </c>
      <c r="K1463" s="5" t="inlineStr"/>
      <c r="L1463" s="7">
        <f>IFERROR(IF(F1463&lt;F1462,"NEGATIVE",ROUND(F1463-F1462,2)),"")</f>
        <v/>
      </c>
    </row>
    <row r="1464" ht="22" customHeight="1">
      <c r="B1464" s="8" t="inlineStr">
        <is>
          <t>R01460</t>
        </is>
      </c>
      <c r="C1464" s="8" t="inlineStr">
        <is>
          <t>MTR-DYE-001</t>
        </is>
      </c>
      <c r="D1464" s="8" t="inlineStr">
        <is>
          <t>Dyeing Hall</t>
        </is>
      </c>
      <c r="E1464" s="8" t="inlineStr">
        <is>
          <t>Dyeing Line A</t>
        </is>
      </c>
      <c r="F1464" s="8" t="inlineStr">
        <is>
          <t>2024-12-05 08:00</t>
        </is>
      </c>
      <c r="G1464" s="12" t="n">
        <v>140258.54</v>
      </c>
      <c r="H1464" s="8" t="inlineStr">
        <is>
          <t>m3</t>
        </is>
      </c>
      <c r="I1464" s="8" t="inlineStr">
        <is>
          <t>cumulative</t>
        </is>
      </c>
      <c r="J1464" s="8" t="inlineStr">
        <is>
          <t>GH</t>
        </is>
      </c>
      <c r="K1464" s="8" t="inlineStr"/>
      <c r="L1464" s="10">
        <f>IFERROR(IF(F1464&lt;F1463,"NEGATIVE",ROUND(F1464-F1463,2)),"")</f>
        <v/>
      </c>
    </row>
    <row r="1465" ht="22" customHeight="1">
      <c r="B1465" s="5" t="inlineStr">
        <is>
          <t>R01461</t>
        </is>
      </c>
      <c r="C1465" s="5" t="inlineStr">
        <is>
          <t>MTR-DYE-001</t>
        </is>
      </c>
      <c r="D1465" s="5" t="inlineStr">
        <is>
          <t>Dyeing Hall</t>
        </is>
      </c>
      <c r="E1465" s="5" t="inlineStr">
        <is>
          <t>Dyeing Line A</t>
        </is>
      </c>
      <c r="F1465" s="5" t="inlineStr">
        <is>
          <t>2024-12-06 08:00</t>
        </is>
      </c>
      <c r="G1465" s="11" t="n">
        <v>140301</v>
      </c>
      <c r="H1465" s="5" t="inlineStr">
        <is>
          <t>m3</t>
        </is>
      </c>
      <c r="I1465" s="5" t="inlineStr">
        <is>
          <t>cumulative</t>
        </is>
      </c>
      <c r="J1465" s="5" t="inlineStr">
        <is>
          <t>KL</t>
        </is>
      </c>
      <c r="K1465" s="5" t="inlineStr"/>
      <c r="L1465" s="7">
        <f>IFERROR(IF(F1465&lt;F1464,"NEGATIVE",ROUND(F1465-F1464,2)),"")</f>
        <v/>
      </c>
    </row>
    <row r="1466" ht="22" customHeight="1">
      <c r="B1466" s="8" t="inlineStr">
        <is>
          <t>R01462</t>
        </is>
      </c>
      <c r="C1466" s="8" t="inlineStr">
        <is>
          <t>MTR-DYE-001</t>
        </is>
      </c>
      <c r="D1466" s="8" t="inlineStr">
        <is>
          <t>Dyeing Hall</t>
        </is>
      </c>
      <c r="E1466" s="8" t="inlineStr">
        <is>
          <t>Dyeing Line A</t>
        </is>
      </c>
      <c r="F1466" s="8" t="inlineStr">
        <is>
          <t>2024-12-07 08:00</t>
        </is>
      </c>
      <c r="G1466" s="12" t="n">
        <v>140344.82</v>
      </c>
      <c r="H1466" s="8" t="inlineStr">
        <is>
          <t>m3</t>
        </is>
      </c>
      <c r="I1466" s="8" t="inlineStr">
        <is>
          <t>cumulative</t>
        </is>
      </c>
      <c r="J1466" s="8" t="inlineStr">
        <is>
          <t>EF</t>
        </is>
      </c>
      <c r="K1466" s="8" t="inlineStr"/>
      <c r="L1466" s="10">
        <f>IFERROR(IF(F1466&lt;F1465,"NEGATIVE",ROUND(F1466-F1465,2)),"")</f>
        <v/>
      </c>
    </row>
    <row r="1467" ht="22" customHeight="1">
      <c r="B1467" s="5" t="inlineStr">
        <is>
          <t>R01463</t>
        </is>
      </c>
      <c r="C1467" s="5" t="inlineStr">
        <is>
          <t>MTR-DYE-001</t>
        </is>
      </c>
      <c r="D1467" s="5" t="inlineStr">
        <is>
          <t>Dyeing Hall</t>
        </is>
      </c>
      <c r="E1467" s="5" t="inlineStr">
        <is>
          <t>Dyeing Line A</t>
        </is>
      </c>
      <c r="F1467" s="5" t="inlineStr">
        <is>
          <t>2024-12-08 08:00</t>
        </is>
      </c>
      <c r="G1467" s="11" t="n">
        <v>140369</v>
      </c>
      <c r="H1467" s="5" t="inlineStr">
        <is>
          <t>m3</t>
        </is>
      </c>
      <c r="I1467" s="5" t="inlineStr">
        <is>
          <t>cumulative</t>
        </is>
      </c>
      <c r="J1467" s="5" t="inlineStr">
        <is>
          <t>GH</t>
        </is>
      </c>
      <c r="K1467" s="5" t="inlineStr"/>
      <c r="L1467" s="7">
        <f>IFERROR(IF(F1467&lt;F1466,"NEGATIVE",ROUND(F1467-F1466,2)),"")</f>
        <v/>
      </c>
    </row>
    <row r="1468" ht="22" customHeight="1">
      <c r="B1468" s="8" t="inlineStr">
        <is>
          <t>R01464</t>
        </is>
      </c>
      <c r="C1468" s="8" t="inlineStr">
        <is>
          <t>MTR-DYE-001</t>
        </is>
      </c>
      <c r="D1468" s="8" t="inlineStr">
        <is>
          <t>Dyeing Hall</t>
        </is>
      </c>
      <c r="E1468" s="8" t="inlineStr">
        <is>
          <t>Dyeing Line A</t>
        </is>
      </c>
      <c r="F1468" s="8" t="inlineStr">
        <is>
          <t>2024-12-09 08:00</t>
        </is>
      </c>
      <c r="G1468" s="12" t="n">
        <v>140414.34</v>
      </c>
      <c r="H1468" s="8" t="inlineStr">
        <is>
          <t>m3</t>
        </is>
      </c>
      <c r="I1468" s="8" t="inlineStr">
        <is>
          <t>cumulative</t>
        </is>
      </c>
      <c r="J1468" s="8" t="inlineStr">
        <is>
          <t>GH</t>
        </is>
      </c>
      <c r="K1468" s="8" t="inlineStr"/>
      <c r="L1468" s="10">
        <f>IFERROR(IF(F1468&lt;F1467,"NEGATIVE",ROUND(F1468-F1467,2)),"")</f>
        <v/>
      </c>
    </row>
    <row r="1469" ht="22" customHeight="1">
      <c r="B1469" s="5" t="inlineStr">
        <is>
          <t>R01465</t>
        </is>
      </c>
      <c r="C1469" s="5" t="inlineStr">
        <is>
          <t>MTR-DYE-001</t>
        </is>
      </c>
      <c r="D1469" s="5" t="inlineStr">
        <is>
          <t>Dyeing Hall</t>
        </is>
      </c>
      <c r="E1469" s="5" t="inlineStr">
        <is>
          <t>Dyeing Line A</t>
        </is>
      </c>
      <c r="F1469" s="5" t="inlineStr">
        <is>
          <t>2024-12-10 08:00</t>
        </is>
      </c>
      <c r="G1469" s="11" t="n">
        <v>140457.22</v>
      </c>
      <c r="H1469" s="5" t="inlineStr">
        <is>
          <t>m3</t>
        </is>
      </c>
      <c r="I1469" s="5" t="inlineStr">
        <is>
          <t>cumulative</t>
        </is>
      </c>
      <c r="J1469" s="5" t="inlineStr">
        <is>
          <t>IJ</t>
        </is>
      </c>
      <c r="K1469" s="5" t="inlineStr"/>
      <c r="L1469" s="7">
        <f>IFERROR(IF(F1469&lt;F1468,"NEGATIVE",ROUND(F1469-F1468,2)),"")</f>
        <v/>
      </c>
    </row>
    <row r="1470" ht="22" customHeight="1">
      <c r="B1470" s="8" t="inlineStr">
        <is>
          <t>R01466</t>
        </is>
      </c>
      <c r="C1470" s="8" t="inlineStr">
        <is>
          <t>MTR-DYE-001</t>
        </is>
      </c>
      <c r="D1470" s="8" t="inlineStr">
        <is>
          <t>Dyeing Hall</t>
        </is>
      </c>
      <c r="E1470" s="8" t="inlineStr">
        <is>
          <t>Dyeing Line A</t>
        </is>
      </c>
      <c r="F1470" s="8" t="inlineStr">
        <is>
          <t>2024-12-11 08:00</t>
        </is>
      </c>
      <c r="G1470" s="12" t="n">
        <v>140512.8</v>
      </c>
      <c r="H1470" s="8" t="inlineStr">
        <is>
          <t>m3</t>
        </is>
      </c>
      <c r="I1470" s="8" t="inlineStr">
        <is>
          <t>cumulative</t>
        </is>
      </c>
      <c r="J1470" s="8" t="inlineStr">
        <is>
          <t>CD</t>
        </is>
      </c>
      <c r="K1470" s="8" t="inlineStr"/>
      <c r="L1470" s="10">
        <f>IFERROR(IF(F1470&lt;F1469,"NEGATIVE",ROUND(F1470-F1469,2)),"")</f>
        <v/>
      </c>
    </row>
    <row r="1471" ht="22" customHeight="1">
      <c r="B1471" s="5" t="inlineStr">
        <is>
          <t>R01467</t>
        </is>
      </c>
      <c r="C1471" s="5" t="inlineStr">
        <is>
          <t>MTR-DYE-001</t>
        </is>
      </c>
      <c r="D1471" s="5" t="inlineStr">
        <is>
          <t>Dyeing Hall</t>
        </is>
      </c>
      <c r="E1471" s="5" t="inlineStr">
        <is>
          <t>Dyeing Line A</t>
        </is>
      </c>
      <c r="F1471" s="5" t="inlineStr">
        <is>
          <t>2024-12-12 08:00</t>
        </is>
      </c>
      <c r="G1471" s="11" t="n">
        <v>140561.83</v>
      </c>
      <c r="H1471" s="5" t="inlineStr">
        <is>
          <t>m3</t>
        </is>
      </c>
      <c r="I1471" s="5" t="inlineStr">
        <is>
          <t>cumulative</t>
        </is>
      </c>
      <c r="J1471" s="5" t="inlineStr">
        <is>
          <t>KL</t>
        </is>
      </c>
      <c r="K1471" s="5" t="inlineStr"/>
      <c r="L1471" s="7">
        <f>IFERROR(IF(F1471&lt;F1470,"NEGATIVE",ROUND(F1471-F1470,2)),"")</f>
        <v/>
      </c>
    </row>
    <row r="1472" ht="22" customHeight="1">
      <c r="B1472" s="8" t="inlineStr">
        <is>
          <t>R01468</t>
        </is>
      </c>
      <c r="C1472" s="8" t="inlineStr">
        <is>
          <t>MTR-DYE-001</t>
        </is>
      </c>
      <c r="D1472" s="8" t="inlineStr">
        <is>
          <t>Dyeing Hall</t>
        </is>
      </c>
      <c r="E1472" s="8" t="inlineStr">
        <is>
          <t>Dyeing Line A</t>
        </is>
      </c>
      <c r="F1472" s="8" t="inlineStr">
        <is>
          <t>2024-12-13 08:00</t>
        </is>
      </c>
      <c r="G1472" s="12" t="n">
        <v>140612.86</v>
      </c>
      <c r="H1472" s="8" t="inlineStr">
        <is>
          <t>m3</t>
        </is>
      </c>
      <c r="I1472" s="8" t="inlineStr">
        <is>
          <t>cumulative</t>
        </is>
      </c>
      <c r="J1472" s="8" t="inlineStr">
        <is>
          <t>CD</t>
        </is>
      </c>
      <c r="K1472" s="8" t="inlineStr"/>
      <c r="L1472" s="10">
        <f>IFERROR(IF(F1472&lt;F1471,"NEGATIVE",ROUND(F1472-F1471,2)),"")</f>
        <v/>
      </c>
    </row>
    <row r="1473" ht="22" customHeight="1">
      <c r="B1473" s="5" t="inlineStr">
        <is>
          <t>R01469</t>
        </is>
      </c>
      <c r="C1473" s="5" t="inlineStr">
        <is>
          <t>MTR-DYE-001</t>
        </is>
      </c>
      <c r="D1473" s="5" t="inlineStr">
        <is>
          <t>Dyeing Hall</t>
        </is>
      </c>
      <c r="E1473" s="5" t="inlineStr">
        <is>
          <t>Dyeing Line A</t>
        </is>
      </c>
      <c r="F1473" s="5" t="inlineStr">
        <is>
          <t>2024-12-14 08:00</t>
        </is>
      </c>
      <c r="G1473" s="11" t="n">
        <v>140657.39</v>
      </c>
      <c r="H1473" s="5" t="inlineStr">
        <is>
          <t>m3</t>
        </is>
      </c>
      <c r="I1473" s="5" t="inlineStr">
        <is>
          <t>cumulative</t>
        </is>
      </c>
      <c r="J1473" s="5" t="inlineStr">
        <is>
          <t>IJ</t>
        </is>
      </c>
      <c r="K1473" s="5" t="inlineStr"/>
      <c r="L1473" s="7">
        <f>IFERROR(IF(F1473&lt;F1472,"NEGATIVE",ROUND(F1473-F1472,2)),"")</f>
        <v/>
      </c>
    </row>
    <row r="1474" ht="22" customHeight="1">
      <c r="B1474" s="8" t="inlineStr">
        <is>
          <t>R01470</t>
        </is>
      </c>
      <c r="C1474" s="8" t="inlineStr">
        <is>
          <t>MTR-DYE-001</t>
        </is>
      </c>
      <c r="D1474" s="8" t="inlineStr">
        <is>
          <t>Dyeing Hall</t>
        </is>
      </c>
      <c r="E1474" s="8" t="inlineStr">
        <is>
          <t>Dyeing Line A</t>
        </is>
      </c>
      <c r="F1474" s="8" t="inlineStr">
        <is>
          <t>2024-12-15 08:00</t>
        </is>
      </c>
      <c r="G1474" s="12" t="n">
        <v>140683.27</v>
      </c>
      <c r="H1474" s="8" t="inlineStr">
        <is>
          <t>m3</t>
        </is>
      </c>
      <c r="I1474" s="8" t="inlineStr">
        <is>
          <t>cumulative</t>
        </is>
      </c>
      <c r="J1474" s="8" t="inlineStr">
        <is>
          <t>GH</t>
        </is>
      </c>
      <c r="K1474" s="8" t="inlineStr"/>
      <c r="L1474" s="10">
        <f>IFERROR(IF(F1474&lt;F1473,"NEGATIVE",ROUND(F1474-F1473,2)),"")</f>
        <v/>
      </c>
    </row>
    <row r="1475" ht="22" customHeight="1">
      <c r="B1475" s="5" t="inlineStr">
        <is>
          <t>R01471</t>
        </is>
      </c>
      <c r="C1475" s="5" t="inlineStr">
        <is>
          <t>MTR-DYE-001</t>
        </is>
      </c>
      <c r="D1475" s="5" t="inlineStr">
        <is>
          <t>Dyeing Hall</t>
        </is>
      </c>
      <c r="E1475" s="5" t="inlineStr">
        <is>
          <t>Dyeing Line A</t>
        </is>
      </c>
      <c r="F1475" s="5" t="inlineStr">
        <is>
          <t>2024-12-16 08:00</t>
        </is>
      </c>
      <c r="G1475" s="11" t="n">
        <v>140738.96</v>
      </c>
      <c r="H1475" s="5" t="inlineStr">
        <is>
          <t>m3</t>
        </is>
      </c>
      <c r="I1475" s="5" t="inlineStr">
        <is>
          <t>cumulative</t>
        </is>
      </c>
      <c r="J1475" s="5" t="inlineStr">
        <is>
          <t>KL</t>
        </is>
      </c>
      <c r="K1475" s="5" t="inlineStr"/>
      <c r="L1475" s="7">
        <f>IFERROR(IF(F1475&lt;F1474,"NEGATIVE",ROUND(F1475-F1474,2)),"")</f>
        <v/>
      </c>
    </row>
    <row r="1476" ht="22" customHeight="1">
      <c r="B1476" s="8" t="inlineStr">
        <is>
          <t>R01472</t>
        </is>
      </c>
      <c r="C1476" s="8" t="inlineStr">
        <is>
          <t>MTR-DYE-001</t>
        </is>
      </c>
      <c r="D1476" s="8" t="inlineStr">
        <is>
          <t>Dyeing Hall</t>
        </is>
      </c>
      <c r="E1476" s="8" t="inlineStr">
        <is>
          <t>Dyeing Line A</t>
        </is>
      </c>
      <c r="F1476" s="8" t="inlineStr">
        <is>
          <t>2024-12-17 08:00</t>
        </is>
      </c>
      <c r="G1476" s="12" t="n">
        <v>140784.77</v>
      </c>
      <c r="H1476" s="8" t="inlineStr">
        <is>
          <t>m3</t>
        </is>
      </c>
      <c r="I1476" s="8" t="inlineStr">
        <is>
          <t>cumulative</t>
        </is>
      </c>
      <c r="J1476" s="8" t="inlineStr">
        <is>
          <t>IJ</t>
        </is>
      </c>
      <c r="K1476" s="8" t="inlineStr"/>
      <c r="L1476" s="10">
        <f>IFERROR(IF(F1476&lt;F1475,"NEGATIVE",ROUND(F1476-F1475,2)),"")</f>
        <v/>
      </c>
    </row>
    <row r="1477" ht="22" customHeight="1">
      <c r="B1477" s="5" t="inlineStr">
        <is>
          <t>R01473</t>
        </is>
      </c>
      <c r="C1477" s="5" t="inlineStr">
        <is>
          <t>MTR-DYE-001</t>
        </is>
      </c>
      <c r="D1477" s="5" t="inlineStr">
        <is>
          <t>Dyeing Hall</t>
        </is>
      </c>
      <c r="E1477" s="5" t="inlineStr">
        <is>
          <t>Dyeing Line A</t>
        </is>
      </c>
      <c r="F1477" s="5" t="inlineStr">
        <is>
          <t>2024-12-18 08:00</t>
        </is>
      </c>
      <c r="G1477" s="11" t="n">
        <v>140834.9</v>
      </c>
      <c r="H1477" s="5" t="inlineStr">
        <is>
          <t>m3</t>
        </is>
      </c>
      <c r="I1477" s="5" t="inlineStr">
        <is>
          <t>cumulative</t>
        </is>
      </c>
      <c r="J1477" s="5" t="inlineStr">
        <is>
          <t>KL</t>
        </is>
      </c>
      <c r="K1477" s="5" t="inlineStr"/>
      <c r="L1477" s="7">
        <f>IFERROR(IF(F1477&lt;F1476,"NEGATIVE",ROUND(F1477-F1476,2)),"")</f>
        <v/>
      </c>
    </row>
    <row r="1478" ht="22" customHeight="1">
      <c r="B1478" s="8" t="inlineStr">
        <is>
          <t>R01474</t>
        </is>
      </c>
      <c r="C1478" s="8" t="inlineStr">
        <is>
          <t>MTR-DYE-001</t>
        </is>
      </c>
      <c r="D1478" s="8" t="inlineStr">
        <is>
          <t>Dyeing Hall</t>
        </is>
      </c>
      <c r="E1478" s="8" t="inlineStr">
        <is>
          <t>Dyeing Line A</t>
        </is>
      </c>
      <c r="F1478" s="8" t="inlineStr">
        <is>
          <t>2024-12-19 08:00</t>
        </is>
      </c>
      <c r="G1478" s="12" t="n">
        <v>140884.26</v>
      </c>
      <c r="H1478" s="8" t="inlineStr">
        <is>
          <t>m3</t>
        </is>
      </c>
      <c r="I1478" s="8" t="inlineStr">
        <is>
          <t>cumulative</t>
        </is>
      </c>
      <c r="J1478" s="8" t="inlineStr">
        <is>
          <t>EF</t>
        </is>
      </c>
      <c r="K1478" s="8" t="inlineStr"/>
      <c r="L1478" s="10">
        <f>IFERROR(IF(F1478&lt;F1477,"NEGATIVE",ROUND(F1478-F1477,2)),"")</f>
        <v/>
      </c>
    </row>
    <row r="1479" ht="22" customHeight="1">
      <c r="B1479" s="5" t="inlineStr">
        <is>
          <t>R01475</t>
        </is>
      </c>
      <c r="C1479" s="5" t="inlineStr">
        <is>
          <t>MTR-DYE-001</t>
        </is>
      </c>
      <c r="D1479" s="5" t="inlineStr">
        <is>
          <t>Dyeing Hall</t>
        </is>
      </c>
      <c r="E1479" s="5" t="inlineStr">
        <is>
          <t>Dyeing Line A</t>
        </is>
      </c>
      <c r="F1479" s="5" t="inlineStr">
        <is>
          <t>2024-12-20 08:00</t>
        </is>
      </c>
      <c r="G1479" s="11" t="n">
        <v>140928.49</v>
      </c>
      <c r="H1479" s="5" t="inlineStr">
        <is>
          <t>m3</t>
        </is>
      </c>
      <c r="I1479" s="5" t="inlineStr">
        <is>
          <t>cumulative</t>
        </is>
      </c>
      <c r="J1479" s="5" t="inlineStr">
        <is>
          <t>AB</t>
        </is>
      </c>
      <c r="K1479" s="5" t="inlineStr"/>
      <c r="L1479" s="7">
        <f>IFERROR(IF(F1479&lt;F1478,"NEGATIVE",ROUND(F1479-F1478,2)),"")</f>
        <v/>
      </c>
    </row>
    <row r="1480" ht="22" customHeight="1">
      <c r="B1480" s="8" t="inlineStr">
        <is>
          <t>R01476</t>
        </is>
      </c>
      <c r="C1480" s="8" t="inlineStr">
        <is>
          <t>MTR-DYE-001</t>
        </is>
      </c>
      <c r="D1480" s="8" t="inlineStr">
        <is>
          <t>Dyeing Hall</t>
        </is>
      </c>
      <c r="E1480" s="8" t="inlineStr">
        <is>
          <t>Dyeing Line A</t>
        </is>
      </c>
      <c r="F1480" s="8" t="inlineStr">
        <is>
          <t>2024-12-21 08:00</t>
        </is>
      </c>
      <c r="G1480" s="12" t="n">
        <v>140968.94</v>
      </c>
      <c r="H1480" s="8" t="inlineStr">
        <is>
          <t>m3</t>
        </is>
      </c>
      <c r="I1480" s="8" t="inlineStr">
        <is>
          <t>cumulative</t>
        </is>
      </c>
      <c r="J1480" s="8" t="inlineStr">
        <is>
          <t>GH</t>
        </is>
      </c>
      <c r="K1480" s="8" t="inlineStr"/>
      <c r="L1480" s="10">
        <f>IFERROR(IF(F1480&lt;F1479,"NEGATIVE",ROUND(F1480-F1479,2)),"")</f>
        <v/>
      </c>
    </row>
    <row r="1481" ht="22" customHeight="1">
      <c r="B1481" s="5" t="inlineStr">
        <is>
          <t>R01477</t>
        </is>
      </c>
      <c r="C1481" s="5" t="inlineStr">
        <is>
          <t>MTR-DYE-001</t>
        </is>
      </c>
      <c r="D1481" s="5" t="inlineStr">
        <is>
          <t>Dyeing Hall</t>
        </is>
      </c>
      <c r="E1481" s="5" t="inlineStr">
        <is>
          <t>Dyeing Line A</t>
        </is>
      </c>
      <c r="F1481" s="5" t="inlineStr">
        <is>
          <t>2024-12-22 08:00</t>
        </is>
      </c>
      <c r="G1481" s="11" t="n">
        <v>140997.02</v>
      </c>
      <c r="H1481" s="5" t="inlineStr">
        <is>
          <t>m3</t>
        </is>
      </c>
      <c r="I1481" s="5" t="inlineStr">
        <is>
          <t>cumulative</t>
        </is>
      </c>
      <c r="J1481" s="5" t="inlineStr">
        <is>
          <t>GH</t>
        </is>
      </c>
      <c r="K1481" s="5" t="inlineStr"/>
      <c r="L1481" s="7">
        <f>IFERROR(IF(F1481&lt;F1480,"NEGATIVE",ROUND(F1481-F1480,2)),"")</f>
        <v/>
      </c>
    </row>
    <row r="1482" ht="22" customHeight="1">
      <c r="B1482" s="8" t="inlineStr">
        <is>
          <t>R01478</t>
        </is>
      </c>
      <c r="C1482" s="8" t="inlineStr">
        <is>
          <t>MTR-DYE-001</t>
        </is>
      </c>
      <c r="D1482" s="8" t="inlineStr">
        <is>
          <t>Dyeing Hall</t>
        </is>
      </c>
      <c r="E1482" s="8" t="inlineStr">
        <is>
          <t>Dyeing Line A</t>
        </is>
      </c>
      <c r="F1482" s="8" t="inlineStr">
        <is>
          <t>2024-12-23 08:00</t>
        </is>
      </c>
      <c r="G1482" s="12" t="n">
        <v>141045.75</v>
      </c>
      <c r="H1482" s="8" t="inlineStr">
        <is>
          <t>m3</t>
        </is>
      </c>
      <c r="I1482" s="8" t="inlineStr">
        <is>
          <t>cumulative</t>
        </is>
      </c>
      <c r="J1482" s="8" t="inlineStr">
        <is>
          <t>GH</t>
        </is>
      </c>
      <c r="K1482" s="8" t="inlineStr"/>
      <c r="L1482" s="10">
        <f>IFERROR(IF(F1482&lt;F1481,"NEGATIVE",ROUND(F1482-F1481,2)),"")</f>
        <v/>
      </c>
    </row>
    <row r="1483" ht="22" customHeight="1">
      <c r="B1483" s="5" t="inlineStr">
        <is>
          <t>R01479</t>
        </is>
      </c>
      <c r="C1483" s="5" t="inlineStr">
        <is>
          <t>MTR-DYE-001</t>
        </is>
      </c>
      <c r="D1483" s="5" t="inlineStr">
        <is>
          <t>Dyeing Hall</t>
        </is>
      </c>
      <c r="E1483" s="5" t="inlineStr">
        <is>
          <t>Dyeing Line A</t>
        </is>
      </c>
      <c r="F1483" s="5" t="inlineStr">
        <is>
          <t>2024-12-24 08:00</t>
        </is>
      </c>
      <c r="G1483" s="11" t="n">
        <v>141093.14</v>
      </c>
      <c r="H1483" s="5" t="inlineStr">
        <is>
          <t>m3</t>
        </is>
      </c>
      <c r="I1483" s="5" t="inlineStr">
        <is>
          <t>cumulative</t>
        </is>
      </c>
      <c r="J1483" s="5" t="inlineStr">
        <is>
          <t>KL</t>
        </is>
      </c>
      <c r="K1483" s="5" t="inlineStr"/>
      <c r="L1483" s="7">
        <f>IFERROR(IF(F1483&lt;F1482,"NEGATIVE",ROUND(F1483-F1482,2)),"")</f>
        <v/>
      </c>
    </row>
    <row r="1484" ht="22" customHeight="1">
      <c r="B1484" s="8" t="inlineStr">
        <is>
          <t>R01480</t>
        </is>
      </c>
      <c r="C1484" s="8" t="inlineStr">
        <is>
          <t>MTR-DYE-001</t>
        </is>
      </c>
      <c r="D1484" s="8" t="inlineStr">
        <is>
          <t>Dyeing Hall</t>
        </is>
      </c>
      <c r="E1484" s="8" t="inlineStr">
        <is>
          <t>Dyeing Line A</t>
        </is>
      </c>
      <c r="F1484" s="8" t="inlineStr">
        <is>
          <t>2024-12-25 08:00</t>
        </is>
      </c>
      <c r="G1484" s="12" t="n">
        <v>141137.57</v>
      </c>
      <c r="H1484" s="8" t="inlineStr">
        <is>
          <t>m3</t>
        </is>
      </c>
      <c r="I1484" s="8" t="inlineStr">
        <is>
          <t>cumulative</t>
        </is>
      </c>
      <c r="J1484" s="8" t="inlineStr">
        <is>
          <t>KL</t>
        </is>
      </c>
      <c r="K1484" s="8" t="inlineStr"/>
      <c r="L1484" s="10">
        <f>IFERROR(IF(F1484&lt;F1483,"NEGATIVE",ROUND(F1484-F1483,2)),"")</f>
        <v/>
      </c>
    </row>
    <row r="1485" ht="22" customHeight="1">
      <c r="B1485" s="5" t="inlineStr">
        <is>
          <t>R01481</t>
        </is>
      </c>
      <c r="C1485" s="5" t="inlineStr">
        <is>
          <t>MTR-DYE-001</t>
        </is>
      </c>
      <c r="D1485" s="5" t="inlineStr">
        <is>
          <t>Dyeing Hall</t>
        </is>
      </c>
      <c r="E1485" s="5" t="inlineStr">
        <is>
          <t>Dyeing Line A</t>
        </is>
      </c>
      <c r="F1485" s="5" t="inlineStr">
        <is>
          <t>2024-12-26 08:00</t>
        </is>
      </c>
      <c r="G1485" s="11" t="n">
        <v>141188.24</v>
      </c>
      <c r="H1485" s="5" t="inlineStr">
        <is>
          <t>m3</t>
        </is>
      </c>
      <c r="I1485" s="5" t="inlineStr">
        <is>
          <t>cumulative</t>
        </is>
      </c>
      <c r="J1485" s="5" t="inlineStr">
        <is>
          <t>KL</t>
        </is>
      </c>
      <c r="K1485" s="5" t="inlineStr"/>
      <c r="L1485" s="7">
        <f>IFERROR(IF(F1485&lt;F1484,"NEGATIVE",ROUND(F1485-F1484,2)),"")</f>
        <v/>
      </c>
    </row>
    <row r="1486" ht="22" customHeight="1">
      <c r="B1486" s="8" t="inlineStr">
        <is>
          <t>R01482</t>
        </is>
      </c>
      <c r="C1486" s="8" t="inlineStr">
        <is>
          <t>MTR-DYE-001</t>
        </is>
      </c>
      <c r="D1486" s="8" t="inlineStr">
        <is>
          <t>Dyeing Hall</t>
        </is>
      </c>
      <c r="E1486" s="8" t="inlineStr">
        <is>
          <t>Dyeing Line A</t>
        </is>
      </c>
      <c r="F1486" s="8" t="inlineStr">
        <is>
          <t>2024-12-27 08:00</t>
        </is>
      </c>
      <c r="G1486" s="12" t="n">
        <v>141233.78</v>
      </c>
      <c r="H1486" s="8" t="inlineStr">
        <is>
          <t>m3</t>
        </is>
      </c>
      <c r="I1486" s="8" t="inlineStr">
        <is>
          <t>cumulative</t>
        </is>
      </c>
      <c r="J1486" s="8" t="inlineStr">
        <is>
          <t>GH</t>
        </is>
      </c>
      <c r="K1486" s="8" t="inlineStr"/>
      <c r="L1486" s="10">
        <f>IFERROR(IF(F1486&lt;F1485,"NEGATIVE",ROUND(F1486-F1485,2)),"")</f>
        <v/>
      </c>
    </row>
    <row r="1487" ht="22" customHeight="1">
      <c r="B1487" s="5" t="inlineStr">
        <is>
          <t>R01483</t>
        </is>
      </c>
      <c r="C1487" s="5" t="inlineStr">
        <is>
          <t>MTR-DYE-001</t>
        </is>
      </c>
      <c r="D1487" s="5" t="inlineStr">
        <is>
          <t>Dyeing Hall</t>
        </is>
      </c>
      <c r="E1487" s="5" t="inlineStr">
        <is>
          <t>Dyeing Line A</t>
        </is>
      </c>
      <c r="F1487" s="5" t="inlineStr">
        <is>
          <t>2024-12-28 08:00</t>
        </is>
      </c>
      <c r="G1487" s="11" t="n">
        <v>141278.89</v>
      </c>
      <c r="H1487" s="5" t="inlineStr">
        <is>
          <t>m3</t>
        </is>
      </c>
      <c r="I1487" s="5" t="inlineStr">
        <is>
          <t>cumulative</t>
        </is>
      </c>
      <c r="J1487" s="5" t="inlineStr">
        <is>
          <t>KL</t>
        </is>
      </c>
      <c r="K1487" s="5" t="inlineStr"/>
      <c r="L1487" s="7">
        <f>IFERROR(IF(F1487&lt;F1486,"NEGATIVE",ROUND(F1487-F1486,2)),"")</f>
        <v/>
      </c>
    </row>
    <row r="1488" ht="22" customHeight="1">
      <c r="B1488" s="8" t="inlineStr">
        <is>
          <t>R01484</t>
        </is>
      </c>
      <c r="C1488" s="8" t="inlineStr">
        <is>
          <t>MTR-DYE-001</t>
        </is>
      </c>
      <c r="D1488" s="8" t="inlineStr">
        <is>
          <t>Dyeing Hall</t>
        </is>
      </c>
      <c r="E1488" s="8" t="inlineStr">
        <is>
          <t>Dyeing Line A</t>
        </is>
      </c>
      <c r="F1488" s="8" t="inlineStr">
        <is>
          <t>2024-12-29 08:00</t>
        </is>
      </c>
      <c r="G1488" s="12" t="n">
        <v>141306.21</v>
      </c>
      <c r="H1488" s="8" t="inlineStr">
        <is>
          <t>m3</t>
        </is>
      </c>
      <c r="I1488" s="8" t="inlineStr">
        <is>
          <t>cumulative</t>
        </is>
      </c>
      <c r="J1488" s="8" t="inlineStr">
        <is>
          <t>CD</t>
        </is>
      </c>
      <c r="K1488" s="8" t="inlineStr"/>
      <c r="L1488" s="10">
        <f>IFERROR(IF(F1488&lt;F1487,"NEGATIVE",ROUND(F1488-F1487,2)),"")</f>
        <v/>
      </c>
    </row>
    <row r="1489" ht="22" customHeight="1">
      <c r="B1489" s="5" t="inlineStr">
        <is>
          <t>R01485</t>
        </is>
      </c>
      <c r="C1489" s="5" t="inlineStr">
        <is>
          <t>MTR-DYE-001</t>
        </is>
      </c>
      <c r="D1489" s="5" t="inlineStr">
        <is>
          <t>Dyeing Hall</t>
        </is>
      </c>
      <c r="E1489" s="5" t="inlineStr">
        <is>
          <t>Dyeing Line A</t>
        </is>
      </c>
      <c r="F1489" s="5" t="inlineStr">
        <is>
          <t>2024-12-30 08:00</t>
        </is>
      </c>
      <c r="G1489" s="11" t="n">
        <v>141353.24</v>
      </c>
      <c r="H1489" s="5" t="inlineStr">
        <is>
          <t>m3</t>
        </is>
      </c>
      <c r="I1489" s="5" t="inlineStr">
        <is>
          <t>cumulative</t>
        </is>
      </c>
      <c r="J1489" s="5" t="inlineStr">
        <is>
          <t>KL</t>
        </is>
      </c>
      <c r="K1489" s="5" t="inlineStr"/>
      <c r="L1489" s="7">
        <f>IFERROR(IF(F1489&lt;F1488,"NEGATIVE",ROUND(F1489-F1488,2)),"")</f>
        <v/>
      </c>
    </row>
    <row r="1490" ht="22" customHeight="1">
      <c r="B1490" s="8" t="inlineStr">
        <is>
          <t>R01486</t>
        </is>
      </c>
      <c r="C1490" s="8" t="inlineStr">
        <is>
          <t>MTR-DYE-001</t>
        </is>
      </c>
      <c r="D1490" s="8" t="inlineStr">
        <is>
          <t>Dyeing Hall</t>
        </is>
      </c>
      <c r="E1490" s="8" t="inlineStr">
        <is>
          <t>Dyeing Line A</t>
        </is>
      </c>
      <c r="F1490" s="8" t="inlineStr">
        <is>
          <t>2024-12-31 08:00</t>
        </is>
      </c>
      <c r="G1490" s="12" t="n">
        <v>141404.9</v>
      </c>
      <c r="H1490" s="8" t="inlineStr">
        <is>
          <t>m3</t>
        </is>
      </c>
      <c r="I1490" s="8" t="inlineStr">
        <is>
          <t>cumulative</t>
        </is>
      </c>
      <c r="J1490" s="8" t="inlineStr">
        <is>
          <t>KL</t>
        </is>
      </c>
      <c r="K1490" s="8" t="inlineStr"/>
      <c r="L1490" s="10">
        <f>IFERROR(IF(F1490&lt;F1489,"NEGATIVE",ROUND(F1490-F1489,2)),"")</f>
        <v/>
      </c>
    </row>
    <row r="1491" ht="22" customHeight="1">
      <c r="B1491" s="5" t="inlineStr">
        <is>
          <t>R01487</t>
        </is>
      </c>
      <c r="C1491" s="5" t="inlineStr">
        <is>
          <t>MTR-PRC-005</t>
        </is>
      </c>
      <c r="D1491" s="5" t="inlineStr">
        <is>
          <t>Process Hall</t>
        </is>
      </c>
      <c r="E1491" s="5" t="inlineStr">
        <is>
          <t>Process Water Main</t>
        </is>
      </c>
      <c r="F1491" s="5" t="inlineStr">
        <is>
          <t>2024-01-01 08:00</t>
        </is>
      </c>
      <c r="G1491" s="11" t="n">
        <v>41525.82</v>
      </c>
      <c r="H1491" s="5" t="inlineStr">
        <is>
          <t>m3</t>
        </is>
      </c>
      <c r="I1491" s="5" t="inlineStr">
        <is>
          <t>cumulative</t>
        </is>
      </c>
      <c r="J1491" s="5" t="inlineStr">
        <is>
          <t>AB</t>
        </is>
      </c>
      <c r="K1491" s="5" t="inlineStr"/>
      <c r="L1491" s="7" t="inlineStr"/>
    </row>
    <row r="1492" ht="22" customHeight="1">
      <c r="B1492" s="8" t="inlineStr">
        <is>
          <t>R01488</t>
        </is>
      </c>
      <c r="C1492" s="8" t="inlineStr">
        <is>
          <t>MTR-PRC-005</t>
        </is>
      </c>
      <c r="D1492" s="8" t="inlineStr">
        <is>
          <t>Process Hall</t>
        </is>
      </c>
      <c r="E1492" s="8" t="inlineStr">
        <is>
          <t>Process Water Main</t>
        </is>
      </c>
      <c r="F1492" s="8" t="inlineStr">
        <is>
          <t>2024-01-02 08:00</t>
        </is>
      </c>
      <c r="G1492" s="12" t="n">
        <v>41549.23</v>
      </c>
      <c r="H1492" s="8" t="inlineStr">
        <is>
          <t>m3</t>
        </is>
      </c>
      <c r="I1492" s="8" t="inlineStr">
        <is>
          <t>cumulative</t>
        </is>
      </c>
      <c r="J1492" s="8" t="inlineStr">
        <is>
          <t>CD</t>
        </is>
      </c>
      <c r="K1492" s="8" t="inlineStr"/>
      <c r="L1492" s="10">
        <f>IFERROR(IF(F1492&lt;F1491,"NEGATIVE",ROUND(F1492-F1491,2)),"")</f>
        <v/>
      </c>
    </row>
    <row r="1493" ht="22" customHeight="1">
      <c r="B1493" s="5" t="inlineStr">
        <is>
          <t>R01489</t>
        </is>
      </c>
      <c r="C1493" s="5" t="inlineStr">
        <is>
          <t>MTR-PRC-005</t>
        </is>
      </c>
      <c r="D1493" s="5" t="inlineStr">
        <is>
          <t>Process Hall</t>
        </is>
      </c>
      <c r="E1493" s="5" t="inlineStr">
        <is>
          <t>Process Water Main</t>
        </is>
      </c>
      <c r="F1493" s="5" t="inlineStr">
        <is>
          <t>2024-01-03 08:00</t>
        </is>
      </c>
      <c r="G1493" s="11" t="n">
        <v>41575.5</v>
      </c>
      <c r="H1493" s="5" t="inlineStr">
        <is>
          <t>m3</t>
        </is>
      </c>
      <c r="I1493" s="5" t="inlineStr">
        <is>
          <t>cumulative</t>
        </is>
      </c>
      <c r="J1493" s="5" t="inlineStr">
        <is>
          <t>EF</t>
        </is>
      </c>
      <c r="K1493" s="5" t="inlineStr"/>
      <c r="L1493" s="7">
        <f>IFERROR(IF(F1493&lt;F1492,"NEGATIVE",ROUND(F1493-F1492,2)),"")</f>
        <v/>
      </c>
    </row>
    <row r="1494" ht="22" customHeight="1">
      <c r="B1494" s="8" t="inlineStr">
        <is>
          <t>R01490</t>
        </is>
      </c>
      <c r="C1494" s="8" t="inlineStr">
        <is>
          <t>MTR-PRC-005</t>
        </is>
      </c>
      <c r="D1494" s="8" t="inlineStr">
        <is>
          <t>Process Hall</t>
        </is>
      </c>
      <c r="E1494" s="8" t="inlineStr">
        <is>
          <t>Process Water Main</t>
        </is>
      </c>
      <c r="F1494" s="8" t="inlineStr">
        <is>
          <t>2024-01-04 08:00</t>
        </is>
      </c>
      <c r="G1494" s="12" t="n">
        <v>41595.68</v>
      </c>
      <c r="H1494" s="8" t="inlineStr">
        <is>
          <t>m3</t>
        </is>
      </c>
      <c r="I1494" s="8" t="inlineStr">
        <is>
          <t>cumulative</t>
        </is>
      </c>
      <c r="J1494" s="8" t="inlineStr">
        <is>
          <t>EF</t>
        </is>
      </c>
      <c r="K1494" s="8" t="inlineStr"/>
      <c r="L1494" s="10">
        <f>IFERROR(IF(F1494&lt;F1493,"NEGATIVE",ROUND(F1494-F1493,2)),"")</f>
        <v/>
      </c>
    </row>
    <row r="1495" ht="22" customHeight="1">
      <c r="B1495" s="5" t="inlineStr">
        <is>
          <t>R01491</t>
        </is>
      </c>
      <c r="C1495" s="5" t="inlineStr">
        <is>
          <t>MTR-PRC-005</t>
        </is>
      </c>
      <c r="D1495" s="5" t="inlineStr">
        <is>
          <t>Process Hall</t>
        </is>
      </c>
      <c r="E1495" s="5" t="inlineStr">
        <is>
          <t>Process Water Main</t>
        </is>
      </c>
      <c r="F1495" s="5" t="inlineStr">
        <is>
          <t>2024-01-05 08:00</t>
        </is>
      </c>
      <c r="G1495" s="11" t="n">
        <v>41622.14</v>
      </c>
      <c r="H1495" s="5" t="inlineStr">
        <is>
          <t>m3</t>
        </is>
      </c>
      <c r="I1495" s="5" t="inlineStr">
        <is>
          <t>cumulative</t>
        </is>
      </c>
      <c r="J1495" s="5" t="inlineStr">
        <is>
          <t>CD</t>
        </is>
      </c>
      <c r="K1495" s="5" t="inlineStr"/>
      <c r="L1495" s="7">
        <f>IFERROR(IF(F1495&lt;F1494,"NEGATIVE",ROUND(F1495-F1494,2)),"")</f>
        <v/>
      </c>
    </row>
    <row r="1496" ht="22" customHeight="1">
      <c r="B1496" s="8" t="inlineStr">
        <is>
          <t>R01492</t>
        </is>
      </c>
      <c r="C1496" s="8" t="inlineStr">
        <is>
          <t>MTR-PRC-005</t>
        </is>
      </c>
      <c r="D1496" s="8" t="inlineStr">
        <is>
          <t>Process Hall</t>
        </is>
      </c>
      <c r="E1496" s="8" t="inlineStr">
        <is>
          <t>Process Water Main</t>
        </is>
      </c>
      <c r="F1496" s="8" t="inlineStr">
        <is>
          <t>2024-01-06 08:00</t>
        </is>
      </c>
      <c r="G1496" s="12" t="n">
        <v>41643.29</v>
      </c>
      <c r="H1496" s="8" t="inlineStr">
        <is>
          <t>m3</t>
        </is>
      </c>
      <c r="I1496" s="8" t="inlineStr">
        <is>
          <t>cumulative</t>
        </is>
      </c>
      <c r="J1496" s="8" t="inlineStr">
        <is>
          <t>KL</t>
        </is>
      </c>
      <c r="K1496" s="8" t="inlineStr"/>
      <c r="L1496" s="10">
        <f>IFERROR(IF(F1496&lt;F1495,"NEGATIVE",ROUND(F1496-F1495,2)),"")</f>
        <v/>
      </c>
    </row>
    <row r="1497" ht="22" customHeight="1">
      <c r="B1497" s="5" t="inlineStr">
        <is>
          <t>R01493</t>
        </is>
      </c>
      <c r="C1497" s="5" t="inlineStr">
        <is>
          <t>MTR-PRC-005</t>
        </is>
      </c>
      <c r="D1497" s="5" t="inlineStr">
        <is>
          <t>Process Hall</t>
        </is>
      </c>
      <c r="E1497" s="5" t="inlineStr">
        <is>
          <t>Process Water Main</t>
        </is>
      </c>
      <c r="F1497" s="5" t="inlineStr">
        <is>
          <t>2024-01-07 08:00</t>
        </is>
      </c>
      <c r="G1497" s="11" t="n">
        <v>41656.06</v>
      </c>
      <c r="H1497" s="5" t="inlineStr">
        <is>
          <t>m3</t>
        </is>
      </c>
      <c r="I1497" s="5" t="inlineStr">
        <is>
          <t>cumulative</t>
        </is>
      </c>
      <c r="J1497" s="5" t="inlineStr">
        <is>
          <t>AB</t>
        </is>
      </c>
      <c r="K1497" s="5" t="inlineStr"/>
      <c r="L1497" s="7">
        <f>IFERROR(IF(F1497&lt;F1496,"NEGATIVE",ROUND(F1497-F1496,2)),"")</f>
        <v/>
      </c>
    </row>
    <row r="1498" ht="22" customHeight="1">
      <c r="B1498" s="8" t="inlineStr">
        <is>
          <t>R01494</t>
        </is>
      </c>
      <c r="C1498" s="8" t="inlineStr">
        <is>
          <t>MTR-PRC-005</t>
        </is>
      </c>
      <c r="D1498" s="8" t="inlineStr">
        <is>
          <t>Process Hall</t>
        </is>
      </c>
      <c r="E1498" s="8" t="inlineStr">
        <is>
          <t>Process Water Main</t>
        </is>
      </c>
      <c r="F1498" s="8" t="inlineStr">
        <is>
          <t>2024-01-08 08:00</t>
        </is>
      </c>
      <c r="G1498" s="12" t="n">
        <v>41677.17</v>
      </c>
      <c r="H1498" s="8" t="inlineStr">
        <is>
          <t>m3</t>
        </is>
      </c>
      <c r="I1498" s="8" t="inlineStr">
        <is>
          <t>cumulative</t>
        </is>
      </c>
      <c r="J1498" s="8" t="inlineStr">
        <is>
          <t>GH</t>
        </is>
      </c>
      <c r="K1498" s="8" t="inlineStr"/>
      <c r="L1498" s="10">
        <f>IFERROR(IF(F1498&lt;F1497,"NEGATIVE",ROUND(F1498-F1497,2)),"")</f>
        <v/>
      </c>
    </row>
    <row r="1499" ht="22" customHeight="1">
      <c r="B1499" s="5" t="inlineStr">
        <is>
          <t>R01495</t>
        </is>
      </c>
      <c r="C1499" s="5" t="inlineStr">
        <is>
          <t>MTR-PRC-005</t>
        </is>
      </c>
      <c r="D1499" s="5" t="inlineStr">
        <is>
          <t>Process Hall</t>
        </is>
      </c>
      <c r="E1499" s="5" t="inlineStr">
        <is>
          <t>Process Water Main</t>
        </is>
      </c>
      <c r="F1499" s="5" t="inlineStr">
        <is>
          <t>2024-01-09 08:00</t>
        </is>
      </c>
      <c r="G1499" s="11" t="n">
        <v>41703.03</v>
      </c>
      <c r="H1499" s="5" t="inlineStr">
        <is>
          <t>m3</t>
        </is>
      </c>
      <c r="I1499" s="5" t="inlineStr">
        <is>
          <t>cumulative</t>
        </is>
      </c>
      <c r="J1499" s="5" t="inlineStr">
        <is>
          <t>GH</t>
        </is>
      </c>
      <c r="K1499" s="5" t="inlineStr"/>
      <c r="L1499" s="7">
        <f>IFERROR(IF(F1499&lt;F1498,"NEGATIVE",ROUND(F1499-F1498,2)),"")</f>
        <v/>
      </c>
    </row>
    <row r="1500" ht="22" customHeight="1">
      <c r="B1500" s="8" t="inlineStr">
        <is>
          <t>R01496</t>
        </is>
      </c>
      <c r="C1500" s="8" t="inlineStr">
        <is>
          <t>MTR-PRC-005</t>
        </is>
      </c>
      <c r="D1500" s="8" t="inlineStr">
        <is>
          <t>Process Hall</t>
        </is>
      </c>
      <c r="E1500" s="8" t="inlineStr">
        <is>
          <t>Process Water Main</t>
        </is>
      </c>
      <c r="F1500" s="8" t="inlineStr">
        <is>
          <t>2024-01-10 08:00</t>
        </is>
      </c>
      <c r="G1500" s="12" t="n">
        <v>41726.8</v>
      </c>
      <c r="H1500" s="8" t="inlineStr">
        <is>
          <t>m3</t>
        </is>
      </c>
      <c r="I1500" s="8" t="inlineStr">
        <is>
          <t>cumulative</t>
        </is>
      </c>
      <c r="J1500" s="8" t="inlineStr">
        <is>
          <t>GH</t>
        </is>
      </c>
      <c r="K1500" s="8" t="inlineStr"/>
      <c r="L1500" s="10">
        <f>IFERROR(IF(F1500&lt;F1499,"NEGATIVE",ROUND(F1500-F1499,2)),"")</f>
        <v/>
      </c>
    </row>
    <row r="1501" ht="22" customHeight="1">
      <c r="B1501" s="5" t="inlineStr">
        <is>
          <t>R01497</t>
        </is>
      </c>
      <c r="C1501" s="5" t="inlineStr">
        <is>
          <t>MTR-PRC-005</t>
        </is>
      </c>
      <c r="D1501" s="5" t="inlineStr">
        <is>
          <t>Process Hall</t>
        </is>
      </c>
      <c r="E1501" s="5" t="inlineStr">
        <is>
          <t>Process Water Main</t>
        </is>
      </c>
      <c r="F1501" s="5" t="inlineStr">
        <is>
          <t>2024-01-11 08:00</t>
        </is>
      </c>
      <c r="G1501" s="11" t="n">
        <v>41751.64</v>
      </c>
      <c r="H1501" s="5" t="inlineStr">
        <is>
          <t>m3</t>
        </is>
      </c>
      <c r="I1501" s="5" t="inlineStr">
        <is>
          <t>cumulative</t>
        </is>
      </c>
      <c r="J1501" s="5" t="inlineStr">
        <is>
          <t>KL</t>
        </is>
      </c>
      <c r="K1501" s="5" t="inlineStr"/>
      <c r="L1501" s="7">
        <f>IFERROR(IF(F1501&lt;F1500,"NEGATIVE",ROUND(F1501-F1500,2)),"")</f>
        <v/>
      </c>
    </row>
    <row r="1502" ht="22" customHeight="1">
      <c r="B1502" s="8" t="inlineStr">
        <is>
          <t>R01498</t>
        </is>
      </c>
      <c r="C1502" s="8" t="inlineStr">
        <is>
          <t>MTR-PRC-005</t>
        </is>
      </c>
      <c r="D1502" s="8" t="inlineStr">
        <is>
          <t>Process Hall</t>
        </is>
      </c>
      <c r="E1502" s="8" t="inlineStr">
        <is>
          <t>Process Water Main</t>
        </is>
      </c>
      <c r="F1502" s="8" t="inlineStr">
        <is>
          <t>2024-01-12 08:00</t>
        </is>
      </c>
      <c r="G1502" s="12" t="n">
        <v>41774.79</v>
      </c>
      <c r="H1502" s="8" t="inlineStr">
        <is>
          <t>m3</t>
        </is>
      </c>
      <c r="I1502" s="8" t="inlineStr">
        <is>
          <t>cumulative</t>
        </is>
      </c>
      <c r="J1502" s="8" t="inlineStr">
        <is>
          <t>AB</t>
        </is>
      </c>
      <c r="K1502" s="8" t="inlineStr"/>
      <c r="L1502" s="10">
        <f>IFERROR(IF(F1502&lt;F1501,"NEGATIVE",ROUND(F1502-F1501,2)),"")</f>
        <v/>
      </c>
    </row>
    <row r="1503" ht="22" customHeight="1">
      <c r="B1503" s="5" t="inlineStr">
        <is>
          <t>R01499</t>
        </is>
      </c>
      <c r="C1503" s="5" t="inlineStr">
        <is>
          <t>MTR-PRC-005</t>
        </is>
      </c>
      <c r="D1503" s="5" t="inlineStr">
        <is>
          <t>Process Hall</t>
        </is>
      </c>
      <c r="E1503" s="5" t="inlineStr">
        <is>
          <t>Process Water Main</t>
        </is>
      </c>
      <c r="F1503" s="5" t="inlineStr">
        <is>
          <t>2024-01-13 08:00</t>
        </is>
      </c>
      <c r="G1503" s="11" t="n">
        <v>41795.84</v>
      </c>
      <c r="H1503" s="5" t="inlineStr">
        <is>
          <t>m3</t>
        </is>
      </c>
      <c r="I1503" s="5" t="inlineStr">
        <is>
          <t>cumulative</t>
        </is>
      </c>
      <c r="J1503" s="5" t="inlineStr">
        <is>
          <t>IJ</t>
        </is>
      </c>
      <c r="K1503" s="5" t="inlineStr"/>
      <c r="L1503" s="7">
        <f>IFERROR(IF(F1503&lt;F1502,"NEGATIVE",ROUND(F1503-F1502,2)),"")</f>
        <v/>
      </c>
    </row>
    <row r="1504" ht="22" customHeight="1">
      <c r="B1504" s="8" t="inlineStr">
        <is>
          <t>R01500</t>
        </is>
      </c>
      <c r="C1504" s="8" t="inlineStr">
        <is>
          <t>MTR-PRC-005</t>
        </is>
      </c>
      <c r="D1504" s="8" t="inlineStr">
        <is>
          <t>Process Hall</t>
        </is>
      </c>
      <c r="E1504" s="8" t="inlineStr">
        <is>
          <t>Process Water Main</t>
        </is>
      </c>
      <c r="F1504" s="8" t="inlineStr">
        <is>
          <t>2024-01-14 08:00</t>
        </is>
      </c>
      <c r="G1504" s="12" t="n">
        <v>41806.44</v>
      </c>
      <c r="H1504" s="8" t="inlineStr">
        <is>
          <t>m3</t>
        </is>
      </c>
      <c r="I1504" s="8" t="inlineStr">
        <is>
          <t>cumulative</t>
        </is>
      </c>
      <c r="J1504" s="8" t="inlineStr">
        <is>
          <t>GH</t>
        </is>
      </c>
      <c r="K1504" s="8" t="inlineStr"/>
      <c r="L1504" s="10">
        <f>IFERROR(IF(F1504&lt;F1503,"NEGATIVE",ROUND(F1504-F1503,2)),"")</f>
        <v/>
      </c>
    </row>
    <row r="1505" ht="22" customHeight="1">
      <c r="B1505" s="5" t="inlineStr">
        <is>
          <t>R01501</t>
        </is>
      </c>
      <c r="C1505" s="5" t="inlineStr">
        <is>
          <t>MTR-PRC-005</t>
        </is>
      </c>
      <c r="D1505" s="5" t="inlineStr">
        <is>
          <t>Process Hall</t>
        </is>
      </c>
      <c r="E1505" s="5" t="inlineStr">
        <is>
          <t>Process Water Main</t>
        </is>
      </c>
      <c r="F1505" s="5" t="inlineStr">
        <is>
          <t>2024-01-15 08:00</t>
        </is>
      </c>
      <c r="G1505" s="11" t="n">
        <v>41832.76</v>
      </c>
      <c r="H1505" s="5" t="inlineStr">
        <is>
          <t>m3</t>
        </is>
      </c>
      <c r="I1505" s="5" t="inlineStr">
        <is>
          <t>cumulative</t>
        </is>
      </c>
      <c r="J1505" s="5" t="inlineStr">
        <is>
          <t>IJ</t>
        </is>
      </c>
      <c r="K1505" s="5" t="inlineStr"/>
      <c r="L1505" s="7">
        <f>IFERROR(IF(F1505&lt;F1504,"NEGATIVE",ROUND(F1505-F1504,2)),"")</f>
        <v/>
      </c>
    </row>
    <row r="1506" ht="22" customHeight="1">
      <c r="B1506" s="8" t="inlineStr">
        <is>
          <t>R01502</t>
        </is>
      </c>
      <c r="C1506" s="8" t="inlineStr">
        <is>
          <t>MTR-PRC-005</t>
        </is>
      </c>
      <c r="D1506" s="8" t="inlineStr">
        <is>
          <t>Process Hall</t>
        </is>
      </c>
      <c r="E1506" s="8" t="inlineStr">
        <is>
          <t>Process Water Main</t>
        </is>
      </c>
      <c r="F1506" s="8" t="inlineStr">
        <is>
          <t>2024-01-16 08:00</t>
        </is>
      </c>
      <c r="G1506" s="12" t="n">
        <v>41853.23</v>
      </c>
      <c r="H1506" s="8" t="inlineStr">
        <is>
          <t>m3</t>
        </is>
      </c>
      <c r="I1506" s="8" t="inlineStr">
        <is>
          <t>cumulative</t>
        </is>
      </c>
      <c r="J1506" s="8" t="inlineStr">
        <is>
          <t>CD</t>
        </is>
      </c>
      <c r="K1506" s="8" t="inlineStr"/>
      <c r="L1506" s="10">
        <f>IFERROR(IF(F1506&lt;F1505,"NEGATIVE",ROUND(F1506-F1505,2)),"")</f>
        <v/>
      </c>
    </row>
    <row r="1507" ht="22" customHeight="1">
      <c r="B1507" s="5" t="inlineStr">
        <is>
          <t>R01503</t>
        </is>
      </c>
      <c r="C1507" s="5" t="inlineStr">
        <is>
          <t>MTR-PRC-005</t>
        </is>
      </c>
      <c r="D1507" s="5" t="inlineStr">
        <is>
          <t>Process Hall</t>
        </is>
      </c>
      <c r="E1507" s="5" t="inlineStr">
        <is>
          <t>Process Water Main</t>
        </is>
      </c>
      <c r="F1507" s="5" t="inlineStr">
        <is>
          <t>2024-01-17 08:00</t>
        </is>
      </c>
      <c r="G1507" s="11" t="n">
        <v>41879.14</v>
      </c>
      <c r="H1507" s="5" t="inlineStr">
        <is>
          <t>m3</t>
        </is>
      </c>
      <c r="I1507" s="5" t="inlineStr">
        <is>
          <t>cumulative</t>
        </is>
      </c>
      <c r="J1507" s="5" t="inlineStr">
        <is>
          <t>EF</t>
        </is>
      </c>
      <c r="K1507" s="5" t="inlineStr"/>
      <c r="L1507" s="7">
        <f>IFERROR(IF(F1507&lt;F1506,"NEGATIVE",ROUND(F1507-F1506,2)),"")</f>
        <v/>
      </c>
    </row>
    <row r="1508" ht="22" customHeight="1">
      <c r="B1508" s="8" t="inlineStr">
        <is>
          <t>R01504</t>
        </is>
      </c>
      <c r="C1508" s="8" t="inlineStr">
        <is>
          <t>MTR-PRC-005</t>
        </is>
      </c>
      <c r="D1508" s="8" t="inlineStr">
        <is>
          <t>Process Hall</t>
        </is>
      </c>
      <c r="E1508" s="8" t="inlineStr">
        <is>
          <t>Process Water Main</t>
        </is>
      </c>
      <c r="F1508" s="8" t="inlineStr">
        <is>
          <t>2024-01-18 08:00</t>
        </is>
      </c>
      <c r="G1508" s="12" t="n">
        <v>41904.21</v>
      </c>
      <c r="H1508" s="8" t="inlineStr">
        <is>
          <t>m3</t>
        </is>
      </c>
      <c r="I1508" s="8" t="inlineStr">
        <is>
          <t>cumulative</t>
        </is>
      </c>
      <c r="J1508" s="8" t="inlineStr">
        <is>
          <t>GH</t>
        </is>
      </c>
      <c r="K1508" s="8" t="inlineStr"/>
      <c r="L1508" s="10">
        <f>IFERROR(IF(F1508&lt;F1507,"NEGATIVE",ROUND(F1508-F1507,2)),"")</f>
        <v/>
      </c>
    </row>
    <row r="1509" ht="22" customHeight="1">
      <c r="B1509" s="5" t="inlineStr">
        <is>
          <t>R01505</t>
        </is>
      </c>
      <c r="C1509" s="5" t="inlineStr">
        <is>
          <t>MTR-PRC-005</t>
        </is>
      </c>
      <c r="D1509" s="5" t="inlineStr">
        <is>
          <t>Process Hall</t>
        </is>
      </c>
      <c r="E1509" s="5" t="inlineStr">
        <is>
          <t>Process Water Main</t>
        </is>
      </c>
      <c r="F1509" s="5" t="inlineStr">
        <is>
          <t>2024-01-19 08:00</t>
        </is>
      </c>
      <c r="G1509" s="11" t="n">
        <v>41924.53</v>
      </c>
      <c r="H1509" s="5" t="inlineStr">
        <is>
          <t>m3</t>
        </is>
      </c>
      <c r="I1509" s="5" t="inlineStr">
        <is>
          <t>cumulative</t>
        </is>
      </c>
      <c r="J1509" s="5" t="inlineStr">
        <is>
          <t>GH</t>
        </is>
      </c>
      <c r="K1509" s="5" t="inlineStr"/>
      <c r="L1509" s="7">
        <f>IFERROR(IF(F1509&lt;F1508,"NEGATIVE",ROUND(F1509-F1508,2)),"")</f>
        <v/>
      </c>
    </row>
    <row r="1510" ht="22" customHeight="1">
      <c r="B1510" s="8" t="inlineStr">
        <is>
          <t>R01506</t>
        </is>
      </c>
      <c r="C1510" s="8" t="inlineStr">
        <is>
          <t>MTR-PRC-005</t>
        </is>
      </c>
      <c r="D1510" s="8" t="inlineStr">
        <is>
          <t>Process Hall</t>
        </is>
      </c>
      <c r="E1510" s="8" t="inlineStr">
        <is>
          <t>Process Water Main</t>
        </is>
      </c>
      <c r="F1510" s="8" t="inlineStr">
        <is>
          <t>2024-01-20 08:00</t>
        </is>
      </c>
      <c r="G1510" s="12" t="n">
        <v>41942.91</v>
      </c>
      <c r="H1510" s="8" t="inlineStr">
        <is>
          <t>m3</t>
        </is>
      </c>
      <c r="I1510" s="8" t="inlineStr">
        <is>
          <t>cumulative</t>
        </is>
      </c>
      <c r="J1510" s="8" t="inlineStr">
        <is>
          <t>IJ</t>
        </is>
      </c>
      <c r="K1510" s="8" t="inlineStr"/>
      <c r="L1510" s="10">
        <f>IFERROR(IF(F1510&lt;F1509,"NEGATIVE",ROUND(F1510-F1509,2)),"")</f>
        <v/>
      </c>
    </row>
    <row r="1511" ht="22" customHeight="1">
      <c r="B1511" s="5" t="inlineStr">
        <is>
          <t>R01507</t>
        </is>
      </c>
      <c r="C1511" s="5" t="inlineStr">
        <is>
          <t>MTR-PRC-005</t>
        </is>
      </c>
      <c r="D1511" s="5" t="inlineStr">
        <is>
          <t>Process Hall</t>
        </is>
      </c>
      <c r="E1511" s="5" t="inlineStr">
        <is>
          <t>Process Water Main</t>
        </is>
      </c>
      <c r="F1511" s="5" t="inlineStr">
        <is>
          <t>2024-01-21 08:00</t>
        </is>
      </c>
      <c r="G1511" s="11" t="n">
        <v>41956.47</v>
      </c>
      <c r="H1511" s="5" t="inlineStr">
        <is>
          <t>m3</t>
        </is>
      </c>
      <c r="I1511" s="5" t="inlineStr">
        <is>
          <t>cumulative</t>
        </is>
      </c>
      <c r="J1511" s="5" t="inlineStr">
        <is>
          <t>CD</t>
        </is>
      </c>
      <c r="K1511" s="5" t="inlineStr"/>
      <c r="L1511" s="7">
        <f>IFERROR(IF(F1511&lt;F1510,"NEGATIVE",ROUND(F1511-F1510,2)),"")</f>
        <v/>
      </c>
    </row>
    <row r="1512" ht="22" customHeight="1">
      <c r="B1512" s="8" t="inlineStr">
        <is>
          <t>R01508</t>
        </is>
      </c>
      <c r="C1512" s="8" t="inlineStr">
        <is>
          <t>MTR-PRC-005</t>
        </is>
      </c>
      <c r="D1512" s="8" t="inlineStr">
        <is>
          <t>Process Hall</t>
        </is>
      </c>
      <c r="E1512" s="8" t="inlineStr">
        <is>
          <t>Process Water Main</t>
        </is>
      </c>
      <c r="F1512" s="8" t="inlineStr">
        <is>
          <t>2024-01-22 08:00</t>
        </is>
      </c>
      <c r="G1512" s="12" t="n">
        <v>41977.18</v>
      </c>
      <c r="H1512" s="8" t="inlineStr">
        <is>
          <t>m3</t>
        </is>
      </c>
      <c r="I1512" s="8" t="inlineStr">
        <is>
          <t>cumulative</t>
        </is>
      </c>
      <c r="J1512" s="8" t="inlineStr">
        <is>
          <t>EF</t>
        </is>
      </c>
      <c r="K1512" s="8" t="inlineStr"/>
      <c r="L1512" s="10">
        <f>IFERROR(IF(F1512&lt;F1511,"NEGATIVE",ROUND(F1512-F1511,2)),"")</f>
        <v/>
      </c>
    </row>
    <row r="1513" ht="22" customHeight="1">
      <c r="B1513" s="5" t="inlineStr">
        <is>
          <t>R01509</t>
        </is>
      </c>
      <c r="C1513" s="5" t="inlineStr">
        <is>
          <t>MTR-PRC-005</t>
        </is>
      </c>
      <c r="D1513" s="5" t="inlineStr">
        <is>
          <t>Process Hall</t>
        </is>
      </c>
      <c r="E1513" s="5" t="inlineStr">
        <is>
          <t>Process Water Main</t>
        </is>
      </c>
      <c r="F1513" s="5" t="inlineStr">
        <is>
          <t>2024-01-23 08:00</t>
        </is>
      </c>
      <c r="G1513" s="11" t="n">
        <v>41997.91</v>
      </c>
      <c r="H1513" s="5" t="inlineStr">
        <is>
          <t>m3</t>
        </is>
      </c>
      <c r="I1513" s="5" t="inlineStr">
        <is>
          <t>cumulative</t>
        </is>
      </c>
      <c r="J1513" s="5" t="inlineStr">
        <is>
          <t>IJ</t>
        </is>
      </c>
      <c r="K1513" s="5" t="inlineStr"/>
      <c r="L1513" s="7">
        <f>IFERROR(IF(F1513&lt;F1512,"NEGATIVE",ROUND(F1513-F1512,2)),"")</f>
        <v/>
      </c>
    </row>
    <row r="1514" ht="22" customHeight="1">
      <c r="B1514" s="8" t="inlineStr">
        <is>
          <t>R01510</t>
        </is>
      </c>
      <c r="C1514" s="8" t="inlineStr">
        <is>
          <t>MTR-PRC-005</t>
        </is>
      </c>
      <c r="D1514" s="8" t="inlineStr">
        <is>
          <t>Process Hall</t>
        </is>
      </c>
      <c r="E1514" s="8" t="inlineStr">
        <is>
          <t>Process Water Main</t>
        </is>
      </c>
      <c r="F1514" s="8" t="inlineStr">
        <is>
          <t>2024-01-24 08:00</t>
        </is>
      </c>
      <c r="G1514" s="12" t="n">
        <v>42017.82</v>
      </c>
      <c r="H1514" s="8" t="inlineStr">
        <is>
          <t>m3</t>
        </is>
      </c>
      <c r="I1514" s="8" t="inlineStr">
        <is>
          <t>cumulative</t>
        </is>
      </c>
      <c r="J1514" s="8" t="inlineStr">
        <is>
          <t>AB</t>
        </is>
      </c>
      <c r="K1514" s="8" t="inlineStr"/>
      <c r="L1514" s="10">
        <f>IFERROR(IF(F1514&lt;F1513,"NEGATIVE",ROUND(F1514-F1513,2)),"")</f>
        <v/>
      </c>
    </row>
    <row r="1515" ht="22" customHeight="1">
      <c r="B1515" s="5" t="inlineStr">
        <is>
          <t>R01511</t>
        </is>
      </c>
      <c r="C1515" s="5" t="inlineStr">
        <is>
          <t>MTR-PRC-005</t>
        </is>
      </c>
      <c r="D1515" s="5" t="inlineStr">
        <is>
          <t>Process Hall</t>
        </is>
      </c>
      <c r="E1515" s="5" t="inlineStr">
        <is>
          <t>Process Water Main</t>
        </is>
      </c>
      <c r="F1515" s="5" t="inlineStr">
        <is>
          <t>2024-01-25 08:00</t>
        </is>
      </c>
      <c r="G1515" s="11" t="n">
        <v>42038.36</v>
      </c>
      <c r="H1515" s="5" t="inlineStr">
        <is>
          <t>m3</t>
        </is>
      </c>
      <c r="I1515" s="5" t="inlineStr">
        <is>
          <t>cumulative</t>
        </is>
      </c>
      <c r="J1515" s="5" t="inlineStr">
        <is>
          <t>KL</t>
        </is>
      </c>
      <c r="K1515" s="5" t="inlineStr"/>
      <c r="L1515" s="7">
        <f>IFERROR(IF(F1515&lt;F1514,"NEGATIVE",ROUND(F1515-F1514,2)),"")</f>
        <v/>
      </c>
    </row>
    <row r="1516" ht="22" customHeight="1">
      <c r="B1516" s="8" t="inlineStr">
        <is>
          <t>R01512</t>
        </is>
      </c>
      <c r="C1516" s="8" t="inlineStr">
        <is>
          <t>MTR-PRC-005</t>
        </is>
      </c>
      <c r="D1516" s="8" t="inlineStr">
        <is>
          <t>Process Hall</t>
        </is>
      </c>
      <c r="E1516" s="8" t="inlineStr">
        <is>
          <t>Process Water Main</t>
        </is>
      </c>
      <c r="F1516" s="8" t="inlineStr">
        <is>
          <t>2024-01-26 08:00</t>
        </is>
      </c>
      <c r="G1516" s="12" t="n">
        <v>42061.5</v>
      </c>
      <c r="H1516" s="8" t="inlineStr">
        <is>
          <t>m3</t>
        </is>
      </c>
      <c r="I1516" s="8" t="inlineStr">
        <is>
          <t>cumulative</t>
        </is>
      </c>
      <c r="J1516" s="8" t="inlineStr">
        <is>
          <t>CD</t>
        </is>
      </c>
      <c r="K1516" s="8" t="inlineStr"/>
      <c r="L1516" s="10">
        <f>IFERROR(IF(F1516&lt;F1515,"NEGATIVE",ROUND(F1516-F1515,2)),"")</f>
        <v/>
      </c>
    </row>
    <row r="1517" ht="22" customHeight="1">
      <c r="B1517" s="5" t="inlineStr">
        <is>
          <t>R01513</t>
        </is>
      </c>
      <c r="C1517" s="5" t="inlineStr">
        <is>
          <t>MTR-PRC-005</t>
        </is>
      </c>
      <c r="D1517" s="5" t="inlineStr">
        <is>
          <t>Process Hall</t>
        </is>
      </c>
      <c r="E1517" s="5" t="inlineStr">
        <is>
          <t>Process Water Main</t>
        </is>
      </c>
      <c r="F1517" s="5" t="inlineStr">
        <is>
          <t>2024-01-27 08:00</t>
        </is>
      </c>
      <c r="G1517" s="11" t="n">
        <v>42080.36</v>
      </c>
      <c r="H1517" s="5" t="inlineStr">
        <is>
          <t>m3</t>
        </is>
      </c>
      <c r="I1517" s="5" t="inlineStr">
        <is>
          <t>cumulative</t>
        </is>
      </c>
      <c r="J1517" s="5" t="inlineStr">
        <is>
          <t>KL</t>
        </is>
      </c>
      <c r="K1517" s="5" t="inlineStr"/>
      <c r="L1517" s="7">
        <f>IFERROR(IF(F1517&lt;F1516,"NEGATIVE",ROUND(F1517-F1516,2)),"")</f>
        <v/>
      </c>
    </row>
    <row r="1518" ht="22" customHeight="1">
      <c r="B1518" s="8" t="inlineStr">
        <is>
          <t>R01514</t>
        </is>
      </c>
      <c r="C1518" s="8" t="inlineStr">
        <is>
          <t>MTR-PRC-005</t>
        </is>
      </c>
      <c r="D1518" s="8" t="inlineStr">
        <is>
          <t>Process Hall</t>
        </is>
      </c>
      <c r="E1518" s="8" t="inlineStr">
        <is>
          <t>Process Water Main</t>
        </is>
      </c>
      <c r="F1518" s="8" t="inlineStr">
        <is>
          <t>2024-01-28 08:00</t>
        </is>
      </c>
      <c r="G1518" s="12" t="n">
        <v>42091.63</v>
      </c>
      <c r="H1518" s="8" t="inlineStr">
        <is>
          <t>m3</t>
        </is>
      </c>
      <c r="I1518" s="8" t="inlineStr">
        <is>
          <t>cumulative</t>
        </is>
      </c>
      <c r="J1518" s="8" t="inlineStr">
        <is>
          <t>IJ</t>
        </is>
      </c>
      <c r="K1518" s="8" t="inlineStr"/>
      <c r="L1518" s="10">
        <f>IFERROR(IF(F1518&lt;F1517,"NEGATIVE",ROUND(F1518-F1517,2)),"")</f>
        <v/>
      </c>
    </row>
    <row r="1519" ht="22" customHeight="1">
      <c r="B1519" s="5" t="inlineStr">
        <is>
          <t>R01515</t>
        </is>
      </c>
      <c r="C1519" s="5" t="inlineStr">
        <is>
          <t>MTR-PRC-005</t>
        </is>
      </c>
      <c r="D1519" s="5" t="inlineStr">
        <is>
          <t>Process Hall</t>
        </is>
      </c>
      <c r="E1519" s="5" t="inlineStr">
        <is>
          <t>Process Water Main</t>
        </is>
      </c>
      <c r="F1519" s="5" t="inlineStr">
        <is>
          <t>2024-01-29 08:00</t>
        </is>
      </c>
      <c r="G1519" s="11" t="n">
        <v>42117.01</v>
      </c>
      <c r="H1519" s="5" t="inlineStr">
        <is>
          <t>m3</t>
        </is>
      </c>
      <c r="I1519" s="5" t="inlineStr">
        <is>
          <t>cumulative</t>
        </is>
      </c>
      <c r="J1519" s="5" t="inlineStr">
        <is>
          <t>AB</t>
        </is>
      </c>
      <c r="K1519" s="5" t="inlineStr"/>
      <c r="L1519" s="7">
        <f>IFERROR(IF(F1519&lt;F1518,"NEGATIVE",ROUND(F1519-F1518,2)),"")</f>
        <v/>
      </c>
    </row>
    <row r="1520" ht="22" customHeight="1">
      <c r="B1520" s="8" t="inlineStr">
        <is>
          <t>R01516</t>
        </is>
      </c>
      <c r="C1520" s="8" t="inlineStr">
        <is>
          <t>MTR-PRC-005</t>
        </is>
      </c>
      <c r="D1520" s="8" t="inlineStr">
        <is>
          <t>Process Hall</t>
        </is>
      </c>
      <c r="E1520" s="8" t="inlineStr">
        <is>
          <t>Process Water Main</t>
        </is>
      </c>
      <c r="F1520" s="8" t="inlineStr">
        <is>
          <t>2024-01-30 08:00</t>
        </is>
      </c>
      <c r="G1520" s="12" t="n">
        <v>42137.17</v>
      </c>
      <c r="H1520" s="8" t="inlineStr">
        <is>
          <t>m3</t>
        </is>
      </c>
      <c r="I1520" s="8" t="inlineStr">
        <is>
          <t>cumulative</t>
        </is>
      </c>
      <c r="J1520" s="8" t="inlineStr">
        <is>
          <t>KL</t>
        </is>
      </c>
      <c r="K1520" s="8" t="inlineStr"/>
      <c r="L1520" s="10">
        <f>IFERROR(IF(F1520&lt;F1519,"NEGATIVE",ROUND(F1520-F1519,2)),"")</f>
        <v/>
      </c>
    </row>
    <row r="1521" ht="22" customHeight="1">
      <c r="B1521" s="5" t="inlineStr">
        <is>
          <t>R01517</t>
        </is>
      </c>
      <c r="C1521" s="5" t="inlineStr">
        <is>
          <t>MTR-PRC-005</t>
        </is>
      </c>
      <c r="D1521" s="5" t="inlineStr">
        <is>
          <t>Process Hall</t>
        </is>
      </c>
      <c r="E1521" s="5" t="inlineStr">
        <is>
          <t>Process Water Main</t>
        </is>
      </c>
      <c r="F1521" s="5" t="inlineStr">
        <is>
          <t>2024-01-31 08:00</t>
        </is>
      </c>
      <c r="G1521" s="11" t="n">
        <v>42163.03</v>
      </c>
      <c r="H1521" s="5" t="inlineStr">
        <is>
          <t>m3</t>
        </is>
      </c>
      <c r="I1521" s="5" t="inlineStr">
        <is>
          <t>cumulative</t>
        </is>
      </c>
      <c r="J1521" s="5" t="inlineStr">
        <is>
          <t>CD</t>
        </is>
      </c>
      <c r="K1521" s="5" t="inlineStr"/>
      <c r="L1521" s="7">
        <f>IFERROR(IF(F1521&lt;F1520,"NEGATIVE",ROUND(F1521-F1520,2)),"")</f>
        <v/>
      </c>
    </row>
    <row r="1522" ht="22" customHeight="1">
      <c r="B1522" s="8" t="inlineStr">
        <is>
          <t>R01518</t>
        </is>
      </c>
      <c r="C1522" s="8" t="inlineStr">
        <is>
          <t>MTR-PRC-005</t>
        </is>
      </c>
      <c r="D1522" s="8" t="inlineStr">
        <is>
          <t>Process Hall</t>
        </is>
      </c>
      <c r="E1522" s="8" t="inlineStr">
        <is>
          <t>Process Water Main</t>
        </is>
      </c>
      <c r="F1522" s="8" t="inlineStr">
        <is>
          <t>2024-02-01 08:00</t>
        </is>
      </c>
      <c r="G1522" s="12" t="n">
        <v>42189.43</v>
      </c>
      <c r="H1522" s="8" t="inlineStr">
        <is>
          <t>m3</t>
        </is>
      </c>
      <c r="I1522" s="8" t="inlineStr">
        <is>
          <t>cumulative</t>
        </is>
      </c>
      <c r="J1522" s="8" t="inlineStr">
        <is>
          <t>CD</t>
        </is>
      </c>
      <c r="K1522" s="8" t="inlineStr"/>
      <c r="L1522" s="10">
        <f>IFERROR(IF(F1522&lt;F1521,"NEGATIVE",ROUND(F1522-F1521,2)),"")</f>
        <v/>
      </c>
    </row>
    <row r="1523" ht="22" customHeight="1">
      <c r="B1523" s="5" t="inlineStr">
        <is>
          <t>R01519</t>
        </is>
      </c>
      <c r="C1523" s="5" t="inlineStr">
        <is>
          <t>MTR-PRC-005</t>
        </is>
      </c>
      <c r="D1523" s="5" t="inlineStr">
        <is>
          <t>Process Hall</t>
        </is>
      </c>
      <c r="E1523" s="5" t="inlineStr">
        <is>
          <t>Process Water Main</t>
        </is>
      </c>
      <c r="F1523" s="5" t="inlineStr">
        <is>
          <t>2024-02-02 08:00</t>
        </is>
      </c>
      <c r="G1523" s="11" t="n">
        <v>42210.79</v>
      </c>
      <c r="H1523" s="5" t="inlineStr">
        <is>
          <t>m3</t>
        </is>
      </c>
      <c r="I1523" s="5" t="inlineStr">
        <is>
          <t>cumulative</t>
        </is>
      </c>
      <c r="J1523" s="5" t="inlineStr">
        <is>
          <t>KL</t>
        </is>
      </c>
      <c r="K1523" s="5" t="inlineStr"/>
      <c r="L1523" s="7">
        <f>IFERROR(IF(F1523&lt;F1522,"NEGATIVE",ROUND(F1523-F1522,2)),"")</f>
        <v/>
      </c>
    </row>
    <row r="1524" ht="22" customHeight="1">
      <c r="B1524" s="8" t="inlineStr">
        <is>
          <t>R01520</t>
        </is>
      </c>
      <c r="C1524" s="8" t="inlineStr">
        <is>
          <t>MTR-PRC-005</t>
        </is>
      </c>
      <c r="D1524" s="8" t="inlineStr">
        <is>
          <t>Process Hall</t>
        </is>
      </c>
      <c r="E1524" s="8" t="inlineStr">
        <is>
          <t>Process Water Main</t>
        </is>
      </c>
      <c r="F1524" s="8" t="inlineStr">
        <is>
          <t>2024-02-03 08:00</t>
        </is>
      </c>
      <c r="G1524" s="12" t="n">
        <v>42228.28</v>
      </c>
      <c r="H1524" s="8" t="inlineStr">
        <is>
          <t>m3</t>
        </is>
      </c>
      <c r="I1524" s="8" t="inlineStr">
        <is>
          <t>cumulative</t>
        </is>
      </c>
      <c r="J1524" s="8" t="inlineStr">
        <is>
          <t>EF</t>
        </is>
      </c>
      <c r="K1524" s="8" t="inlineStr"/>
      <c r="L1524" s="10">
        <f>IFERROR(IF(F1524&lt;F1523,"NEGATIVE",ROUND(F1524-F1523,2)),"")</f>
        <v/>
      </c>
    </row>
    <row r="1525" ht="22" customHeight="1">
      <c r="B1525" s="5" t="inlineStr">
        <is>
          <t>R01521</t>
        </is>
      </c>
      <c r="C1525" s="5" t="inlineStr">
        <is>
          <t>MTR-PRC-005</t>
        </is>
      </c>
      <c r="D1525" s="5" t="inlineStr">
        <is>
          <t>Process Hall</t>
        </is>
      </c>
      <c r="E1525" s="5" t="inlineStr">
        <is>
          <t>Process Water Main</t>
        </is>
      </c>
      <c r="F1525" s="5" t="inlineStr">
        <is>
          <t>2024-02-04 08:00</t>
        </is>
      </c>
      <c r="G1525" s="11" t="n">
        <v>42239.3</v>
      </c>
      <c r="H1525" s="5" t="inlineStr">
        <is>
          <t>m3</t>
        </is>
      </c>
      <c r="I1525" s="5" t="inlineStr">
        <is>
          <t>cumulative</t>
        </is>
      </c>
      <c r="J1525" s="5" t="inlineStr">
        <is>
          <t>EF</t>
        </is>
      </c>
      <c r="K1525" s="5" t="inlineStr"/>
      <c r="L1525" s="7">
        <f>IFERROR(IF(F1525&lt;F1524,"NEGATIVE",ROUND(F1525-F1524,2)),"")</f>
        <v/>
      </c>
    </row>
    <row r="1526" ht="22" customHeight="1">
      <c r="B1526" s="8" t="inlineStr">
        <is>
          <t>R01522</t>
        </is>
      </c>
      <c r="C1526" s="8" t="inlineStr">
        <is>
          <t>MTR-PRC-005</t>
        </is>
      </c>
      <c r="D1526" s="8" t="inlineStr">
        <is>
          <t>Process Hall</t>
        </is>
      </c>
      <c r="E1526" s="8" t="inlineStr">
        <is>
          <t>Process Water Main</t>
        </is>
      </c>
      <c r="F1526" s="8" t="inlineStr">
        <is>
          <t>2024-02-05 08:00</t>
        </is>
      </c>
      <c r="G1526" s="12" t="n">
        <v>42260.35</v>
      </c>
      <c r="H1526" s="8" t="inlineStr">
        <is>
          <t>m3</t>
        </is>
      </c>
      <c r="I1526" s="8" t="inlineStr">
        <is>
          <t>cumulative</t>
        </is>
      </c>
      <c r="J1526" s="8" t="inlineStr">
        <is>
          <t>IJ</t>
        </is>
      </c>
      <c r="K1526" s="8" t="inlineStr"/>
      <c r="L1526" s="10">
        <f>IFERROR(IF(F1526&lt;F1525,"NEGATIVE",ROUND(F1526-F1525,2)),"")</f>
        <v/>
      </c>
    </row>
    <row r="1527" ht="22" customHeight="1">
      <c r="B1527" s="5" t="inlineStr">
        <is>
          <t>R01523</t>
        </is>
      </c>
      <c r="C1527" s="5" t="inlineStr">
        <is>
          <t>MTR-PRC-005</t>
        </is>
      </c>
      <c r="D1527" s="5" t="inlineStr">
        <is>
          <t>Process Hall</t>
        </is>
      </c>
      <c r="E1527" s="5" t="inlineStr">
        <is>
          <t>Process Water Main</t>
        </is>
      </c>
      <c r="F1527" s="5" t="inlineStr">
        <is>
          <t>2024-02-06 08:00</t>
        </is>
      </c>
      <c r="G1527" s="11" t="n">
        <v>42283.17</v>
      </c>
      <c r="H1527" s="5" t="inlineStr">
        <is>
          <t>m3</t>
        </is>
      </c>
      <c r="I1527" s="5" t="inlineStr">
        <is>
          <t>cumulative</t>
        </is>
      </c>
      <c r="J1527" s="5" t="inlineStr">
        <is>
          <t>AB</t>
        </is>
      </c>
      <c r="K1527" s="5" t="inlineStr"/>
      <c r="L1527" s="7">
        <f>IFERROR(IF(F1527&lt;F1526,"NEGATIVE",ROUND(F1527-F1526,2)),"")</f>
        <v/>
      </c>
    </row>
    <row r="1528" ht="22" customHeight="1">
      <c r="B1528" s="8" t="inlineStr">
        <is>
          <t>R01524</t>
        </is>
      </c>
      <c r="C1528" s="8" t="inlineStr">
        <is>
          <t>MTR-PRC-005</t>
        </is>
      </c>
      <c r="D1528" s="8" t="inlineStr">
        <is>
          <t>Process Hall</t>
        </is>
      </c>
      <c r="E1528" s="8" t="inlineStr">
        <is>
          <t>Process Water Main</t>
        </is>
      </c>
      <c r="F1528" s="8" t="inlineStr">
        <is>
          <t>2024-02-07 08:00</t>
        </is>
      </c>
      <c r="G1528" s="12" t="n">
        <v>42305.72</v>
      </c>
      <c r="H1528" s="8" t="inlineStr">
        <is>
          <t>m3</t>
        </is>
      </c>
      <c r="I1528" s="8" t="inlineStr">
        <is>
          <t>cumulative</t>
        </is>
      </c>
      <c r="J1528" s="8" t="inlineStr">
        <is>
          <t>KL</t>
        </is>
      </c>
      <c r="K1528" s="8" t="inlineStr"/>
      <c r="L1528" s="10">
        <f>IFERROR(IF(F1528&lt;F1527,"NEGATIVE",ROUND(F1528-F1527,2)),"")</f>
        <v/>
      </c>
    </row>
    <row r="1529" ht="22" customHeight="1">
      <c r="B1529" s="5" t="inlineStr">
        <is>
          <t>R01525</t>
        </is>
      </c>
      <c r="C1529" s="5" t="inlineStr">
        <is>
          <t>MTR-PRC-005</t>
        </is>
      </c>
      <c r="D1529" s="5" t="inlineStr">
        <is>
          <t>Process Hall</t>
        </is>
      </c>
      <c r="E1529" s="5" t="inlineStr">
        <is>
          <t>Process Water Main</t>
        </is>
      </c>
      <c r="F1529" s="5" t="inlineStr">
        <is>
          <t>2024-02-08 08:00</t>
        </is>
      </c>
      <c r="G1529" s="11" t="n">
        <v>42328.84</v>
      </c>
      <c r="H1529" s="5" t="inlineStr">
        <is>
          <t>m3</t>
        </is>
      </c>
      <c r="I1529" s="5" t="inlineStr">
        <is>
          <t>cumulative</t>
        </is>
      </c>
      <c r="J1529" s="5" t="inlineStr">
        <is>
          <t>AB</t>
        </is>
      </c>
      <c r="K1529" s="5" t="inlineStr"/>
      <c r="L1529" s="7">
        <f>IFERROR(IF(F1529&lt;F1528,"NEGATIVE",ROUND(F1529-F1528,2)),"")</f>
        <v/>
      </c>
    </row>
    <row r="1530" ht="22" customHeight="1">
      <c r="B1530" s="8" t="inlineStr">
        <is>
          <t>R01526</t>
        </is>
      </c>
      <c r="C1530" s="8" t="inlineStr">
        <is>
          <t>MTR-PRC-005</t>
        </is>
      </c>
      <c r="D1530" s="8" t="inlineStr">
        <is>
          <t>Process Hall</t>
        </is>
      </c>
      <c r="E1530" s="8" t="inlineStr">
        <is>
          <t>Process Water Main</t>
        </is>
      </c>
      <c r="F1530" s="8" t="inlineStr">
        <is>
          <t>2024-02-09 08:00</t>
        </is>
      </c>
      <c r="G1530" s="12" t="n">
        <v>42352.44</v>
      </c>
      <c r="H1530" s="8" t="inlineStr">
        <is>
          <t>m3</t>
        </is>
      </c>
      <c r="I1530" s="8" t="inlineStr">
        <is>
          <t>cumulative</t>
        </is>
      </c>
      <c r="J1530" s="8" t="inlineStr">
        <is>
          <t>KL</t>
        </is>
      </c>
      <c r="K1530" s="8" t="inlineStr"/>
      <c r="L1530" s="10">
        <f>IFERROR(IF(F1530&lt;F1529,"NEGATIVE",ROUND(F1530-F1529,2)),"")</f>
        <v/>
      </c>
    </row>
    <row r="1531" ht="22" customHeight="1">
      <c r="B1531" s="5" t="inlineStr">
        <is>
          <t>R01527</t>
        </is>
      </c>
      <c r="C1531" s="5" t="inlineStr">
        <is>
          <t>MTR-PRC-005</t>
        </is>
      </c>
      <c r="D1531" s="5" t="inlineStr">
        <is>
          <t>Process Hall</t>
        </is>
      </c>
      <c r="E1531" s="5" t="inlineStr">
        <is>
          <t>Process Water Main</t>
        </is>
      </c>
      <c r="F1531" s="5" t="inlineStr">
        <is>
          <t>2024-02-10 08:00</t>
        </is>
      </c>
      <c r="G1531" s="11" t="n">
        <v>42373.47</v>
      </c>
      <c r="H1531" s="5" t="inlineStr">
        <is>
          <t>m3</t>
        </is>
      </c>
      <c r="I1531" s="5" t="inlineStr">
        <is>
          <t>cumulative</t>
        </is>
      </c>
      <c r="J1531" s="5" t="inlineStr">
        <is>
          <t>CD</t>
        </is>
      </c>
      <c r="K1531" s="5" t="inlineStr"/>
      <c r="L1531" s="7">
        <f>IFERROR(IF(F1531&lt;F1530,"NEGATIVE",ROUND(F1531-F1530,2)),"")</f>
        <v/>
      </c>
    </row>
    <row r="1532" ht="22" customHeight="1">
      <c r="B1532" s="8" t="inlineStr">
        <is>
          <t>R01528</t>
        </is>
      </c>
      <c r="C1532" s="8" t="inlineStr">
        <is>
          <t>MTR-PRC-005</t>
        </is>
      </c>
      <c r="D1532" s="8" t="inlineStr">
        <is>
          <t>Process Hall</t>
        </is>
      </c>
      <c r="E1532" s="8" t="inlineStr">
        <is>
          <t>Process Water Main</t>
        </is>
      </c>
      <c r="F1532" s="8" t="inlineStr">
        <is>
          <t>2024-02-11 08:00</t>
        </is>
      </c>
      <c r="G1532" s="12" t="n">
        <v>42386.67</v>
      </c>
      <c r="H1532" s="8" t="inlineStr">
        <is>
          <t>m3</t>
        </is>
      </c>
      <c r="I1532" s="8" t="inlineStr">
        <is>
          <t>cumulative</t>
        </is>
      </c>
      <c r="J1532" s="8" t="inlineStr">
        <is>
          <t>GH</t>
        </is>
      </c>
      <c r="K1532" s="8" t="inlineStr"/>
      <c r="L1532" s="10">
        <f>IFERROR(IF(F1532&lt;F1531,"NEGATIVE",ROUND(F1532-F1531,2)),"")</f>
        <v/>
      </c>
    </row>
    <row r="1533" ht="22" customHeight="1">
      <c r="B1533" s="5" t="inlineStr">
        <is>
          <t>R01529</t>
        </is>
      </c>
      <c r="C1533" s="5" t="inlineStr">
        <is>
          <t>MTR-PRC-005</t>
        </is>
      </c>
      <c r="D1533" s="5" t="inlineStr">
        <is>
          <t>Process Hall</t>
        </is>
      </c>
      <c r="E1533" s="5" t="inlineStr">
        <is>
          <t>Process Water Main</t>
        </is>
      </c>
      <c r="F1533" s="5" t="inlineStr">
        <is>
          <t>2024-02-12 08:00</t>
        </is>
      </c>
      <c r="G1533" s="11" t="n">
        <v>42410.59</v>
      </c>
      <c r="H1533" s="5" t="inlineStr">
        <is>
          <t>m3</t>
        </is>
      </c>
      <c r="I1533" s="5" t="inlineStr">
        <is>
          <t>cumulative</t>
        </is>
      </c>
      <c r="J1533" s="5" t="inlineStr">
        <is>
          <t>AB</t>
        </is>
      </c>
      <c r="K1533" s="5" t="inlineStr"/>
      <c r="L1533" s="7">
        <f>IFERROR(IF(F1533&lt;F1532,"NEGATIVE",ROUND(F1533-F1532,2)),"")</f>
        <v/>
      </c>
    </row>
    <row r="1534" ht="22" customHeight="1">
      <c r="B1534" s="8" t="inlineStr">
        <is>
          <t>R01530</t>
        </is>
      </c>
      <c r="C1534" s="8" t="inlineStr">
        <is>
          <t>MTR-PRC-005</t>
        </is>
      </c>
      <c r="D1534" s="8" t="inlineStr">
        <is>
          <t>Process Hall</t>
        </is>
      </c>
      <c r="E1534" s="8" t="inlineStr">
        <is>
          <t>Process Water Main</t>
        </is>
      </c>
      <c r="F1534" s="8" t="inlineStr">
        <is>
          <t>2024-02-13 08:00</t>
        </is>
      </c>
      <c r="G1534" s="12" t="n">
        <v>42437.18</v>
      </c>
      <c r="H1534" s="8" t="inlineStr">
        <is>
          <t>m3</t>
        </is>
      </c>
      <c r="I1534" s="8" t="inlineStr">
        <is>
          <t>cumulative</t>
        </is>
      </c>
      <c r="J1534" s="8" t="inlineStr">
        <is>
          <t>GH</t>
        </is>
      </c>
      <c r="K1534" s="8" t="inlineStr"/>
      <c r="L1534" s="10">
        <f>IFERROR(IF(F1534&lt;F1533,"NEGATIVE",ROUND(F1534-F1533,2)),"")</f>
        <v/>
      </c>
    </row>
    <row r="1535" ht="22" customHeight="1">
      <c r="B1535" s="5" t="inlineStr">
        <is>
          <t>R01531</t>
        </is>
      </c>
      <c r="C1535" s="5" t="inlineStr">
        <is>
          <t>MTR-PRC-005</t>
        </is>
      </c>
      <c r="D1535" s="5" t="inlineStr">
        <is>
          <t>Process Hall</t>
        </is>
      </c>
      <c r="E1535" s="5" t="inlineStr">
        <is>
          <t>Process Water Main</t>
        </is>
      </c>
      <c r="F1535" s="5" t="inlineStr">
        <is>
          <t>2024-02-14 08:00</t>
        </is>
      </c>
      <c r="G1535" s="11" t="n">
        <v>42462.87</v>
      </c>
      <c r="H1535" s="5" t="inlineStr">
        <is>
          <t>m3</t>
        </is>
      </c>
      <c r="I1535" s="5" t="inlineStr">
        <is>
          <t>cumulative</t>
        </is>
      </c>
      <c r="J1535" s="5" t="inlineStr">
        <is>
          <t>IJ</t>
        </is>
      </c>
      <c r="K1535" s="5" t="inlineStr"/>
      <c r="L1535" s="7">
        <f>IFERROR(IF(F1535&lt;F1534,"NEGATIVE",ROUND(F1535-F1534,2)),"")</f>
        <v/>
      </c>
    </row>
    <row r="1536" ht="22" customHeight="1">
      <c r="B1536" s="8" t="inlineStr">
        <is>
          <t>R01532</t>
        </is>
      </c>
      <c r="C1536" s="8" t="inlineStr">
        <is>
          <t>MTR-PRC-005</t>
        </is>
      </c>
      <c r="D1536" s="8" t="inlineStr">
        <is>
          <t>Process Hall</t>
        </is>
      </c>
      <c r="E1536" s="8" t="inlineStr">
        <is>
          <t>Process Water Main</t>
        </is>
      </c>
      <c r="F1536" s="8" t="inlineStr">
        <is>
          <t>2024-02-15 08:00</t>
        </is>
      </c>
      <c r="G1536" s="12" t="n">
        <v>42484.08</v>
      </c>
      <c r="H1536" s="8" t="inlineStr">
        <is>
          <t>m3</t>
        </is>
      </c>
      <c r="I1536" s="8" t="inlineStr">
        <is>
          <t>cumulative</t>
        </is>
      </c>
      <c r="J1536" s="8" t="inlineStr">
        <is>
          <t>CD</t>
        </is>
      </c>
      <c r="K1536" s="8" t="inlineStr"/>
      <c r="L1536" s="10">
        <f>IFERROR(IF(F1536&lt;F1535,"NEGATIVE",ROUND(F1536-F1535,2)),"")</f>
        <v/>
      </c>
    </row>
    <row r="1537" ht="22" customHeight="1">
      <c r="B1537" s="5" t="inlineStr">
        <is>
          <t>R01533</t>
        </is>
      </c>
      <c r="C1537" s="5" t="inlineStr">
        <is>
          <t>MTR-PRC-005</t>
        </is>
      </c>
      <c r="D1537" s="5" t="inlineStr">
        <is>
          <t>Process Hall</t>
        </is>
      </c>
      <c r="E1537" s="5" t="inlineStr">
        <is>
          <t>Process Water Main</t>
        </is>
      </c>
      <c r="F1537" s="5" t="inlineStr">
        <is>
          <t>2024-02-16 08:00</t>
        </is>
      </c>
      <c r="G1537" s="11" t="n">
        <v>42507.08</v>
      </c>
      <c r="H1537" s="5" t="inlineStr">
        <is>
          <t>m3</t>
        </is>
      </c>
      <c r="I1537" s="5" t="inlineStr">
        <is>
          <t>cumulative</t>
        </is>
      </c>
      <c r="J1537" s="5" t="inlineStr">
        <is>
          <t>IJ</t>
        </is>
      </c>
      <c r="K1537" s="5" t="inlineStr"/>
      <c r="L1537" s="7">
        <f>IFERROR(IF(F1537&lt;F1536,"NEGATIVE",ROUND(F1537-F1536,2)),"")</f>
        <v/>
      </c>
    </row>
    <row r="1538" ht="22" customHeight="1">
      <c r="B1538" s="8" t="inlineStr">
        <is>
          <t>R01534</t>
        </is>
      </c>
      <c r="C1538" s="8" t="inlineStr">
        <is>
          <t>MTR-PRC-005</t>
        </is>
      </c>
      <c r="D1538" s="8" t="inlineStr">
        <is>
          <t>Process Hall</t>
        </is>
      </c>
      <c r="E1538" s="8" t="inlineStr">
        <is>
          <t>Process Water Main</t>
        </is>
      </c>
      <c r="F1538" s="8" t="inlineStr">
        <is>
          <t>2024-02-17 08:00</t>
        </is>
      </c>
      <c r="G1538" s="12" t="n">
        <v>42526.56</v>
      </c>
      <c r="H1538" s="8" t="inlineStr">
        <is>
          <t>m3</t>
        </is>
      </c>
      <c r="I1538" s="8" t="inlineStr">
        <is>
          <t>cumulative</t>
        </is>
      </c>
      <c r="J1538" s="8" t="inlineStr">
        <is>
          <t>KL</t>
        </is>
      </c>
      <c r="K1538" s="8" t="inlineStr"/>
      <c r="L1538" s="10">
        <f>IFERROR(IF(F1538&lt;F1537,"NEGATIVE",ROUND(F1538-F1537,2)),"")</f>
        <v/>
      </c>
    </row>
    <row r="1539" ht="22" customHeight="1">
      <c r="B1539" s="5" t="inlineStr">
        <is>
          <t>R01535</t>
        </is>
      </c>
      <c r="C1539" s="5" t="inlineStr">
        <is>
          <t>MTR-PRC-005</t>
        </is>
      </c>
      <c r="D1539" s="5" t="inlineStr">
        <is>
          <t>Process Hall</t>
        </is>
      </c>
      <c r="E1539" s="5" t="inlineStr">
        <is>
          <t>Process Water Main</t>
        </is>
      </c>
      <c r="F1539" s="5" t="inlineStr">
        <is>
          <t>2024-02-18 08:00</t>
        </is>
      </c>
      <c r="G1539" s="11" t="n">
        <v>42540.14</v>
      </c>
      <c r="H1539" s="5" t="inlineStr">
        <is>
          <t>m3</t>
        </is>
      </c>
      <c r="I1539" s="5" t="inlineStr">
        <is>
          <t>cumulative</t>
        </is>
      </c>
      <c r="J1539" s="5" t="inlineStr">
        <is>
          <t>KL</t>
        </is>
      </c>
      <c r="K1539" s="5" t="inlineStr"/>
      <c r="L1539" s="7">
        <f>IFERROR(IF(F1539&lt;F1538,"NEGATIVE",ROUND(F1539-F1538,2)),"")</f>
        <v/>
      </c>
    </row>
    <row r="1540" ht="22" customHeight="1">
      <c r="B1540" s="8" t="inlineStr">
        <is>
          <t>R01536</t>
        </is>
      </c>
      <c r="C1540" s="8" t="inlineStr">
        <is>
          <t>MTR-PRC-005</t>
        </is>
      </c>
      <c r="D1540" s="8" t="inlineStr">
        <is>
          <t>Process Hall</t>
        </is>
      </c>
      <c r="E1540" s="8" t="inlineStr">
        <is>
          <t>Process Water Main</t>
        </is>
      </c>
      <c r="F1540" s="8" t="inlineStr">
        <is>
          <t>2024-02-19 08:00</t>
        </is>
      </c>
      <c r="G1540" s="12" t="n">
        <v>42563.42</v>
      </c>
      <c r="H1540" s="8" t="inlineStr">
        <is>
          <t>m3</t>
        </is>
      </c>
      <c r="I1540" s="8" t="inlineStr">
        <is>
          <t>cumulative</t>
        </is>
      </c>
      <c r="J1540" s="8" t="inlineStr">
        <is>
          <t>GH</t>
        </is>
      </c>
      <c r="K1540" s="8" t="inlineStr"/>
      <c r="L1540" s="10">
        <f>IFERROR(IF(F1540&lt;F1539,"NEGATIVE",ROUND(F1540-F1539,2)),"")</f>
        <v/>
      </c>
    </row>
    <row r="1541" ht="22" customHeight="1">
      <c r="B1541" s="5" t="inlineStr">
        <is>
          <t>R01537</t>
        </is>
      </c>
      <c r="C1541" s="5" t="inlineStr">
        <is>
          <t>MTR-PRC-005</t>
        </is>
      </c>
      <c r="D1541" s="5" t="inlineStr">
        <is>
          <t>Process Hall</t>
        </is>
      </c>
      <c r="E1541" s="5" t="inlineStr">
        <is>
          <t>Process Water Main</t>
        </is>
      </c>
      <c r="F1541" s="5" t="inlineStr">
        <is>
          <t>2024-02-20 08:00</t>
        </is>
      </c>
      <c r="G1541" s="11" t="n">
        <v>42585.44</v>
      </c>
      <c r="H1541" s="5" t="inlineStr">
        <is>
          <t>m3</t>
        </is>
      </c>
      <c r="I1541" s="5" t="inlineStr">
        <is>
          <t>cumulative</t>
        </is>
      </c>
      <c r="J1541" s="5" t="inlineStr">
        <is>
          <t>AB</t>
        </is>
      </c>
      <c r="K1541" s="5" t="inlineStr"/>
      <c r="L1541" s="7">
        <f>IFERROR(IF(F1541&lt;F1540,"NEGATIVE",ROUND(F1541-F1540,2)),"")</f>
        <v/>
      </c>
    </row>
    <row r="1542" ht="22" customHeight="1">
      <c r="B1542" s="8" t="inlineStr">
        <is>
          <t>R01538</t>
        </is>
      </c>
      <c r="C1542" s="8" t="inlineStr">
        <is>
          <t>MTR-PRC-005</t>
        </is>
      </c>
      <c r="D1542" s="8" t="inlineStr">
        <is>
          <t>Process Hall</t>
        </is>
      </c>
      <c r="E1542" s="8" t="inlineStr">
        <is>
          <t>Process Water Main</t>
        </is>
      </c>
      <c r="F1542" s="8" t="inlineStr">
        <is>
          <t>2024-02-21 08:00</t>
        </is>
      </c>
      <c r="G1542" s="12" t="n">
        <v>42612.44</v>
      </c>
      <c r="H1542" s="8" t="inlineStr">
        <is>
          <t>m3</t>
        </is>
      </c>
      <c r="I1542" s="8" t="inlineStr">
        <is>
          <t>cumulative</t>
        </is>
      </c>
      <c r="J1542" s="8" t="inlineStr">
        <is>
          <t>CD</t>
        </is>
      </c>
      <c r="K1542" s="8" t="inlineStr"/>
      <c r="L1542" s="10">
        <f>IFERROR(IF(F1542&lt;F1541,"NEGATIVE",ROUND(F1542-F1541,2)),"")</f>
        <v/>
      </c>
    </row>
    <row r="1543" ht="22" customHeight="1">
      <c r="B1543" s="5" t="inlineStr">
        <is>
          <t>R01539</t>
        </is>
      </c>
      <c r="C1543" s="5" t="inlineStr">
        <is>
          <t>MTR-PRC-005</t>
        </is>
      </c>
      <c r="D1543" s="5" t="inlineStr">
        <is>
          <t>Process Hall</t>
        </is>
      </c>
      <c r="E1543" s="5" t="inlineStr">
        <is>
          <t>Process Water Main</t>
        </is>
      </c>
      <c r="F1543" s="5" t="inlineStr">
        <is>
          <t>2024-02-22 08:00</t>
        </is>
      </c>
      <c r="G1543" s="11" t="n">
        <v>42638.14</v>
      </c>
      <c r="H1543" s="5" t="inlineStr">
        <is>
          <t>m3</t>
        </is>
      </c>
      <c r="I1543" s="5" t="inlineStr">
        <is>
          <t>cumulative</t>
        </is>
      </c>
      <c r="J1543" s="5" t="inlineStr">
        <is>
          <t>CD</t>
        </is>
      </c>
      <c r="K1543" s="5" t="inlineStr"/>
      <c r="L1543" s="7">
        <f>IFERROR(IF(F1543&lt;F1542,"NEGATIVE",ROUND(F1543-F1542,2)),"")</f>
        <v/>
      </c>
    </row>
    <row r="1544" ht="22" customHeight="1">
      <c r="B1544" s="8" t="inlineStr">
        <is>
          <t>R01540</t>
        </is>
      </c>
      <c r="C1544" s="8" t="inlineStr">
        <is>
          <t>MTR-PRC-005</t>
        </is>
      </c>
      <c r="D1544" s="8" t="inlineStr">
        <is>
          <t>Process Hall</t>
        </is>
      </c>
      <c r="E1544" s="8" t="inlineStr">
        <is>
          <t>Process Water Main</t>
        </is>
      </c>
      <c r="F1544" s="8" t="inlineStr">
        <is>
          <t>2024-02-23 08:00</t>
        </is>
      </c>
      <c r="G1544" s="12" t="n">
        <v>42661.2</v>
      </c>
      <c r="H1544" s="8" t="inlineStr">
        <is>
          <t>m3</t>
        </is>
      </c>
      <c r="I1544" s="8" t="inlineStr">
        <is>
          <t>cumulative</t>
        </is>
      </c>
      <c r="J1544" s="8" t="inlineStr">
        <is>
          <t>KL</t>
        </is>
      </c>
      <c r="K1544" s="8" t="inlineStr"/>
      <c r="L1544" s="10">
        <f>IFERROR(IF(F1544&lt;F1543,"NEGATIVE",ROUND(F1544-F1543,2)),"")</f>
        <v/>
      </c>
    </row>
    <row r="1545" ht="22" customHeight="1">
      <c r="B1545" s="5" t="inlineStr">
        <is>
          <t>R01541</t>
        </is>
      </c>
      <c r="C1545" s="5" t="inlineStr">
        <is>
          <t>MTR-PRC-005</t>
        </is>
      </c>
      <c r="D1545" s="5" t="inlineStr">
        <is>
          <t>Process Hall</t>
        </is>
      </c>
      <c r="E1545" s="5" t="inlineStr">
        <is>
          <t>Process Water Main</t>
        </is>
      </c>
      <c r="F1545" s="5" t="inlineStr">
        <is>
          <t>2024-02-24 08:00</t>
        </is>
      </c>
      <c r="G1545" s="11" t="n">
        <v>42682.17</v>
      </c>
      <c r="H1545" s="5" t="inlineStr">
        <is>
          <t>m3</t>
        </is>
      </c>
      <c r="I1545" s="5" t="inlineStr">
        <is>
          <t>cumulative</t>
        </is>
      </c>
      <c r="J1545" s="5" t="inlineStr">
        <is>
          <t>IJ</t>
        </is>
      </c>
      <c r="K1545" s="5" t="inlineStr"/>
      <c r="L1545" s="7">
        <f>IFERROR(IF(F1545&lt;F1544,"NEGATIVE",ROUND(F1545-F1544,2)),"")</f>
        <v/>
      </c>
    </row>
    <row r="1546" ht="22" customHeight="1">
      <c r="B1546" s="8" t="inlineStr">
        <is>
          <t>R01542</t>
        </is>
      </c>
      <c r="C1546" s="8" t="inlineStr">
        <is>
          <t>MTR-PRC-005</t>
        </is>
      </c>
      <c r="D1546" s="8" t="inlineStr">
        <is>
          <t>Process Hall</t>
        </is>
      </c>
      <c r="E1546" s="8" t="inlineStr">
        <is>
          <t>Process Water Main</t>
        </is>
      </c>
      <c r="F1546" s="8" t="inlineStr">
        <is>
          <t>2024-02-25 08:00</t>
        </is>
      </c>
      <c r="G1546" s="12" t="n">
        <v>42693.16</v>
      </c>
      <c r="H1546" s="8" t="inlineStr">
        <is>
          <t>m3</t>
        </is>
      </c>
      <c r="I1546" s="8" t="inlineStr">
        <is>
          <t>cumulative</t>
        </is>
      </c>
      <c r="J1546" s="8" t="inlineStr">
        <is>
          <t>EF</t>
        </is>
      </c>
      <c r="K1546" s="8" t="inlineStr"/>
      <c r="L1546" s="10">
        <f>IFERROR(IF(F1546&lt;F1545,"NEGATIVE",ROUND(F1546-F1545,2)),"")</f>
        <v/>
      </c>
    </row>
    <row r="1547" ht="22" customHeight="1">
      <c r="B1547" s="5" t="inlineStr">
        <is>
          <t>R01543</t>
        </is>
      </c>
      <c r="C1547" s="5" t="inlineStr">
        <is>
          <t>MTR-PRC-005</t>
        </is>
      </c>
      <c r="D1547" s="5" t="inlineStr">
        <is>
          <t>Process Hall</t>
        </is>
      </c>
      <c r="E1547" s="5" t="inlineStr">
        <is>
          <t>Process Water Main</t>
        </is>
      </c>
      <c r="F1547" s="5" t="inlineStr">
        <is>
          <t>2024-02-26 08:00</t>
        </is>
      </c>
      <c r="G1547" s="11" t="n">
        <v>42718.91</v>
      </c>
      <c r="H1547" s="5" t="inlineStr">
        <is>
          <t>m3</t>
        </is>
      </c>
      <c r="I1547" s="5" t="inlineStr">
        <is>
          <t>cumulative</t>
        </is>
      </c>
      <c r="J1547" s="5" t="inlineStr">
        <is>
          <t>GH</t>
        </is>
      </c>
      <c r="K1547" s="5" t="inlineStr"/>
      <c r="L1547" s="7">
        <f>IFERROR(IF(F1547&lt;F1546,"NEGATIVE",ROUND(F1547-F1546,2)),"")</f>
        <v/>
      </c>
    </row>
    <row r="1548" ht="22" customHeight="1">
      <c r="B1548" s="8" t="inlineStr">
        <is>
          <t>R01544</t>
        </is>
      </c>
      <c r="C1548" s="8" t="inlineStr">
        <is>
          <t>MTR-PRC-005</t>
        </is>
      </c>
      <c r="D1548" s="8" t="inlineStr">
        <is>
          <t>Process Hall</t>
        </is>
      </c>
      <c r="E1548" s="8" t="inlineStr">
        <is>
          <t>Process Water Main</t>
        </is>
      </c>
      <c r="F1548" s="8" t="inlineStr">
        <is>
          <t>2024-02-27 08:00</t>
        </is>
      </c>
      <c r="G1548" s="12" t="n">
        <v>42743.2</v>
      </c>
      <c r="H1548" s="8" t="inlineStr">
        <is>
          <t>m3</t>
        </is>
      </c>
      <c r="I1548" s="8" t="inlineStr">
        <is>
          <t>cumulative</t>
        </is>
      </c>
      <c r="J1548" s="8" t="inlineStr">
        <is>
          <t>KL</t>
        </is>
      </c>
      <c r="K1548" s="8" t="inlineStr"/>
      <c r="L1548" s="10">
        <f>IFERROR(IF(F1548&lt;F1547,"NEGATIVE",ROUND(F1548-F1547,2)),"")</f>
        <v/>
      </c>
    </row>
    <row r="1549" ht="22" customHeight="1">
      <c r="B1549" s="5" t="inlineStr">
        <is>
          <t>R01545</t>
        </is>
      </c>
      <c r="C1549" s="5" t="inlineStr">
        <is>
          <t>MTR-PRC-005</t>
        </is>
      </c>
      <c r="D1549" s="5" t="inlineStr">
        <is>
          <t>Process Hall</t>
        </is>
      </c>
      <c r="E1549" s="5" t="inlineStr">
        <is>
          <t>Process Water Main</t>
        </is>
      </c>
      <c r="F1549" s="5" t="inlineStr">
        <is>
          <t>2024-02-28 08:00</t>
        </is>
      </c>
      <c r="G1549" s="11" t="n">
        <v>42768.43</v>
      </c>
      <c r="H1549" s="5" t="inlineStr">
        <is>
          <t>m3</t>
        </is>
      </c>
      <c r="I1549" s="5" t="inlineStr">
        <is>
          <t>cumulative</t>
        </is>
      </c>
      <c r="J1549" s="5" t="inlineStr">
        <is>
          <t>EF</t>
        </is>
      </c>
      <c r="K1549" s="5" t="inlineStr"/>
      <c r="L1549" s="7">
        <f>IFERROR(IF(F1549&lt;F1548,"NEGATIVE",ROUND(F1549-F1548,2)),"")</f>
        <v/>
      </c>
    </row>
    <row r="1550" ht="22" customHeight="1">
      <c r="B1550" s="8" t="inlineStr">
        <is>
          <t>R01546</t>
        </is>
      </c>
      <c r="C1550" s="8" t="inlineStr">
        <is>
          <t>MTR-PRC-005</t>
        </is>
      </c>
      <c r="D1550" s="8" t="inlineStr">
        <is>
          <t>Process Hall</t>
        </is>
      </c>
      <c r="E1550" s="8" t="inlineStr">
        <is>
          <t>Process Water Main</t>
        </is>
      </c>
      <c r="F1550" s="8" t="inlineStr">
        <is>
          <t>2024-02-29 08:00</t>
        </is>
      </c>
      <c r="G1550" s="12" t="n">
        <v>42793.74</v>
      </c>
      <c r="H1550" s="8" t="inlineStr">
        <is>
          <t>m3</t>
        </is>
      </c>
      <c r="I1550" s="8" t="inlineStr">
        <is>
          <t>cumulative</t>
        </is>
      </c>
      <c r="J1550" s="8" t="inlineStr">
        <is>
          <t>GH</t>
        </is>
      </c>
      <c r="K1550" s="8" t="inlineStr"/>
      <c r="L1550" s="10">
        <f>IFERROR(IF(F1550&lt;F1549,"NEGATIVE",ROUND(F1550-F1549,2)),"")</f>
        <v/>
      </c>
    </row>
    <row r="1551" ht="22" customHeight="1">
      <c r="B1551" s="5" t="inlineStr">
        <is>
          <t>R01547</t>
        </is>
      </c>
      <c r="C1551" s="5" t="inlineStr">
        <is>
          <t>MTR-PRC-005</t>
        </is>
      </c>
      <c r="D1551" s="5" t="inlineStr">
        <is>
          <t>Process Hall</t>
        </is>
      </c>
      <c r="E1551" s="5" t="inlineStr">
        <is>
          <t>Process Water Main</t>
        </is>
      </c>
      <c r="F1551" s="5" t="inlineStr">
        <is>
          <t>2024-03-01 08:00</t>
        </is>
      </c>
      <c r="G1551" s="11" t="n">
        <v>42817.08</v>
      </c>
      <c r="H1551" s="5" t="inlineStr">
        <is>
          <t>m3</t>
        </is>
      </c>
      <c r="I1551" s="5" t="inlineStr">
        <is>
          <t>cumulative</t>
        </is>
      </c>
      <c r="J1551" s="5" t="inlineStr">
        <is>
          <t>KL</t>
        </is>
      </c>
      <c r="K1551" s="5" t="inlineStr"/>
      <c r="L1551" s="7">
        <f>IFERROR(IF(F1551&lt;F1550,"NEGATIVE",ROUND(F1551-F1550,2)),"")</f>
        <v/>
      </c>
    </row>
    <row r="1552" ht="22" customHeight="1">
      <c r="B1552" s="8" t="inlineStr">
        <is>
          <t>R01548</t>
        </is>
      </c>
      <c r="C1552" s="8" t="inlineStr">
        <is>
          <t>MTR-PRC-005</t>
        </is>
      </c>
      <c r="D1552" s="8" t="inlineStr">
        <is>
          <t>Process Hall</t>
        </is>
      </c>
      <c r="E1552" s="8" t="inlineStr">
        <is>
          <t>Process Water Main</t>
        </is>
      </c>
      <c r="F1552" s="8" t="inlineStr">
        <is>
          <t>2024-03-02 08:00</t>
        </is>
      </c>
      <c r="G1552" s="12" t="n">
        <v>42837.12</v>
      </c>
      <c r="H1552" s="8" t="inlineStr">
        <is>
          <t>m3</t>
        </is>
      </c>
      <c r="I1552" s="8" t="inlineStr">
        <is>
          <t>cumulative</t>
        </is>
      </c>
      <c r="J1552" s="8" t="inlineStr">
        <is>
          <t>KL</t>
        </is>
      </c>
      <c r="K1552" s="8" t="inlineStr"/>
      <c r="L1552" s="10">
        <f>IFERROR(IF(F1552&lt;F1551,"NEGATIVE",ROUND(F1552-F1551,2)),"")</f>
        <v/>
      </c>
    </row>
    <row r="1553" ht="22" customHeight="1">
      <c r="B1553" s="5" t="inlineStr">
        <is>
          <t>R01549</t>
        </is>
      </c>
      <c r="C1553" s="5" t="inlineStr">
        <is>
          <t>MTR-PRC-005</t>
        </is>
      </c>
      <c r="D1553" s="5" t="inlineStr">
        <is>
          <t>Process Hall</t>
        </is>
      </c>
      <c r="E1553" s="5" t="inlineStr">
        <is>
          <t>Process Water Main</t>
        </is>
      </c>
      <c r="F1553" s="5" t="inlineStr">
        <is>
          <t>2024-03-03 08:00</t>
        </is>
      </c>
      <c r="G1553" s="11" t="n">
        <v>42848.9</v>
      </c>
      <c r="H1553" s="5" t="inlineStr">
        <is>
          <t>m3</t>
        </is>
      </c>
      <c r="I1553" s="5" t="inlineStr">
        <is>
          <t>cumulative</t>
        </is>
      </c>
      <c r="J1553" s="5" t="inlineStr">
        <is>
          <t>CD</t>
        </is>
      </c>
      <c r="K1553" s="5" t="inlineStr"/>
      <c r="L1553" s="7">
        <f>IFERROR(IF(F1553&lt;F1552,"NEGATIVE",ROUND(F1553-F1552,2)),"")</f>
        <v/>
      </c>
    </row>
    <row r="1554" ht="22" customHeight="1">
      <c r="B1554" s="8" t="inlineStr">
        <is>
          <t>R01550</t>
        </is>
      </c>
      <c r="C1554" s="8" t="inlineStr">
        <is>
          <t>MTR-PRC-005</t>
        </is>
      </c>
      <c r="D1554" s="8" t="inlineStr">
        <is>
          <t>Process Hall</t>
        </is>
      </c>
      <c r="E1554" s="8" t="inlineStr">
        <is>
          <t>Process Water Main</t>
        </is>
      </c>
      <c r="F1554" s="8" t="inlineStr">
        <is>
          <t>2024-03-04 08:00</t>
        </is>
      </c>
      <c r="G1554" s="12" t="n">
        <v>42876.09</v>
      </c>
      <c r="H1554" s="8" t="inlineStr">
        <is>
          <t>m3</t>
        </is>
      </c>
      <c r="I1554" s="8" t="inlineStr">
        <is>
          <t>cumulative</t>
        </is>
      </c>
      <c r="J1554" s="8" t="inlineStr">
        <is>
          <t>GH</t>
        </is>
      </c>
      <c r="K1554" s="8" t="inlineStr"/>
      <c r="L1554" s="10">
        <f>IFERROR(IF(F1554&lt;F1553,"NEGATIVE",ROUND(F1554-F1553,2)),"")</f>
        <v/>
      </c>
    </row>
    <row r="1555" ht="22" customHeight="1">
      <c r="B1555" s="5" t="inlineStr">
        <is>
          <t>R01551</t>
        </is>
      </c>
      <c r="C1555" s="5" t="inlineStr">
        <is>
          <t>MTR-PRC-005</t>
        </is>
      </c>
      <c r="D1555" s="5" t="inlineStr">
        <is>
          <t>Process Hall</t>
        </is>
      </c>
      <c r="E1555" s="5" t="inlineStr">
        <is>
          <t>Process Water Main</t>
        </is>
      </c>
      <c r="F1555" s="5" t="inlineStr">
        <is>
          <t>2024-03-05 08:00</t>
        </is>
      </c>
      <c r="G1555" s="11" t="n">
        <v>42897.74</v>
      </c>
      <c r="H1555" s="5" t="inlineStr">
        <is>
          <t>m3</t>
        </is>
      </c>
      <c r="I1555" s="5" t="inlineStr">
        <is>
          <t>cumulative</t>
        </is>
      </c>
      <c r="J1555" s="5" t="inlineStr">
        <is>
          <t>AB</t>
        </is>
      </c>
      <c r="K1555" s="5" t="inlineStr"/>
      <c r="L1555" s="7">
        <f>IFERROR(IF(F1555&lt;F1554,"NEGATIVE",ROUND(F1555-F1554,2)),"")</f>
        <v/>
      </c>
    </row>
    <row r="1556" ht="22" customHeight="1">
      <c r="B1556" s="8" t="inlineStr">
        <is>
          <t>R01552</t>
        </is>
      </c>
      <c r="C1556" s="8" t="inlineStr">
        <is>
          <t>MTR-PRC-005</t>
        </is>
      </c>
      <c r="D1556" s="8" t="inlineStr">
        <is>
          <t>Process Hall</t>
        </is>
      </c>
      <c r="E1556" s="8" t="inlineStr">
        <is>
          <t>Process Water Main</t>
        </is>
      </c>
      <c r="F1556" s="8" t="inlineStr">
        <is>
          <t>2024-03-06 08:00</t>
        </is>
      </c>
      <c r="G1556" s="12" t="n">
        <v>42919.42</v>
      </c>
      <c r="H1556" s="8" t="inlineStr">
        <is>
          <t>m3</t>
        </is>
      </c>
      <c r="I1556" s="8" t="inlineStr">
        <is>
          <t>cumulative</t>
        </is>
      </c>
      <c r="J1556" s="8" t="inlineStr">
        <is>
          <t>GH</t>
        </is>
      </c>
      <c r="K1556" s="8" t="inlineStr"/>
      <c r="L1556" s="10">
        <f>IFERROR(IF(F1556&lt;F1555,"NEGATIVE",ROUND(F1556-F1555,2)),"")</f>
        <v/>
      </c>
    </row>
    <row r="1557" ht="22" customHeight="1">
      <c r="B1557" s="5" t="inlineStr">
        <is>
          <t>R01553</t>
        </is>
      </c>
      <c r="C1557" s="5" t="inlineStr">
        <is>
          <t>MTR-PRC-005</t>
        </is>
      </c>
      <c r="D1557" s="5" t="inlineStr">
        <is>
          <t>Process Hall</t>
        </is>
      </c>
      <c r="E1557" s="5" t="inlineStr">
        <is>
          <t>Process Water Main</t>
        </is>
      </c>
      <c r="F1557" s="5" t="inlineStr">
        <is>
          <t>2024-03-07 08:00</t>
        </is>
      </c>
      <c r="G1557" s="11" t="n">
        <v>42944.41</v>
      </c>
      <c r="H1557" s="5" t="inlineStr">
        <is>
          <t>m3</t>
        </is>
      </c>
      <c r="I1557" s="5" t="inlineStr">
        <is>
          <t>cumulative</t>
        </is>
      </c>
      <c r="J1557" s="5" t="inlineStr">
        <is>
          <t>AB</t>
        </is>
      </c>
      <c r="K1557" s="5" t="inlineStr"/>
      <c r="L1557" s="7">
        <f>IFERROR(IF(F1557&lt;F1556,"NEGATIVE",ROUND(F1557-F1556,2)),"")</f>
        <v/>
      </c>
    </row>
    <row r="1558" ht="22" customHeight="1">
      <c r="B1558" s="8" t="inlineStr">
        <is>
          <t>R01554</t>
        </is>
      </c>
      <c r="C1558" s="8" t="inlineStr">
        <is>
          <t>MTR-PRC-005</t>
        </is>
      </c>
      <c r="D1558" s="8" t="inlineStr">
        <is>
          <t>Process Hall</t>
        </is>
      </c>
      <c r="E1558" s="8" t="inlineStr">
        <is>
          <t>Process Water Main</t>
        </is>
      </c>
      <c r="F1558" s="8" t="inlineStr">
        <is>
          <t>2024-03-08 08:00</t>
        </is>
      </c>
      <c r="G1558" s="12" t="n">
        <v>42965.77</v>
      </c>
      <c r="H1558" s="8" t="inlineStr">
        <is>
          <t>m3</t>
        </is>
      </c>
      <c r="I1558" s="8" t="inlineStr">
        <is>
          <t>cumulative</t>
        </is>
      </c>
      <c r="J1558" s="8" t="inlineStr">
        <is>
          <t>AB</t>
        </is>
      </c>
      <c r="K1558" s="8" t="inlineStr"/>
      <c r="L1558" s="10">
        <f>IFERROR(IF(F1558&lt;F1557,"NEGATIVE",ROUND(F1558-F1557,2)),"")</f>
        <v/>
      </c>
    </row>
    <row r="1559" ht="22" customHeight="1">
      <c r="B1559" s="5" t="inlineStr">
        <is>
          <t>R01555</t>
        </is>
      </c>
      <c r="C1559" s="5" t="inlineStr">
        <is>
          <t>MTR-PRC-005</t>
        </is>
      </c>
      <c r="D1559" s="5" t="inlineStr">
        <is>
          <t>Process Hall</t>
        </is>
      </c>
      <c r="E1559" s="5" t="inlineStr">
        <is>
          <t>Process Water Main</t>
        </is>
      </c>
      <c r="F1559" s="5" t="inlineStr">
        <is>
          <t>2024-03-09 08:00</t>
        </is>
      </c>
      <c r="G1559" s="11" t="n">
        <v>42986.71</v>
      </c>
      <c r="H1559" s="5" t="inlineStr">
        <is>
          <t>m3</t>
        </is>
      </c>
      <c r="I1559" s="5" t="inlineStr">
        <is>
          <t>cumulative</t>
        </is>
      </c>
      <c r="J1559" s="5" t="inlineStr">
        <is>
          <t>EF</t>
        </is>
      </c>
      <c r="K1559" s="5" t="inlineStr"/>
      <c r="L1559" s="7">
        <f>IFERROR(IF(F1559&lt;F1558,"NEGATIVE",ROUND(F1559-F1558,2)),"")</f>
        <v/>
      </c>
    </row>
    <row r="1560" ht="22" customHeight="1">
      <c r="B1560" s="8" t="inlineStr">
        <is>
          <t>R01556</t>
        </is>
      </c>
      <c r="C1560" s="8" t="inlineStr">
        <is>
          <t>MTR-PRC-005</t>
        </is>
      </c>
      <c r="D1560" s="8" t="inlineStr">
        <is>
          <t>Process Hall</t>
        </is>
      </c>
      <c r="E1560" s="8" t="inlineStr">
        <is>
          <t>Process Water Main</t>
        </is>
      </c>
      <c r="F1560" s="8" t="inlineStr">
        <is>
          <t>2024-03-10 08:00</t>
        </is>
      </c>
      <c r="G1560" s="12" t="n">
        <v>42997.89</v>
      </c>
      <c r="H1560" s="8" t="inlineStr">
        <is>
          <t>m3</t>
        </is>
      </c>
      <c r="I1560" s="8" t="inlineStr">
        <is>
          <t>cumulative</t>
        </is>
      </c>
      <c r="J1560" s="8" t="inlineStr">
        <is>
          <t>CD</t>
        </is>
      </c>
      <c r="K1560" s="8" t="inlineStr"/>
      <c r="L1560" s="10">
        <f>IFERROR(IF(F1560&lt;F1559,"NEGATIVE",ROUND(F1560-F1559,2)),"")</f>
        <v/>
      </c>
    </row>
    <row r="1561" ht="22" customHeight="1">
      <c r="B1561" s="5" t="inlineStr">
        <is>
          <t>R01557</t>
        </is>
      </c>
      <c r="C1561" s="5" t="inlineStr">
        <is>
          <t>MTR-PRC-005</t>
        </is>
      </c>
      <c r="D1561" s="5" t="inlineStr">
        <is>
          <t>Process Hall</t>
        </is>
      </c>
      <c r="E1561" s="5" t="inlineStr">
        <is>
          <t>Process Water Main</t>
        </is>
      </c>
      <c r="F1561" s="5" t="inlineStr">
        <is>
          <t>2024-03-11 08:00</t>
        </is>
      </c>
      <c r="G1561" s="11" t="n">
        <v>43025.63</v>
      </c>
      <c r="H1561" s="5" t="inlineStr">
        <is>
          <t>m3</t>
        </is>
      </c>
      <c r="I1561" s="5" t="inlineStr">
        <is>
          <t>cumulative</t>
        </is>
      </c>
      <c r="J1561" s="5" t="inlineStr">
        <is>
          <t>IJ</t>
        </is>
      </c>
      <c r="K1561" s="5" t="inlineStr"/>
      <c r="L1561" s="7">
        <f>IFERROR(IF(F1561&lt;F1560,"NEGATIVE",ROUND(F1561-F1560,2)),"")</f>
        <v/>
      </c>
    </row>
    <row r="1562" ht="22" customHeight="1">
      <c r="B1562" s="8" t="inlineStr">
        <is>
          <t>R01558</t>
        </is>
      </c>
      <c r="C1562" s="8" t="inlineStr">
        <is>
          <t>MTR-PRC-005</t>
        </is>
      </c>
      <c r="D1562" s="8" t="inlineStr">
        <is>
          <t>Process Hall</t>
        </is>
      </c>
      <c r="E1562" s="8" t="inlineStr">
        <is>
          <t>Process Water Main</t>
        </is>
      </c>
      <c r="F1562" s="8" t="inlineStr">
        <is>
          <t>2024-03-12 08:00</t>
        </is>
      </c>
      <c r="G1562" s="12" t="n">
        <v>43053.51</v>
      </c>
      <c r="H1562" s="8" t="inlineStr">
        <is>
          <t>m3</t>
        </is>
      </c>
      <c r="I1562" s="8" t="inlineStr">
        <is>
          <t>cumulative</t>
        </is>
      </c>
      <c r="J1562" s="8" t="inlineStr">
        <is>
          <t>IJ</t>
        </is>
      </c>
      <c r="K1562" s="8" t="inlineStr"/>
      <c r="L1562" s="10">
        <f>IFERROR(IF(F1562&lt;F1561,"NEGATIVE",ROUND(F1562-F1561,2)),"")</f>
        <v/>
      </c>
    </row>
    <row r="1563" ht="22" customHeight="1">
      <c r="B1563" s="5" t="inlineStr">
        <is>
          <t>R01559</t>
        </is>
      </c>
      <c r="C1563" s="5" t="inlineStr">
        <is>
          <t>MTR-PRC-005</t>
        </is>
      </c>
      <c r="D1563" s="5" t="inlineStr">
        <is>
          <t>Process Hall</t>
        </is>
      </c>
      <c r="E1563" s="5" t="inlineStr">
        <is>
          <t>Process Water Main</t>
        </is>
      </c>
      <c r="F1563" s="5" t="inlineStr">
        <is>
          <t>2024-03-13 08:00</t>
        </is>
      </c>
      <c r="G1563" s="11" t="n">
        <v>43077.57</v>
      </c>
      <c r="H1563" s="5" t="inlineStr">
        <is>
          <t>m3</t>
        </is>
      </c>
      <c r="I1563" s="5" t="inlineStr">
        <is>
          <t>cumulative</t>
        </is>
      </c>
      <c r="J1563" s="5" t="inlineStr">
        <is>
          <t>EF</t>
        </is>
      </c>
      <c r="K1563" s="5" t="inlineStr"/>
      <c r="L1563" s="7">
        <f>IFERROR(IF(F1563&lt;F1562,"NEGATIVE",ROUND(F1563-F1562,2)),"")</f>
        <v/>
      </c>
    </row>
    <row r="1564" ht="22" customHeight="1">
      <c r="B1564" s="8" t="inlineStr">
        <is>
          <t>R01560</t>
        </is>
      </c>
      <c r="C1564" s="8" t="inlineStr">
        <is>
          <t>MTR-PRC-005</t>
        </is>
      </c>
      <c r="D1564" s="8" t="inlineStr">
        <is>
          <t>Process Hall</t>
        </is>
      </c>
      <c r="E1564" s="8" t="inlineStr">
        <is>
          <t>Process Water Main</t>
        </is>
      </c>
      <c r="F1564" s="8" t="inlineStr">
        <is>
          <t>2024-03-14 08:00</t>
        </is>
      </c>
      <c r="G1564" s="12" t="n">
        <v>43104.68</v>
      </c>
      <c r="H1564" s="8" t="inlineStr">
        <is>
          <t>m3</t>
        </is>
      </c>
      <c r="I1564" s="8" t="inlineStr">
        <is>
          <t>cumulative</t>
        </is>
      </c>
      <c r="J1564" s="8" t="inlineStr">
        <is>
          <t>EF</t>
        </is>
      </c>
      <c r="K1564" s="8" t="inlineStr"/>
      <c r="L1564" s="10">
        <f>IFERROR(IF(F1564&lt;F1563,"NEGATIVE",ROUND(F1564-F1563,2)),"")</f>
        <v/>
      </c>
    </row>
    <row r="1565" ht="22" customHeight="1">
      <c r="B1565" s="5" t="inlineStr">
        <is>
          <t>R01561</t>
        </is>
      </c>
      <c r="C1565" s="5" t="inlineStr">
        <is>
          <t>MTR-PRC-005</t>
        </is>
      </c>
      <c r="D1565" s="5" t="inlineStr">
        <is>
          <t>Process Hall</t>
        </is>
      </c>
      <c r="E1565" s="5" t="inlineStr">
        <is>
          <t>Process Water Main</t>
        </is>
      </c>
      <c r="F1565" s="5" t="inlineStr">
        <is>
          <t>2024-03-15 08:00</t>
        </is>
      </c>
      <c r="G1565" s="11" t="n">
        <v>43127.8</v>
      </c>
      <c r="H1565" s="5" t="inlineStr">
        <is>
          <t>m3</t>
        </is>
      </c>
      <c r="I1565" s="5" t="inlineStr">
        <is>
          <t>cumulative</t>
        </is>
      </c>
      <c r="J1565" s="5" t="inlineStr">
        <is>
          <t>EF</t>
        </is>
      </c>
      <c r="K1565" s="5" t="inlineStr"/>
      <c r="L1565" s="7">
        <f>IFERROR(IF(F1565&lt;F1564,"NEGATIVE",ROUND(F1565-F1564,2)),"")</f>
        <v/>
      </c>
    </row>
    <row r="1566" ht="22" customHeight="1">
      <c r="B1566" s="8" t="inlineStr">
        <is>
          <t>R01562</t>
        </is>
      </c>
      <c r="C1566" s="8" t="inlineStr">
        <is>
          <t>MTR-PRC-005</t>
        </is>
      </c>
      <c r="D1566" s="8" t="inlineStr">
        <is>
          <t>Process Hall</t>
        </is>
      </c>
      <c r="E1566" s="8" t="inlineStr">
        <is>
          <t>Process Water Main</t>
        </is>
      </c>
      <c r="F1566" s="8" t="inlineStr">
        <is>
          <t>2024-03-16 08:00</t>
        </is>
      </c>
      <c r="G1566" s="12" t="n">
        <v>43148.35</v>
      </c>
      <c r="H1566" s="8" t="inlineStr">
        <is>
          <t>m3</t>
        </is>
      </c>
      <c r="I1566" s="8" t="inlineStr">
        <is>
          <t>cumulative</t>
        </is>
      </c>
      <c r="J1566" s="8" t="inlineStr">
        <is>
          <t>GH</t>
        </is>
      </c>
      <c r="K1566" s="8" t="inlineStr"/>
      <c r="L1566" s="10">
        <f>IFERROR(IF(F1566&lt;F1565,"NEGATIVE",ROUND(F1566-F1565,2)),"")</f>
        <v/>
      </c>
    </row>
    <row r="1567" ht="22" customHeight="1">
      <c r="B1567" s="5" t="inlineStr">
        <is>
          <t>R01563</t>
        </is>
      </c>
      <c r="C1567" s="5" t="inlineStr">
        <is>
          <t>MTR-PRC-005</t>
        </is>
      </c>
      <c r="D1567" s="5" t="inlineStr">
        <is>
          <t>Process Hall</t>
        </is>
      </c>
      <c r="E1567" s="5" t="inlineStr">
        <is>
          <t>Process Water Main</t>
        </is>
      </c>
      <c r="F1567" s="5" t="inlineStr">
        <is>
          <t>2024-03-17 08:00</t>
        </is>
      </c>
      <c r="G1567" s="11" t="n">
        <v>43163</v>
      </c>
      <c r="H1567" s="5" t="inlineStr">
        <is>
          <t>m3</t>
        </is>
      </c>
      <c r="I1567" s="5" t="inlineStr">
        <is>
          <t>cumulative</t>
        </is>
      </c>
      <c r="J1567" s="5" t="inlineStr">
        <is>
          <t>IJ</t>
        </is>
      </c>
      <c r="K1567" s="5" t="inlineStr"/>
      <c r="L1567" s="7">
        <f>IFERROR(IF(F1567&lt;F1566,"NEGATIVE",ROUND(F1567-F1566,2)),"")</f>
        <v/>
      </c>
    </row>
    <row r="1568" ht="22" customHeight="1">
      <c r="B1568" s="8" t="inlineStr">
        <is>
          <t>R01564</t>
        </is>
      </c>
      <c r="C1568" s="8" t="inlineStr">
        <is>
          <t>MTR-PRC-005</t>
        </is>
      </c>
      <c r="D1568" s="8" t="inlineStr">
        <is>
          <t>Process Hall</t>
        </is>
      </c>
      <c r="E1568" s="8" t="inlineStr">
        <is>
          <t>Process Water Main</t>
        </is>
      </c>
      <c r="F1568" s="8" t="inlineStr">
        <is>
          <t>2024-03-18 08:00</t>
        </is>
      </c>
      <c r="G1568" s="12" t="n">
        <v>43188.57</v>
      </c>
      <c r="H1568" s="8" t="inlineStr">
        <is>
          <t>m3</t>
        </is>
      </c>
      <c r="I1568" s="8" t="inlineStr">
        <is>
          <t>cumulative</t>
        </is>
      </c>
      <c r="J1568" s="8" t="inlineStr">
        <is>
          <t>CD</t>
        </is>
      </c>
      <c r="K1568" s="8" t="inlineStr"/>
      <c r="L1568" s="10">
        <f>IFERROR(IF(F1568&lt;F1567,"NEGATIVE",ROUND(F1568-F1567,2)),"")</f>
        <v/>
      </c>
    </row>
    <row r="1569" ht="22" customHeight="1">
      <c r="B1569" s="5" t="inlineStr">
        <is>
          <t>R01565</t>
        </is>
      </c>
      <c r="C1569" s="5" t="inlineStr">
        <is>
          <t>MTR-PRC-005</t>
        </is>
      </c>
      <c r="D1569" s="5" t="inlineStr">
        <is>
          <t>Process Hall</t>
        </is>
      </c>
      <c r="E1569" s="5" t="inlineStr">
        <is>
          <t>Process Water Main</t>
        </is>
      </c>
      <c r="F1569" s="5" t="inlineStr">
        <is>
          <t>2024-03-19 08:00</t>
        </is>
      </c>
      <c r="G1569" s="11" t="n">
        <v>43212.2</v>
      </c>
      <c r="H1569" s="5" t="inlineStr">
        <is>
          <t>m3</t>
        </is>
      </c>
      <c r="I1569" s="5" t="inlineStr">
        <is>
          <t>cumulative</t>
        </is>
      </c>
      <c r="J1569" s="5" t="inlineStr">
        <is>
          <t>IJ</t>
        </is>
      </c>
      <c r="K1569" s="5" t="inlineStr"/>
      <c r="L1569" s="7">
        <f>IFERROR(IF(F1569&lt;F1568,"NEGATIVE",ROUND(F1569-F1568,2)),"")</f>
        <v/>
      </c>
    </row>
    <row r="1570" ht="22" customHeight="1">
      <c r="B1570" s="8" t="inlineStr">
        <is>
          <t>R01566</t>
        </is>
      </c>
      <c r="C1570" s="8" t="inlineStr">
        <is>
          <t>MTR-PRC-005</t>
        </is>
      </c>
      <c r="D1570" s="8" t="inlineStr">
        <is>
          <t>Process Hall</t>
        </is>
      </c>
      <c r="E1570" s="8" t="inlineStr">
        <is>
          <t>Process Water Main</t>
        </is>
      </c>
      <c r="F1570" s="8" t="inlineStr">
        <is>
          <t>2024-03-20 08:00</t>
        </is>
      </c>
      <c r="G1570" s="12" t="n">
        <v>43235.09</v>
      </c>
      <c r="H1570" s="8" t="inlineStr">
        <is>
          <t>m3</t>
        </is>
      </c>
      <c r="I1570" s="8" t="inlineStr">
        <is>
          <t>cumulative</t>
        </is>
      </c>
      <c r="J1570" s="8" t="inlineStr">
        <is>
          <t>EF</t>
        </is>
      </c>
      <c r="K1570" s="8" t="inlineStr"/>
      <c r="L1570" s="10">
        <f>IFERROR(IF(F1570&lt;F1569,"NEGATIVE",ROUND(F1570-F1569,2)),"")</f>
        <v/>
      </c>
    </row>
    <row r="1571" ht="22" customHeight="1">
      <c r="B1571" s="5" t="inlineStr">
        <is>
          <t>R01567</t>
        </is>
      </c>
      <c r="C1571" s="5" t="inlineStr">
        <is>
          <t>MTR-PRC-005</t>
        </is>
      </c>
      <c r="D1571" s="5" t="inlineStr">
        <is>
          <t>Process Hall</t>
        </is>
      </c>
      <c r="E1571" s="5" t="inlineStr">
        <is>
          <t>Process Water Main</t>
        </is>
      </c>
      <c r="F1571" s="5" t="inlineStr">
        <is>
          <t>2024-03-21 08:00</t>
        </is>
      </c>
      <c r="G1571" s="11" t="n">
        <v>43258.67</v>
      </c>
      <c r="H1571" s="5" t="inlineStr">
        <is>
          <t>m3</t>
        </is>
      </c>
      <c r="I1571" s="5" t="inlineStr">
        <is>
          <t>cumulative</t>
        </is>
      </c>
      <c r="J1571" s="5" t="inlineStr">
        <is>
          <t>EF</t>
        </is>
      </c>
      <c r="K1571" s="5" t="inlineStr"/>
      <c r="L1571" s="7">
        <f>IFERROR(IF(F1571&lt;F1570,"NEGATIVE",ROUND(F1571-F1570,2)),"")</f>
        <v/>
      </c>
    </row>
    <row r="1572" ht="22" customHeight="1">
      <c r="B1572" s="8" t="inlineStr">
        <is>
          <t>R01568</t>
        </is>
      </c>
      <c r="C1572" s="8" t="inlineStr">
        <is>
          <t>MTR-PRC-005</t>
        </is>
      </c>
      <c r="D1572" s="8" t="inlineStr">
        <is>
          <t>Process Hall</t>
        </is>
      </c>
      <c r="E1572" s="8" t="inlineStr">
        <is>
          <t>Process Water Main</t>
        </is>
      </c>
      <c r="F1572" s="8" t="inlineStr">
        <is>
          <t>2024-03-22 08:00</t>
        </is>
      </c>
      <c r="G1572" s="12" t="n">
        <v>43282.32</v>
      </c>
      <c r="H1572" s="8" t="inlineStr">
        <is>
          <t>m3</t>
        </is>
      </c>
      <c r="I1572" s="8" t="inlineStr">
        <is>
          <t>cumulative</t>
        </is>
      </c>
      <c r="J1572" s="8" t="inlineStr">
        <is>
          <t>KL</t>
        </is>
      </c>
      <c r="K1572" s="8" t="inlineStr"/>
      <c r="L1572" s="10">
        <f>IFERROR(IF(F1572&lt;F1571,"NEGATIVE",ROUND(F1572-F1571,2)),"")</f>
        <v/>
      </c>
    </row>
    <row r="1573" ht="22" customHeight="1">
      <c r="B1573" s="5" t="inlineStr">
        <is>
          <t>R01569</t>
        </is>
      </c>
      <c r="C1573" s="5" t="inlineStr">
        <is>
          <t>MTR-PRC-005</t>
        </is>
      </c>
      <c r="D1573" s="5" t="inlineStr">
        <is>
          <t>Process Hall</t>
        </is>
      </c>
      <c r="E1573" s="5" t="inlineStr">
        <is>
          <t>Process Water Main</t>
        </is>
      </c>
      <c r="F1573" s="5" t="inlineStr">
        <is>
          <t>2024-03-23 08:00</t>
        </is>
      </c>
      <c r="G1573" s="11" t="n">
        <v>43304.37</v>
      </c>
      <c r="H1573" s="5" t="inlineStr">
        <is>
          <t>m3</t>
        </is>
      </c>
      <c r="I1573" s="5" t="inlineStr">
        <is>
          <t>cumulative</t>
        </is>
      </c>
      <c r="J1573" s="5" t="inlineStr">
        <is>
          <t>GH</t>
        </is>
      </c>
      <c r="K1573" s="5" t="inlineStr"/>
      <c r="L1573" s="7">
        <f>IFERROR(IF(F1573&lt;F1572,"NEGATIVE",ROUND(F1573-F1572,2)),"")</f>
        <v/>
      </c>
    </row>
    <row r="1574" ht="22" customHeight="1">
      <c r="B1574" s="8" t="inlineStr">
        <is>
          <t>R01570</t>
        </is>
      </c>
      <c r="C1574" s="8" t="inlineStr">
        <is>
          <t>MTR-PRC-005</t>
        </is>
      </c>
      <c r="D1574" s="8" t="inlineStr">
        <is>
          <t>Process Hall</t>
        </is>
      </c>
      <c r="E1574" s="8" t="inlineStr">
        <is>
          <t>Process Water Main</t>
        </is>
      </c>
      <c r="F1574" s="8" t="inlineStr">
        <is>
          <t>2024-03-24 08:00</t>
        </is>
      </c>
      <c r="G1574" s="12" t="n">
        <v>43316.57</v>
      </c>
      <c r="H1574" s="8" t="inlineStr">
        <is>
          <t>m3</t>
        </is>
      </c>
      <c r="I1574" s="8" t="inlineStr">
        <is>
          <t>cumulative</t>
        </is>
      </c>
      <c r="J1574" s="8" t="inlineStr">
        <is>
          <t>KL</t>
        </is>
      </c>
      <c r="K1574" s="8" t="inlineStr"/>
      <c r="L1574" s="10">
        <f>IFERROR(IF(F1574&lt;F1573,"NEGATIVE",ROUND(F1574-F1573,2)),"")</f>
        <v/>
      </c>
    </row>
    <row r="1575" ht="22" customHeight="1">
      <c r="B1575" s="5" t="inlineStr">
        <is>
          <t>R01571</t>
        </is>
      </c>
      <c r="C1575" s="5" t="inlineStr">
        <is>
          <t>MTR-PRC-005</t>
        </is>
      </c>
      <c r="D1575" s="5" t="inlineStr">
        <is>
          <t>Process Hall</t>
        </is>
      </c>
      <c r="E1575" s="5" t="inlineStr">
        <is>
          <t>Process Water Main</t>
        </is>
      </c>
      <c r="F1575" s="5" t="inlineStr">
        <is>
          <t>2024-03-25 08:00</t>
        </is>
      </c>
      <c r="G1575" s="11" t="n">
        <v>43343.79</v>
      </c>
      <c r="H1575" s="5" t="inlineStr">
        <is>
          <t>m3</t>
        </is>
      </c>
      <c r="I1575" s="5" t="inlineStr">
        <is>
          <t>cumulative</t>
        </is>
      </c>
      <c r="J1575" s="5" t="inlineStr">
        <is>
          <t>AB</t>
        </is>
      </c>
      <c r="K1575" s="5" t="inlineStr"/>
      <c r="L1575" s="7">
        <f>IFERROR(IF(F1575&lt;F1574,"NEGATIVE",ROUND(F1575-F1574,2)),"")</f>
        <v/>
      </c>
    </row>
    <row r="1576" ht="22" customHeight="1">
      <c r="B1576" s="8" t="inlineStr">
        <is>
          <t>R01572</t>
        </is>
      </c>
      <c r="C1576" s="8" t="inlineStr">
        <is>
          <t>MTR-PRC-005</t>
        </is>
      </c>
      <c r="D1576" s="8" t="inlineStr">
        <is>
          <t>Process Hall</t>
        </is>
      </c>
      <c r="E1576" s="8" t="inlineStr">
        <is>
          <t>Process Water Main</t>
        </is>
      </c>
      <c r="F1576" s="8" t="inlineStr">
        <is>
          <t>2024-03-26 08:00</t>
        </is>
      </c>
      <c r="G1576" s="12" t="n">
        <v>43371.01</v>
      </c>
      <c r="H1576" s="8" t="inlineStr">
        <is>
          <t>m3</t>
        </is>
      </c>
      <c r="I1576" s="8" t="inlineStr">
        <is>
          <t>cumulative</t>
        </is>
      </c>
      <c r="J1576" s="8" t="inlineStr">
        <is>
          <t>GH</t>
        </is>
      </c>
      <c r="K1576" s="8" t="inlineStr"/>
      <c r="L1576" s="10">
        <f>IFERROR(IF(F1576&lt;F1575,"NEGATIVE",ROUND(F1576-F1575,2)),"")</f>
        <v/>
      </c>
    </row>
    <row r="1577" ht="22" customHeight="1">
      <c r="B1577" s="5" t="inlineStr">
        <is>
          <t>R01573</t>
        </is>
      </c>
      <c r="C1577" s="5" t="inlineStr">
        <is>
          <t>MTR-PRC-005</t>
        </is>
      </c>
      <c r="D1577" s="5" t="inlineStr">
        <is>
          <t>Process Hall</t>
        </is>
      </c>
      <c r="E1577" s="5" t="inlineStr">
        <is>
          <t>Process Water Main</t>
        </is>
      </c>
      <c r="F1577" s="5" t="inlineStr">
        <is>
          <t>2024-03-27 08:00</t>
        </is>
      </c>
      <c r="G1577" s="11" t="n">
        <v>43395.72</v>
      </c>
      <c r="H1577" s="5" t="inlineStr">
        <is>
          <t>m3</t>
        </is>
      </c>
      <c r="I1577" s="5" t="inlineStr">
        <is>
          <t>cumulative</t>
        </is>
      </c>
      <c r="J1577" s="5" t="inlineStr">
        <is>
          <t>IJ</t>
        </is>
      </c>
      <c r="K1577" s="5" t="inlineStr"/>
      <c r="L1577" s="7">
        <f>IFERROR(IF(F1577&lt;F1576,"NEGATIVE",ROUND(F1577-F1576,2)),"")</f>
        <v/>
      </c>
    </row>
    <row r="1578" ht="22" customHeight="1">
      <c r="B1578" s="8" t="inlineStr">
        <is>
          <t>R01574</t>
        </is>
      </c>
      <c r="C1578" s="8" t="inlineStr">
        <is>
          <t>MTR-PRC-005</t>
        </is>
      </c>
      <c r="D1578" s="8" t="inlineStr">
        <is>
          <t>Process Hall</t>
        </is>
      </c>
      <c r="E1578" s="8" t="inlineStr">
        <is>
          <t>Process Water Main</t>
        </is>
      </c>
      <c r="F1578" s="8" t="inlineStr">
        <is>
          <t>2024-03-28 08:00</t>
        </is>
      </c>
      <c r="G1578" s="12" t="n">
        <v>43417.58</v>
      </c>
      <c r="H1578" s="8" t="inlineStr">
        <is>
          <t>m3</t>
        </is>
      </c>
      <c r="I1578" s="8" t="inlineStr">
        <is>
          <t>cumulative</t>
        </is>
      </c>
      <c r="J1578" s="8" t="inlineStr">
        <is>
          <t>GH</t>
        </is>
      </c>
      <c r="K1578" s="8" t="inlineStr"/>
      <c r="L1578" s="10">
        <f>IFERROR(IF(F1578&lt;F1577,"NEGATIVE",ROUND(F1578-F1577,2)),"")</f>
        <v/>
      </c>
    </row>
    <row r="1579" ht="22" customHeight="1">
      <c r="B1579" s="5" t="inlineStr">
        <is>
          <t>R01575</t>
        </is>
      </c>
      <c r="C1579" s="5" t="inlineStr">
        <is>
          <t>MTR-PRC-005</t>
        </is>
      </c>
      <c r="D1579" s="5" t="inlineStr">
        <is>
          <t>Process Hall</t>
        </is>
      </c>
      <c r="E1579" s="5" t="inlineStr">
        <is>
          <t>Process Water Main</t>
        </is>
      </c>
      <c r="F1579" s="5" t="inlineStr">
        <is>
          <t>2024-03-29 08:00</t>
        </is>
      </c>
      <c r="G1579" s="11" t="n">
        <v>43441.64</v>
      </c>
      <c r="H1579" s="5" t="inlineStr">
        <is>
          <t>m3</t>
        </is>
      </c>
      <c r="I1579" s="5" t="inlineStr">
        <is>
          <t>cumulative</t>
        </is>
      </c>
      <c r="J1579" s="5" t="inlineStr">
        <is>
          <t>EF</t>
        </is>
      </c>
      <c r="K1579" s="5" t="inlineStr"/>
      <c r="L1579" s="7">
        <f>IFERROR(IF(F1579&lt;F1578,"NEGATIVE",ROUND(F1579-F1578,2)),"")</f>
        <v/>
      </c>
    </row>
    <row r="1580" ht="22" customHeight="1">
      <c r="B1580" s="8" t="inlineStr">
        <is>
          <t>R01576</t>
        </is>
      </c>
      <c r="C1580" s="8" t="inlineStr">
        <is>
          <t>MTR-PRC-005</t>
        </is>
      </c>
      <c r="D1580" s="8" t="inlineStr">
        <is>
          <t>Process Hall</t>
        </is>
      </c>
      <c r="E1580" s="8" t="inlineStr">
        <is>
          <t>Process Water Main</t>
        </is>
      </c>
      <c r="F1580" s="8" t="inlineStr">
        <is>
          <t>2024-03-30 08:00</t>
        </is>
      </c>
      <c r="G1580" s="12" t="n">
        <v>43459.12</v>
      </c>
      <c r="H1580" s="8" t="inlineStr">
        <is>
          <t>m3</t>
        </is>
      </c>
      <c r="I1580" s="8" t="inlineStr">
        <is>
          <t>cumulative</t>
        </is>
      </c>
      <c r="J1580" s="8" t="inlineStr">
        <is>
          <t>GH</t>
        </is>
      </c>
      <c r="K1580" s="8" t="inlineStr"/>
      <c r="L1580" s="10">
        <f>IFERROR(IF(F1580&lt;F1579,"NEGATIVE",ROUND(F1580-F1579,2)),"")</f>
        <v/>
      </c>
    </row>
    <row r="1581" ht="22" customHeight="1">
      <c r="B1581" s="5" t="inlineStr">
        <is>
          <t>R01577</t>
        </is>
      </c>
      <c r="C1581" s="5" t="inlineStr">
        <is>
          <t>MTR-PRC-005</t>
        </is>
      </c>
      <c r="D1581" s="5" t="inlineStr">
        <is>
          <t>Process Hall</t>
        </is>
      </c>
      <c r="E1581" s="5" t="inlineStr">
        <is>
          <t>Process Water Main</t>
        </is>
      </c>
      <c r="F1581" s="5" t="inlineStr">
        <is>
          <t>2024-03-31 08:00</t>
        </is>
      </c>
      <c r="G1581" s="11" t="n">
        <v>43473.02</v>
      </c>
      <c r="H1581" s="5" t="inlineStr">
        <is>
          <t>m3</t>
        </is>
      </c>
      <c r="I1581" s="5" t="inlineStr">
        <is>
          <t>cumulative</t>
        </is>
      </c>
      <c r="J1581" s="5" t="inlineStr">
        <is>
          <t>AB</t>
        </is>
      </c>
      <c r="K1581" s="5" t="inlineStr"/>
      <c r="L1581" s="7">
        <f>IFERROR(IF(F1581&lt;F1580,"NEGATIVE",ROUND(F1581-F1580,2)),"")</f>
        <v/>
      </c>
    </row>
    <row r="1582" ht="22" customHeight="1">
      <c r="B1582" s="8" t="inlineStr">
        <is>
          <t>R01578</t>
        </is>
      </c>
      <c r="C1582" s="8" t="inlineStr">
        <is>
          <t>MTR-PRC-005</t>
        </is>
      </c>
      <c r="D1582" s="8" t="inlineStr">
        <is>
          <t>Process Hall</t>
        </is>
      </c>
      <c r="E1582" s="8" t="inlineStr">
        <is>
          <t>Process Water Main</t>
        </is>
      </c>
      <c r="F1582" s="8" t="inlineStr">
        <is>
          <t>2024-04-01 08:00</t>
        </is>
      </c>
      <c r="G1582" s="12" t="n">
        <v>43499.11</v>
      </c>
      <c r="H1582" s="8" t="inlineStr">
        <is>
          <t>m3</t>
        </is>
      </c>
      <c r="I1582" s="8" t="inlineStr">
        <is>
          <t>cumulative</t>
        </is>
      </c>
      <c r="J1582" s="8" t="inlineStr">
        <is>
          <t>KL</t>
        </is>
      </c>
      <c r="K1582" s="8" t="inlineStr"/>
      <c r="L1582" s="10">
        <f>IFERROR(IF(F1582&lt;F1581,"NEGATIVE",ROUND(F1582-F1581,2)),"")</f>
        <v/>
      </c>
    </row>
    <row r="1583" ht="22" customHeight="1">
      <c r="B1583" s="5" t="inlineStr">
        <is>
          <t>R01579</t>
        </is>
      </c>
      <c r="C1583" s="5" t="inlineStr">
        <is>
          <t>MTR-PRC-005</t>
        </is>
      </c>
      <c r="D1583" s="5" t="inlineStr">
        <is>
          <t>Process Hall</t>
        </is>
      </c>
      <c r="E1583" s="5" t="inlineStr">
        <is>
          <t>Process Water Main</t>
        </is>
      </c>
      <c r="F1583" s="5" t="inlineStr">
        <is>
          <t>2024-04-02 08:00</t>
        </is>
      </c>
      <c r="G1583" s="11" t="n">
        <v>43524.89</v>
      </c>
      <c r="H1583" s="5" t="inlineStr">
        <is>
          <t>m3</t>
        </is>
      </c>
      <c r="I1583" s="5" t="inlineStr">
        <is>
          <t>cumulative</t>
        </is>
      </c>
      <c r="J1583" s="5" t="inlineStr">
        <is>
          <t>KL</t>
        </is>
      </c>
      <c r="K1583" s="5" t="inlineStr"/>
      <c r="L1583" s="7">
        <f>IFERROR(IF(F1583&lt;F1582,"NEGATIVE",ROUND(F1583-F1582,2)),"")</f>
        <v/>
      </c>
    </row>
    <row r="1584" ht="22" customHeight="1">
      <c r="B1584" s="8" t="inlineStr">
        <is>
          <t>R01580</t>
        </is>
      </c>
      <c r="C1584" s="8" t="inlineStr">
        <is>
          <t>MTR-PRC-005</t>
        </is>
      </c>
      <c r="D1584" s="8" t="inlineStr">
        <is>
          <t>Process Hall</t>
        </is>
      </c>
      <c r="E1584" s="8" t="inlineStr">
        <is>
          <t>Process Water Main</t>
        </is>
      </c>
      <c r="F1584" s="8" t="inlineStr">
        <is>
          <t>2024-04-03 08:00</t>
        </is>
      </c>
      <c r="G1584" s="12" t="n">
        <v>43552.57</v>
      </c>
      <c r="H1584" s="8" t="inlineStr">
        <is>
          <t>m3</t>
        </is>
      </c>
      <c r="I1584" s="8" t="inlineStr">
        <is>
          <t>cumulative</t>
        </is>
      </c>
      <c r="J1584" s="8" t="inlineStr">
        <is>
          <t>EF</t>
        </is>
      </c>
      <c r="K1584" s="8" t="inlineStr"/>
      <c r="L1584" s="10">
        <f>IFERROR(IF(F1584&lt;F1583,"NEGATIVE",ROUND(F1584-F1583,2)),"")</f>
        <v/>
      </c>
    </row>
    <row r="1585" ht="22" customHeight="1">
      <c r="B1585" s="5" t="inlineStr">
        <is>
          <t>R01581</t>
        </is>
      </c>
      <c r="C1585" s="5" t="inlineStr">
        <is>
          <t>MTR-PRC-005</t>
        </is>
      </c>
      <c r="D1585" s="5" t="inlineStr">
        <is>
          <t>Process Hall</t>
        </is>
      </c>
      <c r="E1585" s="5" t="inlineStr">
        <is>
          <t>Process Water Main</t>
        </is>
      </c>
      <c r="F1585" s="5" t="inlineStr">
        <is>
          <t>2024-04-04 08:00</t>
        </is>
      </c>
      <c r="G1585" s="11" t="n">
        <v>43579.67</v>
      </c>
      <c r="H1585" s="5" t="inlineStr">
        <is>
          <t>m3</t>
        </is>
      </c>
      <c r="I1585" s="5" t="inlineStr">
        <is>
          <t>cumulative</t>
        </is>
      </c>
      <c r="J1585" s="5" t="inlineStr">
        <is>
          <t>CD</t>
        </is>
      </c>
      <c r="K1585" s="5" t="inlineStr"/>
      <c r="L1585" s="7">
        <f>IFERROR(IF(F1585&lt;F1584,"NEGATIVE",ROUND(F1585-F1584,2)),"")</f>
        <v/>
      </c>
    </row>
    <row r="1586" ht="22" customHeight="1">
      <c r="B1586" s="8" t="inlineStr">
        <is>
          <t>R01582</t>
        </is>
      </c>
      <c r="C1586" s="8" t="inlineStr">
        <is>
          <t>MTR-PRC-005</t>
        </is>
      </c>
      <c r="D1586" s="8" t="inlineStr">
        <is>
          <t>Process Hall</t>
        </is>
      </c>
      <c r="E1586" s="8" t="inlineStr">
        <is>
          <t>Process Water Main</t>
        </is>
      </c>
      <c r="F1586" s="8" t="inlineStr">
        <is>
          <t>2024-04-05 08:00</t>
        </is>
      </c>
      <c r="G1586" s="12" t="n">
        <v>43602.01</v>
      </c>
      <c r="H1586" s="8" t="inlineStr">
        <is>
          <t>m3</t>
        </is>
      </c>
      <c r="I1586" s="8" t="inlineStr">
        <is>
          <t>cumulative</t>
        </is>
      </c>
      <c r="J1586" s="8" t="inlineStr">
        <is>
          <t>EF</t>
        </is>
      </c>
      <c r="K1586" s="8" t="inlineStr"/>
      <c r="L1586" s="10">
        <f>IFERROR(IF(F1586&lt;F1585,"NEGATIVE",ROUND(F1586-F1585,2)),"")</f>
        <v/>
      </c>
    </row>
    <row r="1587" ht="22" customHeight="1">
      <c r="B1587" s="5" t="inlineStr">
        <is>
          <t>R01583</t>
        </is>
      </c>
      <c r="C1587" s="5" t="inlineStr">
        <is>
          <t>MTR-PRC-005</t>
        </is>
      </c>
      <c r="D1587" s="5" t="inlineStr">
        <is>
          <t>Process Hall</t>
        </is>
      </c>
      <c r="E1587" s="5" t="inlineStr">
        <is>
          <t>Process Water Main</t>
        </is>
      </c>
      <c r="F1587" s="5" t="inlineStr">
        <is>
          <t>2024-04-06 08:00</t>
        </is>
      </c>
      <c r="G1587" s="11" t="n">
        <v>43624.74</v>
      </c>
      <c r="H1587" s="5" t="inlineStr">
        <is>
          <t>m3</t>
        </is>
      </c>
      <c r="I1587" s="5" t="inlineStr">
        <is>
          <t>cumulative</t>
        </is>
      </c>
      <c r="J1587" s="5" t="inlineStr">
        <is>
          <t>IJ</t>
        </is>
      </c>
      <c r="K1587" s="5" t="inlineStr"/>
      <c r="L1587" s="7">
        <f>IFERROR(IF(F1587&lt;F1586,"NEGATIVE",ROUND(F1587-F1586,2)),"")</f>
        <v/>
      </c>
    </row>
    <row r="1588" ht="22" customHeight="1">
      <c r="B1588" s="8" t="inlineStr">
        <is>
          <t>R01584</t>
        </is>
      </c>
      <c r="C1588" s="8" t="inlineStr">
        <is>
          <t>MTR-PRC-005</t>
        </is>
      </c>
      <c r="D1588" s="8" t="inlineStr">
        <is>
          <t>Process Hall</t>
        </is>
      </c>
      <c r="E1588" s="8" t="inlineStr">
        <is>
          <t>Process Water Main</t>
        </is>
      </c>
      <c r="F1588" s="8" t="inlineStr">
        <is>
          <t>2024-04-07 08:00</t>
        </is>
      </c>
      <c r="G1588" s="12" t="n">
        <v>43636.5</v>
      </c>
      <c r="H1588" s="8" t="inlineStr">
        <is>
          <t>m3</t>
        </is>
      </c>
      <c r="I1588" s="8" t="inlineStr">
        <is>
          <t>cumulative</t>
        </is>
      </c>
      <c r="J1588" s="8" t="inlineStr">
        <is>
          <t>AB</t>
        </is>
      </c>
      <c r="K1588" s="8" t="inlineStr"/>
      <c r="L1588" s="10">
        <f>IFERROR(IF(F1588&lt;F1587,"NEGATIVE",ROUND(F1588-F1587,2)),"")</f>
        <v/>
      </c>
    </row>
    <row r="1589" ht="22" customHeight="1">
      <c r="B1589" s="5" t="inlineStr">
        <is>
          <t>R01585</t>
        </is>
      </c>
      <c r="C1589" s="5" t="inlineStr">
        <is>
          <t>MTR-PRC-005</t>
        </is>
      </c>
      <c r="D1589" s="5" t="inlineStr">
        <is>
          <t>Process Hall</t>
        </is>
      </c>
      <c r="E1589" s="5" t="inlineStr">
        <is>
          <t>Process Water Main</t>
        </is>
      </c>
      <c r="F1589" s="5" t="inlineStr">
        <is>
          <t>2024-04-08 08:00</t>
        </is>
      </c>
      <c r="G1589" s="11" t="n">
        <v>43663.16</v>
      </c>
      <c r="H1589" s="5" t="inlineStr">
        <is>
          <t>m3</t>
        </is>
      </c>
      <c r="I1589" s="5" t="inlineStr">
        <is>
          <t>cumulative</t>
        </is>
      </c>
      <c r="J1589" s="5" t="inlineStr">
        <is>
          <t>IJ</t>
        </is>
      </c>
      <c r="K1589" s="5" t="inlineStr"/>
      <c r="L1589" s="7">
        <f>IFERROR(IF(F1589&lt;F1588,"NEGATIVE",ROUND(F1589-F1588,2)),"")</f>
        <v/>
      </c>
    </row>
    <row r="1590" ht="22" customHeight="1">
      <c r="B1590" s="8" t="inlineStr">
        <is>
          <t>R01586</t>
        </is>
      </c>
      <c r="C1590" s="8" t="inlineStr">
        <is>
          <t>MTR-PRC-005</t>
        </is>
      </c>
      <c r="D1590" s="8" t="inlineStr">
        <is>
          <t>Process Hall</t>
        </is>
      </c>
      <c r="E1590" s="8" t="inlineStr">
        <is>
          <t>Process Water Main</t>
        </is>
      </c>
      <c r="F1590" s="8" t="inlineStr">
        <is>
          <t>2024-04-09 08:00</t>
        </is>
      </c>
      <c r="G1590" s="12" t="n">
        <v>43686.2</v>
      </c>
      <c r="H1590" s="8" t="inlineStr">
        <is>
          <t>m3</t>
        </is>
      </c>
      <c r="I1590" s="8" t="inlineStr">
        <is>
          <t>cumulative</t>
        </is>
      </c>
      <c r="J1590" s="8" t="inlineStr">
        <is>
          <t>GH</t>
        </is>
      </c>
      <c r="K1590" s="8" t="inlineStr"/>
      <c r="L1590" s="10">
        <f>IFERROR(IF(F1590&lt;F1589,"NEGATIVE",ROUND(F1590-F1589,2)),"")</f>
        <v/>
      </c>
    </row>
    <row r="1591" ht="22" customHeight="1">
      <c r="B1591" s="5" t="inlineStr">
        <is>
          <t>R01587</t>
        </is>
      </c>
      <c r="C1591" s="5" t="inlineStr">
        <is>
          <t>MTR-PRC-005</t>
        </is>
      </c>
      <c r="D1591" s="5" t="inlineStr">
        <is>
          <t>Process Hall</t>
        </is>
      </c>
      <c r="E1591" s="5" t="inlineStr">
        <is>
          <t>Process Water Main</t>
        </is>
      </c>
      <c r="F1591" s="5" t="inlineStr">
        <is>
          <t>2024-04-10 08:00</t>
        </is>
      </c>
      <c r="G1591" s="11" t="n">
        <v>43714.77</v>
      </c>
      <c r="H1591" s="5" t="inlineStr">
        <is>
          <t>m3</t>
        </is>
      </c>
      <c r="I1591" s="5" t="inlineStr">
        <is>
          <t>cumulative</t>
        </is>
      </c>
      <c r="J1591" s="5" t="inlineStr">
        <is>
          <t>GH</t>
        </is>
      </c>
      <c r="K1591" s="5" t="inlineStr"/>
      <c r="L1591" s="7">
        <f>IFERROR(IF(F1591&lt;F1590,"NEGATIVE",ROUND(F1591-F1590,2)),"")</f>
        <v/>
      </c>
    </row>
    <row r="1592" ht="22" customHeight="1">
      <c r="B1592" s="8" t="inlineStr">
        <is>
          <t>R01588</t>
        </is>
      </c>
      <c r="C1592" s="8" t="inlineStr">
        <is>
          <t>MTR-PRC-005</t>
        </is>
      </c>
      <c r="D1592" s="8" t="inlineStr">
        <is>
          <t>Process Hall</t>
        </is>
      </c>
      <c r="E1592" s="8" t="inlineStr">
        <is>
          <t>Process Water Main</t>
        </is>
      </c>
      <c r="F1592" s="8" t="inlineStr">
        <is>
          <t>2024-04-11 08:00</t>
        </is>
      </c>
      <c r="G1592" s="12" t="n">
        <v>43737.72</v>
      </c>
      <c r="H1592" s="8" t="inlineStr">
        <is>
          <t>m3</t>
        </is>
      </c>
      <c r="I1592" s="8" t="inlineStr">
        <is>
          <t>cumulative</t>
        </is>
      </c>
      <c r="J1592" s="8" t="inlineStr">
        <is>
          <t>IJ</t>
        </is>
      </c>
      <c r="K1592" s="8" t="inlineStr"/>
      <c r="L1592" s="10">
        <f>IFERROR(IF(F1592&lt;F1591,"NEGATIVE",ROUND(F1592-F1591,2)),"")</f>
        <v/>
      </c>
    </row>
    <row r="1593" ht="22" customHeight="1">
      <c r="B1593" s="5" t="inlineStr">
        <is>
          <t>R01589</t>
        </is>
      </c>
      <c r="C1593" s="5" t="inlineStr">
        <is>
          <t>MTR-PRC-005</t>
        </is>
      </c>
      <c r="D1593" s="5" t="inlineStr">
        <is>
          <t>Process Hall</t>
        </is>
      </c>
      <c r="E1593" s="5" t="inlineStr">
        <is>
          <t>Process Water Main</t>
        </is>
      </c>
      <c r="F1593" s="5" t="inlineStr">
        <is>
          <t>2024-04-12 08:00</t>
        </is>
      </c>
      <c r="G1593" s="11" t="n">
        <v>43766.58</v>
      </c>
      <c r="H1593" s="5" t="inlineStr">
        <is>
          <t>m3</t>
        </is>
      </c>
      <c r="I1593" s="5" t="inlineStr">
        <is>
          <t>cumulative</t>
        </is>
      </c>
      <c r="J1593" s="5" t="inlineStr">
        <is>
          <t>IJ</t>
        </is>
      </c>
      <c r="K1593" s="5" t="inlineStr"/>
      <c r="L1593" s="7">
        <f>IFERROR(IF(F1593&lt;F1592,"NEGATIVE",ROUND(F1593-F1592,2)),"")</f>
        <v/>
      </c>
    </row>
    <row r="1594" ht="22" customHeight="1">
      <c r="B1594" s="8" t="inlineStr">
        <is>
          <t>R01590</t>
        </is>
      </c>
      <c r="C1594" s="8" t="inlineStr">
        <is>
          <t>MTR-PRC-005</t>
        </is>
      </c>
      <c r="D1594" s="8" t="inlineStr">
        <is>
          <t>Process Hall</t>
        </is>
      </c>
      <c r="E1594" s="8" t="inlineStr">
        <is>
          <t>Process Water Main</t>
        </is>
      </c>
      <c r="F1594" s="8" t="inlineStr">
        <is>
          <t>2024-04-13 08:00</t>
        </is>
      </c>
      <c r="G1594" s="12" t="n">
        <v>43784.97</v>
      </c>
      <c r="H1594" s="8" t="inlineStr">
        <is>
          <t>m3</t>
        </is>
      </c>
      <c r="I1594" s="8" t="inlineStr">
        <is>
          <t>cumulative</t>
        </is>
      </c>
      <c r="J1594" s="8" t="inlineStr">
        <is>
          <t>AB</t>
        </is>
      </c>
      <c r="K1594" s="8" t="inlineStr"/>
      <c r="L1594" s="10">
        <f>IFERROR(IF(F1594&lt;F1593,"NEGATIVE",ROUND(F1594-F1593,2)),"")</f>
        <v/>
      </c>
    </row>
    <row r="1595" ht="22" customHeight="1">
      <c r="B1595" s="5" t="inlineStr">
        <is>
          <t>R01591</t>
        </is>
      </c>
      <c r="C1595" s="5" t="inlineStr">
        <is>
          <t>MTR-PRC-005</t>
        </is>
      </c>
      <c r="D1595" s="5" t="inlineStr">
        <is>
          <t>Process Hall</t>
        </is>
      </c>
      <c r="E1595" s="5" t="inlineStr">
        <is>
          <t>Process Water Main</t>
        </is>
      </c>
      <c r="F1595" s="5" t="inlineStr">
        <is>
          <t>2024-04-14 08:00</t>
        </is>
      </c>
      <c r="G1595" s="11" t="n">
        <v>43798.17</v>
      </c>
      <c r="H1595" s="5" t="inlineStr">
        <is>
          <t>m3</t>
        </is>
      </c>
      <c r="I1595" s="5" t="inlineStr">
        <is>
          <t>cumulative</t>
        </is>
      </c>
      <c r="J1595" s="5" t="inlineStr">
        <is>
          <t>IJ</t>
        </is>
      </c>
      <c r="K1595" s="5" t="inlineStr"/>
      <c r="L1595" s="7">
        <f>IFERROR(IF(F1595&lt;F1594,"NEGATIVE",ROUND(F1595-F1594,2)),"")</f>
        <v/>
      </c>
    </row>
    <row r="1596" ht="22" customHeight="1">
      <c r="B1596" s="8" t="inlineStr">
        <is>
          <t>R01592</t>
        </is>
      </c>
      <c r="C1596" s="8" t="inlineStr">
        <is>
          <t>MTR-PRC-005</t>
        </is>
      </c>
      <c r="D1596" s="8" t="inlineStr">
        <is>
          <t>Process Hall</t>
        </is>
      </c>
      <c r="E1596" s="8" t="inlineStr">
        <is>
          <t>Process Water Main</t>
        </is>
      </c>
      <c r="F1596" s="8" t="inlineStr">
        <is>
          <t>2024-04-15 08:00</t>
        </is>
      </c>
      <c r="G1596" s="12" t="n">
        <v>43824.75</v>
      </c>
      <c r="H1596" s="8" t="inlineStr">
        <is>
          <t>m3</t>
        </is>
      </c>
      <c r="I1596" s="8" t="inlineStr">
        <is>
          <t>cumulative</t>
        </is>
      </c>
      <c r="J1596" s="8" t="inlineStr">
        <is>
          <t>GH</t>
        </is>
      </c>
      <c r="K1596" s="8" t="inlineStr"/>
      <c r="L1596" s="10">
        <f>IFERROR(IF(F1596&lt;F1595,"NEGATIVE",ROUND(F1596-F1595,2)),"")</f>
        <v/>
      </c>
    </row>
    <row r="1597" ht="22" customHeight="1">
      <c r="B1597" s="5" t="inlineStr">
        <is>
          <t>R01593</t>
        </is>
      </c>
      <c r="C1597" s="5" t="inlineStr">
        <is>
          <t>MTR-PRC-005</t>
        </is>
      </c>
      <c r="D1597" s="5" t="inlineStr">
        <is>
          <t>Process Hall</t>
        </is>
      </c>
      <c r="E1597" s="5" t="inlineStr">
        <is>
          <t>Process Water Main</t>
        </is>
      </c>
      <c r="F1597" s="5" t="inlineStr">
        <is>
          <t>2024-04-16 08:00</t>
        </is>
      </c>
      <c r="G1597" s="11" t="n">
        <v>43850.29</v>
      </c>
      <c r="H1597" s="5" t="inlineStr">
        <is>
          <t>m3</t>
        </is>
      </c>
      <c r="I1597" s="5" t="inlineStr">
        <is>
          <t>cumulative</t>
        </is>
      </c>
      <c r="J1597" s="5" t="inlineStr">
        <is>
          <t>EF</t>
        </is>
      </c>
      <c r="K1597" s="5" t="inlineStr"/>
      <c r="L1597" s="7">
        <f>IFERROR(IF(F1597&lt;F1596,"NEGATIVE",ROUND(F1597-F1596,2)),"")</f>
        <v/>
      </c>
    </row>
    <row r="1598" ht="22" customHeight="1">
      <c r="B1598" s="8" t="inlineStr">
        <is>
          <t>R01594</t>
        </is>
      </c>
      <c r="C1598" s="8" t="inlineStr">
        <is>
          <t>MTR-PRC-005</t>
        </is>
      </c>
      <c r="D1598" s="8" t="inlineStr">
        <is>
          <t>Process Hall</t>
        </is>
      </c>
      <c r="E1598" s="8" t="inlineStr">
        <is>
          <t>Process Water Main</t>
        </is>
      </c>
      <c r="F1598" s="8" t="inlineStr">
        <is>
          <t>2024-04-17 08:00</t>
        </is>
      </c>
      <c r="G1598" s="12" t="n">
        <v>43876.61</v>
      </c>
      <c r="H1598" s="8" t="inlineStr">
        <is>
          <t>m3</t>
        </is>
      </c>
      <c r="I1598" s="8" t="inlineStr">
        <is>
          <t>cumulative</t>
        </is>
      </c>
      <c r="J1598" s="8" t="inlineStr">
        <is>
          <t>IJ</t>
        </is>
      </c>
      <c r="K1598" s="8" t="inlineStr"/>
      <c r="L1598" s="10">
        <f>IFERROR(IF(F1598&lt;F1597,"NEGATIVE",ROUND(F1598-F1597,2)),"")</f>
        <v/>
      </c>
    </row>
    <row r="1599" ht="22" customHeight="1">
      <c r="B1599" s="5" t="inlineStr">
        <is>
          <t>R01595</t>
        </is>
      </c>
      <c r="C1599" s="5" t="inlineStr">
        <is>
          <t>MTR-PRC-005</t>
        </is>
      </c>
      <c r="D1599" s="5" t="inlineStr">
        <is>
          <t>Process Hall</t>
        </is>
      </c>
      <c r="E1599" s="5" t="inlineStr">
        <is>
          <t>Process Water Main</t>
        </is>
      </c>
      <c r="F1599" s="5" t="inlineStr">
        <is>
          <t>2024-04-18 08:00</t>
        </is>
      </c>
      <c r="G1599" s="11" t="n">
        <v>43900.37</v>
      </c>
      <c r="H1599" s="5" t="inlineStr">
        <is>
          <t>m3</t>
        </is>
      </c>
      <c r="I1599" s="5" t="inlineStr">
        <is>
          <t>cumulative</t>
        </is>
      </c>
      <c r="J1599" s="5" t="inlineStr">
        <is>
          <t>EF</t>
        </is>
      </c>
      <c r="K1599" s="5" t="inlineStr"/>
      <c r="L1599" s="7">
        <f>IFERROR(IF(F1599&lt;F1598,"NEGATIVE",ROUND(F1599-F1598,2)),"")</f>
        <v/>
      </c>
    </row>
    <row r="1600" ht="22" customHeight="1">
      <c r="B1600" s="8" t="inlineStr">
        <is>
          <t>R01596</t>
        </is>
      </c>
      <c r="C1600" s="8" t="inlineStr">
        <is>
          <t>MTR-PRC-005</t>
        </is>
      </c>
      <c r="D1600" s="8" t="inlineStr">
        <is>
          <t>Process Hall</t>
        </is>
      </c>
      <c r="E1600" s="8" t="inlineStr">
        <is>
          <t>Process Water Main</t>
        </is>
      </c>
      <c r="F1600" s="8" t="inlineStr">
        <is>
          <t>2024-04-19 08:00</t>
        </is>
      </c>
      <c r="G1600" s="12" t="n">
        <v>43927.9</v>
      </c>
      <c r="H1600" s="8" t="inlineStr">
        <is>
          <t>m3</t>
        </is>
      </c>
      <c r="I1600" s="8" t="inlineStr">
        <is>
          <t>cumulative</t>
        </is>
      </c>
      <c r="J1600" s="8" t="inlineStr">
        <is>
          <t>IJ</t>
        </is>
      </c>
      <c r="K1600" s="8" t="inlineStr"/>
      <c r="L1600" s="10">
        <f>IFERROR(IF(F1600&lt;F1599,"NEGATIVE",ROUND(F1600-F1599,2)),"")</f>
        <v/>
      </c>
    </row>
    <row r="1601" ht="22" customHeight="1">
      <c r="B1601" s="5" t="inlineStr">
        <is>
          <t>R01597</t>
        </is>
      </c>
      <c r="C1601" s="5" t="inlineStr">
        <is>
          <t>MTR-PRC-005</t>
        </is>
      </c>
      <c r="D1601" s="5" t="inlineStr">
        <is>
          <t>Process Hall</t>
        </is>
      </c>
      <c r="E1601" s="5" t="inlineStr">
        <is>
          <t>Process Water Main</t>
        </is>
      </c>
      <c r="F1601" s="5" t="inlineStr">
        <is>
          <t>2024-04-20 08:00</t>
        </is>
      </c>
      <c r="G1601" s="11" t="n">
        <v>43945.54</v>
      </c>
      <c r="H1601" s="5" t="inlineStr">
        <is>
          <t>m3</t>
        </is>
      </c>
      <c r="I1601" s="5" t="inlineStr">
        <is>
          <t>cumulative</t>
        </is>
      </c>
      <c r="J1601" s="5" t="inlineStr">
        <is>
          <t>EF</t>
        </is>
      </c>
      <c r="K1601" s="5" t="inlineStr"/>
      <c r="L1601" s="7">
        <f>IFERROR(IF(F1601&lt;F1600,"NEGATIVE",ROUND(F1601-F1600,2)),"")</f>
        <v/>
      </c>
    </row>
    <row r="1602" ht="22" customHeight="1">
      <c r="B1602" s="8" t="inlineStr">
        <is>
          <t>R01598</t>
        </is>
      </c>
      <c r="C1602" s="8" t="inlineStr">
        <is>
          <t>MTR-PRC-005</t>
        </is>
      </c>
      <c r="D1602" s="8" t="inlineStr">
        <is>
          <t>Process Hall</t>
        </is>
      </c>
      <c r="E1602" s="8" t="inlineStr">
        <is>
          <t>Process Water Main</t>
        </is>
      </c>
      <c r="F1602" s="8" t="inlineStr">
        <is>
          <t>2024-04-21 08:00</t>
        </is>
      </c>
      <c r="G1602" s="12" t="n">
        <v>43958.2</v>
      </c>
      <c r="H1602" s="8" t="inlineStr">
        <is>
          <t>m3</t>
        </is>
      </c>
      <c r="I1602" s="8" t="inlineStr">
        <is>
          <t>cumulative</t>
        </is>
      </c>
      <c r="J1602" s="8" t="inlineStr">
        <is>
          <t>EF</t>
        </is>
      </c>
      <c r="K1602" s="8" t="inlineStr"/>
      <c r="L1602" s="10">
        <f>IFERROR(IF(F1602&lt;F1601,"NEGATIVE",ROUND(F1602-F1601,2)),"")</f>
        <v/>
      </c>
    </row>
    <row r="1603" ht="22" customHeight="1">
      <c r="B1603" s="5" t="inlineStr">
        <is>
          <t>R01599</t>
        </is>
      </c>
      <c r="C1603" s="5" t="inlineStr">
        <is>
          <t>MTR-PRC-005</t>
        </is>
      </c>
      <c r="D1603" s="5" t="inlineStr">
        <is>
          <t>Process Hall</t>
        </is>
      </c>
      <c r="E1603" s="5" t="inlineStr">
        <is>
          <t>Process Water Main</t>
        </is>
      </c>
      <c r="F1603" s="5" t="inlineStr">
        <is>
          <t>2024-04-22 08:00</t>
        </is>
      </c>
      <c r="G1603" s="11" t="n">
        <v>43981.62</v>
      </c>
      <c r="H1603" s="5" t="inlineStr">
        <is>
          <t>m3</t>
        </is>
      </c>
      <c r="I1603" s="5" t="inlineStr">
        <is>
          <t>cumulative</t>
        </is>
      </c>
      <c r="J1603" s="5" t="inlineStr">
        <is>
          <t>CD</t>
        </is>
      </c>
      <c r="K1603" s="5" t="inlineStr"/>
      <c r="L1603" s="7">
        <f>IFERROR(IF(F1603&lt;F1602,"NEGATIVE",ROUND(F1603-F1602,2)),"")</f>
        <v/>
      </c>
    </row>
    <row r="1604" ht="22" customHeight="1">
      <c r="B1604" s="8" t="inlineStr">
        <is>
          <t>R01600</t>
        </is>
      </c>
      <c r="C1604" s="8" t="inlineStr">
        <is>
          <t>MTR-PRC-005</t>
        </is>
      </c>
      <c r="D1604" s="8" t="inlineStr">
        <is>
          <t>Process Hall</t>
        </is>
      </c>
      <c r="E1604" s="8" t="inlineStr">
        <is>
          <t>Process Water Main</t>
        </is>
      </c>
      <c r="F1604" s="8" t="inlineStr">
        <is>
          <t>2024-04-23 08:00</t>
        </is>
      </c>
      <c r="G1604" s="12" t="n">
        <v>44007.8</v>
      </c>
      <c r="H1604" s="8" t="inlineStr">
        <is>
          <t>m3</t>
        </is>
      </c>
      <c r="I1604" s="8" t="inlineStr">
        <is>
          <t>cumulative</t>
        </is>
      </c>
      <c r="J1604" s="8" t="inlineStr">
        <is>
          <t>AB</t>
        </is>
      </c>
      <c r="K1604" s="8" t="inlineStr"/>
      <c r="L1604" s="10">
        <f>IFERROR(IF(F1604&lt;F1603,"NEGATIVE",ROUND(F1604-F1603,2)),"")</f>
        <v/>
      </c>
    </row>
    <row r="1605" ht="22" customHeight="1">
      <c r="B1605" s="5" t="inlineStr">
        <is>
          <t>R01601</t>
        </is>
      </c>
      <c r="C1605" s="5" t="inlineStr">
        <is>
          <t>MTR-PRC-005</t>
        </is>
      </c>
      <c r="D1605" s="5" t="inlineStr">
        <is>
          <t>Process Hall</t>
        </is>
      </c>
      <c r="E1605" s="5" t="inlineStr">
        <is>
          <t>Process Water Main</t>
        </is>
      </c>
      <c r="F1605" s="5" t="inlineStr">
        <is>
          <t>2024-04-24 08:00</t>
        </is>
      </c>
      <c r="G1605" s="11" t="n">
        <v>44033.71</v>
      </c>
      <c r="H1605" s="5" t="inlineStr">
        <is>
          <t>m3</t>
        </is>
      </c>
      <c r="I1605" s="5" t="inlineStr">
        <is>
          <t>cumulative</t>
        </is>
      </c>
      <c r="J1605" s="5" t="inlineStr">
        <is>
          <t>AB</t>
        </is>
      </c>
      <c r="K1605" s="5" t="inlineStr"/>
      <c r="L1605" s="7">
        <f>IFERROR(IF(F1605&lt;F1604,"NEGATIVE",ROUND(F1605-F1604,2)),"")</f>
        <v/>
      </c>
    </row>
    <row r="1606" ht="22" customHeight="1">
      <c r="B1606" s="8" t="inlineStr">
        <is>
          <t>R01602</t>
        </is>
      </c>
      <c r="C1606" s="8" t="inlineStr">
        <is>
          <t>MTR-PRC-005</t>
        </is>
      </c>
      <c r="D1606" s="8" t="inlineStr">
        <is>
          <t>Process Hall</t>
        </is>
      </c>
      <c r="E1606" s="8" t="inlineStr">
        <is>
          <t>Process Water Main</t>
        </is>
      </c>
      <c r="F1606" s="8" t="inlineStr">
        <is>
          <t>2024-04-25 08:00</t>
        </is>
      </c>
      <c r="G1606" s="12" t="n">
        <v>44056.74</v>
      </c>
      <c r="H1606" s="8" t="inlineStr">
        <is>
          <t>m3</t>
        </is>
      </c>
      <c r="I1606" s="8" t="inlineStr">
        <is>
          <t>cumulative</t>
        </is>
      </c>
      <c r="J1606" s="8" t="inlineStr">
        <is>
          <t>IJ</t>
        </is>
      </c>
      <c r="K1606" s="8" t="inlineStr"/>
      <c r="L1606" s="10">
        <f>IFERROR(IF(F1606&lt;F1605,"NEGATIVE",ROUND(F1606-F1605,2)),"")</f>
        <v/>
      </c>
    </row>
    <row r="1607" ht="22" customHeight="1">
      <c r="B1607" s="5" t="inlineStr">
        <is>
          <t>R01603</t>
        </is>
      </c>
      <c r="C1607" s="5" t="inlineStr">
        <is>
          <t>MTR-PRC-005</t>
        </is>
      </c>
      <c r="D1607" s="5" t="inlineStr">
        <is>
          <t>Process Hall</t>
        </is>
      </c>
      <c r="E1607" s="5" t="inlineStr">
        <is>
          <t>Process Water Main</t>
        </is>
      </c>
      <c r="F1607" s="5" t="inlineStr">
        <is>
          <t>2024-04-26 08:00</t>
        </is>
      </c>
      <c r="G1607" s="11" t="n">
        <v>44085.58</v>
      </c>
      <c r="H1607" s="5" t="inlineStr">
        <is>
          <t>m3</t>
        </is>
      </c>
      <c r="I1607" s="5" t="inlineStr">
        <is>
          <t>cumulative</t>
        </is>
      </c>
      <c r="J1607" s="5" t="inlineStr">
        <is>
          <t>AB</t>
        </is>
      </c>
      <c r="K1607" s="5" t="inlineStr"/>
      <c r="L1607" s="7">
        <f>IFERROR(IF(F1607&lt;F1606,"NEGATIVE",ROUND(F1607-F1606,2)),"")</f>
        <v/>
      </c>
    </row>
    <row r="1608" ht="22" customHeight="1">
      <c r="B1608" s="8" t="inlineStr">
        <is>
          <t>R01604</t>
        </is>
      </c>
      <c r="C1608" s="8" t="inlineStr">
        <is>
          <t>MTR-PRC-005</t>
        </is>
      </c>
      <c r="D1608" s="8" t="inlineStr">
        <is>
          <t>Process Hall</t>
        </is>
      </c>
      <c r="E1608" s="8" t="inlineStr">
        <is>
          <t>Process Water Main</t>
        </is>
      </c>
      <c r="F1608" s="8" t="inlineStr">
        <is>
          <t>2024-04-27 08:00</t>
        </is>
      </c>
      <c r="G1608" s="12" t="n">
        <v>44103.98</v>
      </c>
      <c r="H1608" s="8" t="inlineStr">
        <is>
          <t>m3</t>
        </is>
      </c>
      <c r="I1608" s="8" t="inlineStr">
        <is>
          <t>cumulative</t>
        </is>
      </c>
      <c r="J1608" s="8" t="inlineStr">
        <is>
          <t>GH</t>
        </is>
      </c>
      <c r="K1608" s="8" t="inlineStr"/>
      <c r="L1608" s="10">
        <f>IFERROR(IF(F1608&lt;F1607,"NEGATIVE",ROUND(F1608-F1607,2)),"")</f>
        <v/>
      </c>
    </row>
    <row r="1609" ht="22" customHeight="1">
      <c r="B1609" s="5" t="inlineStr">
        <is>
          <t>R01605</t>
        </is>
      </c>
      <c r="C1609" s="5" t="inlineStr">
        <is>
          <t>MTR-PRC-005</t>
        </is>
      </c>
      <c r="D1609" s="5" t="inlineStr">
        <is>
          <t>Process Hall</t>
        </is>
      </c>
      <c r="E1609" s="5" t="inlineStr">
        <is>
          <t>Process Water Main</t>
        </is>
      </c>
      <c r="F1609" s="5" t="inlineStr">
        <is>
          <t>2024-04-28 08:00</t>
        </is>
      </c>
      <c r="G1609" s="11" t="n">
        <v>44117.01</v>
      </c>
      <c r="H1609" s="5" t="inlineStr">
        <is>
          <t>m3</t>
        </is>
      </c>
      <c r="I1609" s="5" t="inlineStr">
        <is>
          <t>cumulative</t>
        </is>
      </c>
      <c r="J1609" s="5" t="inlineStr">
        <is>
          <t>AB</t>
        </is>
      </c>
      <c r="K1609" s="5" t="inlineStr"/>
      <c r="L1609" s="7">
        <f>IFERROR(IF(F1609&lt;F1608,"NEGATIVE",ROUND(F1609-F1608,2)),"")</f>
        <v/>
      </c>
    </row>
    <row r="1610" ht="22" customHeight="1">
      <c r="B1610" s="8" t="inlineStr">
        <is>
          <t>R01606</t>
        </is>
      </c>
      <c r="C1610" s="8" t="inlineStr">
        <is>
          <t>MTR-PRC-005</t>
        </is>
      </c>
      <c r="D1610" s="8" t="inlineStr">
        <is>
          <t>Process Hall</t>
        </is>
      </c>
      <c r="E1610" s="8" t="inlineStr">
        <is>
          <t>Process Water Main</t>
        </is>
      </c>
      <c r="F1610" s="8" t="inlineStr">
        <is>
          <t>2024-04-29 08:00</t>
        </is>
      </c>
      <c r="G1610" s="12" t="n">
        <v>44139.71</v>
      </c>
      <c r="H1610" s="8" t="inlineStr">
        <is>
          <t>m3</t>
        </is>
      </c>
      <c r="I1610" s="8" t="inlineStr">
        <is>
          <t>cumulative</t>
        </is>
      </c>
      <c r="J1610" s="8" t="inlineStr">
        <is>
          <t>IJ</t>
        </is>
      </c>
      <c r="K1610" s="8" t="inlineStr"/>
      <c r="L1610" s="10">
        <f>IFERROR(IF(F1610&lt;F1609,"NEGATIVE",ROUND(F1610-F1609,2)),"")</f>
        <v/>
      </c>
    </row>
    <row r="1611" ht="22" customHeight="1">
      <c r="B1611" s="5" t="inlineStr">
        <is>
          <t>R01607</t>
        </is>
      </c>
      <c r="C1611" s="5" t="inlineStr">
        <is>
          <t>MTR-PRC-005</t>
        </is>
      </c>
      <c r="D1611" s="5" t="inlineStr">
        <is>
          <t>Process Hall</t>
        </is>
      </c>
      <c r="E1611" s="5" t="inlineStr">
        <is>
          <t>Process Water Main</t>
        </is>
      </c>
      <c r="F1611" s="5" t="inlineStr">
        <is>
          <t>2024-04-30 08:00</t>
        </is>
      </c>
      <c r="G1611" s="11" t="n">
        <v>44164.1</v>
      </c>
      <c r="H1611" s="5" t="inlineStr">
        <is>
          <t>m3</t>
        </is>
      </c>
      <c r="I1611" s="5" t="inlineStr">
        <is>
          <t>cumulative</t>
        </is>
      </c>
      <c r="J1611" s="5" t="inlineStr">
        <is>
          <t>EF</t>
        </is>
      </c>
      <c r="K1611" s="5" t="inlineStr"/>
      <c r="L1611" s="7">
        <f>IFERROR(IF(F1611&lt;F1610,"NEGATIVE",ROUND(F1611-F1610,2)),"")</f>
        <v/>
      </c>
    </row>
    <row r="1612" ht="22" customHeight="1">
      <c r="B1612" s="8" t="inlineStr">
        <is>
          <t>R01608</t>
        </is>
      </c>
      <c r="C1612" s="8" t="inlineStr">
        <is>
          <t>MTR-PRC-005</t>
        </is>
      </c>
      <c r="D1612" s="8" t="inlineStr">
        <is>
          <t>Process Hall</t>
        </is>
      </c>
      <c r="E1612" s="8" t="inlineStr">
        <is>
          <t>Process Water Main</t>
        </is>
      </c>
      <c r="F1612" s="8" t="inlineStr">
        <is>
          <t>2024-05-01 08:00</t>
        </is>
      </c>
      <c r="G1612" s="12" t="n">
        <v>44188.82</v>
      </c>
      <c r="H1612" s="8" t="inlineStr">
        <is>
          <t>m3</t>
        </is>
      </c>
      <c r="I1612" s="8" t="inlineStr">
        <is>
          <t>cumulative</t>
        </is>
      </c>
      <c r="J1612" s="8" t="inlineStr">
        <is>
          <t>KL</t>
        </is>
      </c>
      <c r="K1612" s="8" t="inlineStr"/>
      <c r="L1612" s="10">
        <f>IFERROR(IF(F1612&lt;F1611,"NEGATIVE",ROUND(F1612-F1611,2)),"")</f>
        <v/>
      </c>
    </row>
    <row r="1613" ht="22" customHeight="1">
      <c r="B1613" s="5" t="inlineStr">
        <is>
          <t>R01609</t>
        </is>
      </c>
      <c r="C1613" s="5" t="inlineStr">
        <is>
          <t>MTR-PRC-005</t>
        </is>
      </c>
      <c r="D1613" s="5" t="inlineStr">
        <is>
          <t>Process Hall</t>
        </is>
      </c>
      <c r="E1613" s="5" t="inlineStr">
        <is>
          <t>Process Water Main</t>
        </is>
      </c>
      <c r="F1613" s="5" t="inlineStr">
        <is>
          <t>2024-05-02 08:00</t>
        </is>
      </c>
      <c r="G1613" s="11" t="n">
        <v>44214.65</v>
      </c>
      <c r="H1613" s="5" t="inlineStr">
        <is>
          <t>m3</t>
        </is>
      </c>
      <c r="I1613" s="5" t="inlineStr">
        <is>
          <t>cumulative</t>
        </is>
      </c>
      <c r="J1613" s="5" t="inlineStr">
        <is>
          <t>IJ</t>
        </is>
      </c>
      <c r="K1613" s="5" t="inlineStr"/>
      <c r="L1613" s="7">
        <f>IFERROR(IF(F1613&lt;F1612,"NEGATIVE",ROUND(F1613-F1612,2)),"")</f>
        <v/>
      </c>
    </row>
    <row r="1614" ht="22" customHeight="1">
      <c r="B1614" s="8" t="inlineStr">
        <is>
          <t>R01610</t>
        </is>
      </c>
      <c r="C1614" s="8" t="inlineStr">
        <is>
          <t>MTR-PRC-005</t>
        </is>
      </c>
      <c r="D1614" s="8" t="inlineStr">
        <is>
          <t>Process Hall</t>
        </is>
      </c>
      <c r="E1614" s="8" t="inlineStr">
        <is>
          <t>Process Water Main</t>
        </is>
      </c>
      <c r="F1614" s="8" t="inlineStr">
        <is>
          <t>2024-05-03 08:00</t>
        </is>
      </c>
      <c r="G1614" s="12" t="n">
        <v>44237.17</v>
      </c>
      <c r="H1614" s="8" t="inlineStr">
        <is>
          <t>m3</t>
        </is>
      </c>
      <c r="I1614" s="8" t="inlineStr">
        <is>
          <t>cumulative</t>
        </is>
      </c>
      <c r="J1614" s="8" t="inlineStr">
        <is>
          <t>GH</t>
        </is>
      </c>
      <c r="K1614" s="8" t="inlineStr"/>
      <c r="L1614" s="10">
        <f>IFERROR(IF(F1614&lt;F1613,"NEGATIVE",ROUND(F1614-F1613,2)),"")</f>
        <v/>
      </c>
    </row>
    <row r="1615" ht="22" customHeight="1">
      <c r="B1615" s="5" t="inlineStr">
        <is>
          <t>R01611</t>
        </is>
      </c>
      <c r="C1615" s="5" t="inlineStr">
        <is>
          <t>MTR-PRC-005</t>
        </is>
      </c>
      <c r="D1615" s="5" t="inlineStr">
        <is>
          <t>Process Hall</t>
        </is>
      </c>
      <c r="E1615" s="5" t="inlineStr">
        <is>
          <t>Process Water Main</t>
        </is>
      </c>
      <c r="F1615" s="5" t="inlineStr">
        <is>
          <t>2024-05-04 08:00</t>
        </is>
      </c>
      <c r="G1615" s="11" t="n">
        <v>44255.45</v>
      </c>
      <c r="H1615" s="5" t="inlineStr">
        <is>
          <t>m3</t>
        </is>
      </c>
      <c r="I1615" s="5" t="inlineStr">
        <is>
          <t>cumulative</t>
        </is>
      </c>
      <c r="J1615" s="5" t="inlineStr">
        <is>
          <t>AB</t>
        </is>
      </c>
      <c r="K1615" s="5" t="inlineStr"/>
      <c r="L1615" s="7">
        <f>IFERROR(IF(F1615&lt;F1614,"NEGATIVE",ROUND(F1615-F1614,2)),"")</f>
        <v/>
      </c>
    </row>
    <row r="1616" ht="22" customHeight="1">
      <c r="B1616" s="8" t="inlineStr">
        <is>
          <t>R01612</t>
        </is>
      </c>
      <c r="C1616" s="8" t="inlineStr">
        <is>
          <t>MTR-PRC-005</t>
        </is>
      </c>
      <c r="D1616" s="8" t="inlineStr">
        <is>
          <t>Process Hall</t>
        </is>
      </c>
      <c r="E1616" s="8" t="inlineStr">
        <is>
          <t>Process Water Main</t>
        </is>
      </c>
      <c r="F1616" s="8" t="inlineStr">
        <is>
          <t>2024-05-05 08:00</t>
        </is>
      </c>
      <c r="G1616" s="12" t="n">
        <v>44269.62</v>
      </c>
      <c r="H1616" s="8" t="inlineStr">
        <is>
          <t>m3</t>
        </is>
      </c>
      <c r="I1616" s="8" t="inlineStr">
        <is>
          <t>cumulative</t>
        </is>
      </c>
      <c r="J1616" s="8" t="inlineStr">
        <is>
          <t>EF</t>
        </is>
      </c>
      <c r="K1616" s="8" t="inlineStr"/>
      <c r="L1616" s="10">
        <f>IFERROR(IF(F1616&lt;F1615,"NEGATIVE",ROUND(F1616-F1615,2)),"")</f>
        <v/>
      </c>
    </row>
    <row r="1617" ht="22" customHeight="1">
      <c r="B1617" s="5" t="inlineStr">
        <is>
          <t>R01613</t>
        </is>
      </c>
      <c r="C1617" s="5" t="inlineStr">
        <is>
          <t>MTR-PRC-005</t>
        </is>
      </c>
      <c r="D1617" s="5" t="inlineStr">
        <is>
          <t>Process Hall</t>
        </is>
      </c>
      <c r="E1617" s="5" t="inlineStr">
        <is>
          <t>Process Water Main</t>
        </is>
      </c>
      <c r="F1617" s="5" t="inlineStr">
        <is>
          <t>2024-05-06 08:00</t>
        </is>
      </c>
      <c r="G1617" s="11" t="n">
        <v>44291.92</v>
      </c>
      <c r="H1617" s="5" t="inlineStr">
        <is>
          <t>m3</t>
        </is>
      </c>
      <c r="I1617" s="5" t="inlineStr">
        <is>
          <t>cumulative</t>
        </is>
      </c>
      <c r="J1617" s="5" t="inlineStr">
        <is>
          <t>KL</t>
        </is>
      </c>
      <c r="K1617" s="5" t="inlineStr"/>
      <c r="L1617" s="7">
        <f>IFERROR(IF(F1617&lt;F1616,"NEGATIVE",ROUND(F1617-F1616,2)),"")</f>
        <v/>
      </c>
    </row>
    <row r="1618" ht="22" customHeight="1">
      <c r="B1618" s="8" t="inlineStr">
        <is>
          <t>R01614</t>
        </is>
      </c>
      <c r="C1618" s="8" t="inlineStr">
        <is>
          <t>MTR-PRC-005</t>
        </is>
      </c>
      <c r="D1618" s="8" t="inlineStr">
        <is>
          <t>Process Hall</t>
        </is>
      </c>
      <c r="E1618" s="8" t="inlineStr">
        <is>
          <t>Process Water Main</t>
        </is>
      </c>
      <c r="F1618" s="8" t="inlineStr">
        <is>
          <t>2024-05-07 08:00</t>
        </is>
      </c>
      <c r="G1618" s="12" t="n">
        <v>44319.18</v>
      </c>
      <c r="H1618" s="8" t="inlineStr">
        <is>
          <t>m3</t>
        </is>
      </c>
      <c r="I1618" s="8" t="inlineStr">
        <is>
          <t>cumulative</t>
        </is>
      </c>
      <c r="J1618" s="8" t="inlineStr">
        <is>
          <t>AB</t>
        </is>
      </c>
      <c r="K1618" s="8" t="inlineStr"/>
      <c r="L1618" s="10">
        <f>IFERROR(IF(F1618&lt;F1617,"NEGATIVE",ROUND(F1618-F1617,2)),"")</f>
        <v/>
      </c>
    </row>
    <row r="1619" ht="22" customHeight="1">
      <c r="B1619" s="5" t="inlineStr">
        <is>
          <t>R01615</t>
        </is>
      </c>
      <c r="C1619" s="5" t="inlineStr">
        <is>
          <t>MTR-PRC-005</t>
        </is>
      </c>
      <c r="D1619" s="5" t="inlineStr">
        <is>
          <t>Process Hall</t>
        </is>
      </c>
      <c r="E1619" s="5" t="inlineStr">
        <is>
          <t>Process Water Main</t>
        </is>
      </c>
      <c r="F1619" s="5" t="inlineStr">
        <is>
          <t>2024-05-08 08:00</t>
        </is>
      </c>
      <c r="G1619" s="11" t="n">
        <v>44348.66</v>
      </c>
      <c r="H1619" s="5" t="inlineStr">
        <is>
          <t>m3</t>
        </is>
      </c>
      <c r="I1619" s="5" t="inlineStr">
        <is>
          <t>cumulative</t>
        </is>
      </c>
      <c r="J1619" s="5" t="inlineStr">
        <is>
          <t>IJ</t>
        </is>
      </c>
      <c r="K1619" s="5" t="inlineStr"/>
      <c r="L1619" s="7">
        <f>IFERROR(IF(F1619&lt;F1618,"NEGATIVE",ROUND(F1619-F1618,2)),"")</f>
        <v/>
      </c>
    </row>
    <row r="1620" ht="22" customHeight="1">
      <c r="B1620" s="8" t="inlineStr">
        <is>
          <t>R01616</t>
        </is>
      </c>
      <c r="C1620" s="8" t="inlineStr">
        <is>
          <t>MTR-PRC-005</t>
        </is>
      </c>
      <c r="D1620" s="8" t="inlineStr">
        <is>
          <t>Process Hall</t>
        </is>
      </c>
      <c r="E1620" s="8" t="inlineStr">
        <is>
          <t>Process Water Main</t>
        </is>
      </c>
      <c r="F1620" s="8" t="inlineStr">
        <is>
          <t>2024-05-09 08:00</t>
        </is>
      </c>
      <c r="G1620" s="12" t="n">
        <v>44371.65</v>
      </c>
      <c r="H1620" s="8" t="inlineStr">
        <is>
          <t>m3</t>
        </is>
      </c>
      <c r="I1620" s="8" t="inlineStr">
        <is>
          <t>cumulative</t>
        </is>
      </c>
      <c r="J1620" s="8" t="inlineStr">
        <is>
          <t>KL</t>
        </is>
      </c>
      <c r="K1620" s="8" t="inlineStr"/>
      <c r="L1620" s="10">
        <f>IFERROR(IF(F1620&lt;F1619,"NEGATIVE",ROUND(F1620-F1619,2)),"")</f>
        <v/>
      </c>
    </row>
    <row r="1621" ht="22" customHeight="1">
      <c r="B1621" s="5" t="inlineStr">
        <is>
          <t>R01617</t>
        </is>
      </c>
      <c r="C1621" s="5" t="inlineStr">
        <is>
          <t>MTR-PRC-005</t>
        </is>
      </c>
      <c r="D1621" s="5" t="inlineStr">
        <is>
          <t>Process Hall</t>
        </is>
      </c>
      <c r="E1621" s="5" t="inlineStr">
        <is>
          <t>Process Water Main</t>
        </is>
      </c>
      <c r="F1621" s="5" t="inlineStr">
        <is>
          <t>2024-05-10 08:00</t>
        </is>
      </c>
      <c r="G1621" s="11" t="n">
        <v>44394.37</v>
      </c>
      <c r="H1621" s="5" t="inlineStr">
        <is>
          <t>m3</t>
        </is>
      </c>
      <c r="I1621" s="5" t="inlineStr">
        <is>
          <t>cumulative</t>
        </is>
      </c>
      <c r="J1621" s="5" t="inlineStr">
        <is>
          <t>KL</t>
        </is>
      </c>
      <c r="K1621" s="5" t="inlineStr"/>
      <c r="L1621" s="7">
        <f>IFERROR(IF(F1621&lt;F1620,"NEGATIVE",ROUND(F1621-F1620,2)),"")</f>
        <v/>
      </c>
    </row>
    <row r="1622" ht="22" customHeight="1">
      <c r="B1622" s="8" t="inlineStr">
        <is>
          <t>R01618</t>
        </is>
      </c>
      <c r="C1622" s="8" t="inlineStr">
        <is>
          <t>MTR-PRC-005</t>
        </is>
      </c>
      <c r="D1622" s="8" t="inlineStr">
        <is>
          <t>Process Hall</t>
        </is>
      </c>
      <c r="E1622" s="8" t="inlineStr">
        <is>
          <t>Process Water Main</t>
        </is>
      </c>
      <c r="F1622" s="8" t="inlineStr">
        <is>
          <t>2024-05-11 08:00</t>
        </is>
      </c>
      <c r="G1622" s="12" t="n">
        <v>44413.15</v>
      </c>
      <c r="H1622" s="8" t="inlineStr">
        <is>
          <t>m3</t>
        </is>
      </c>
      <c r="I1622" s="8" t="inlineStr">
        <is>
          <t>cumulative</t>
        </is>
      </c>
      <c r="J1622" s="8" t="inlineStr">
        <is>
          <t>EF</t>
        </is>
      </c>
      <c r="K1622" s="8" t="inlineStr"/>
      <c r="L1622" s="10">
        <f>IFERROR(IF(F1622&lt;F1621,"NEGATIVE",ROUND(F1622-F1621,2)),"")</f>
        <v/>
      </c>
    </row>
    <row r="1623" ht="22" customHeight="1">
      <c r="B1623" s="5" t="inlineStr">
        <is>
          <t>R01619</t>
        </is>
      </c>
      <c r="C1623" s="5" t="inlineStr">
        <is>
          <t>MTR-PRC-005</t>
        </is>
      </c>
      <c r="D1623" s="5" t="inlineStr">
        <is>
          <t>Process Hall</t>
        </is>
      </c>
      <c r="E1623" s="5" t="inlineStr">
        <is>
          <t>Process Water Main</t>
        </is>
      </c>
      <c r="F1623" s="5" t="inlineStr">
        <is>
          <t>2024-05-12 08:00</t>
        </is>
      </c>
      <c r="G1623" s="11" t="n">
        <v>44425.2</v>
      </c>
      <c r="H1623" s="5" t="inlineStr">
        <is>
          <t>m3</t>
        </is>
      </c>
      <c r="I1623" s="5" t="inlineStr">
        <is>
          <t>cumulative</t>
        </is>
      </c>
      <c r="J1623" s="5" t="inlineStr">
        <is>
          <t>GH</t>
        </is>
      </c>
      <c r="K1623" s="5" t="inlineStr"/>
      <c r="L1623" s="7">
        <f>IFERROR(IF(F1623&lt;F1622,"NEGATIVE",ROUND(F1623-F1622,2)),"")</f>
        <v/>
      </c>
    </row>
    <row r="1624" ht="22" customHeight="1">
      <c r="B1624" s="8" t="inlineStr">
        <is>
          <t>R01620</t>
        </is>
      </c>
      <c r="C1624" s="8" t="inlineStr">
        <is>
          <t>MTR-PRC-005</t>
        </is>
      </c>
      <c r="D1624" s="8" t="inlineStr">
        <is>
          <t>Process Hall</t>
        </is>
      </c>
      <c r="E1624" s="8" t="inlineStr">
        <is>
          <t>Process Water Main</t>
        </is>
      </c>
      <c r="F1624" s="8" t="inlineStr">
        <is>
          <t>2024-05-13 08:00</t>
        </is>
      </c>
      <c r="G1624" s="12" t="n">
        <v>44452.78</v>
      </c>
      <c r="H1624" s="8" t="inlineStr">
        <is>
          <t>m3</t>
        </is>
      </c>
      <c r="I1624" s="8" t="inlineStr">
        <is>
          <t>cumulative</t>
        </is>
      </c>
      <c r="J1624" s="8" t="inlineStr">
        <is>
          <t>GH</t>
        </is>
      </c>
      <c r="K1624" s="8" t="inlineStr"/>
      <c r="L1624" s="10">
        <f>IFERROR(IF(F1624&lt;F1623,"NEGATIVE",ROUND(F1624-F1623,2)),"")</f>
        <v/>
      </c>
    </row>
    <row r="1625" ht="22" customHeight="1">
      <c r="B1625" s="5" t="inlineStr">
        <is>
          <t>R01621</t>
        </is>
      </c>
      <c r="C1625" s="5" t="inlineStr">
        <is>
          <t>MTR-PRC-005</t>
        </is>
      </c>
      <c r="D1625" s="5" t="inlineStr">
        <is>
          <t>Process Hall</t>
        </is>
      </c>
      <c r="E1625" s="5" t="inlineStr">
        <is>
          <t>Process Water Main</t>
        </is>
      </c>
      <c r="F1625" s="5" t="inlineStr">
        <is>
          <t>2024-05-14 08:00</t>
        </is>
      </c>
      <c r="G1625" s="11" t="n">
        <v>44477.63</v>
      </c>
      <c r="H1625" s="5" t="inlineStr">
        <is>
          <t>m3</t>
        </is>
      </c>
      <c r="I1625" s="5" t="inlineStr">
        <is>
          <t>cumulative</t>
        </is>
      </c>
      <c r="J1625" s="5" t="inlineStr">
        <is>
          <t>IJ</t>
        </is>
      </c>
      <c r="K1625" s="5" t="inlineStr"/>
      <c r="L1625" s="7">
        <f>IFERROR(IF(F1625&lt;F1624,"NEGATIVE",ROUND(F1625-F1624,2)),"")</f>
        <v/>
      </c>
    </row>
    <row r="1626" ht="22" customHeight="1">
      <c r="B1626" s="8" t="inlineStr">
        <is>
          <t>R01622</t>
        </is>
      </c>
      <c r="C1626" s="8" t="inlineStr">
        <is>
          <t>MTR-PRC-005</t>
        </is>
      </c>
      <c r="D1626" s="8" t="inlineStr">
        <is>
          <t>Process Hall</t>
        </is>
      </c>
      <c r="E1626" s="8" t="inlineStr">
        <is>
          <t>Process Water Main</t>
        </is>
      </c>
      <c r="F1626" s="8" t="inlineStr">
        <is>
          <t>2024-05-15 08:00</t>
        </is>
      </c>
      <c r="G1626" s="12" t="n">
        <v>44506.4</v>
      </c>
      <c r="H1626" s="8" t="inlineStr">
        <is>
          <t>m3</t>
        </is>
      </c>
      <c r="I1626" s="8" t="inlineStr">
        <is>
          <t>cumulative</t>
        </is>
      </c>
      <c r="J1626" s="8" t="inlineStr">
        <is>
          <t>AB</t>
        </is>
      </c>
      <c r="K1626" s="8" t="inlineStr"/>
      <c r="L1626" s="10">
        <f>IFERROR(IF(F1626&lt;F1625,"NEGATIVE",ROUND(F1626-F1625,2)),"")</f>
        <v/>
      </c>
    </row>
    <row r="1627" ht="22" customHeight="1">
      <c r="B1627" s="5" t="inlineStr">
        <is>
          <t>R01623</t>
        </is>
      </c>
      <c r="C1627" s="5" t="inlineStr">
        <is>
          <t>MTR-PRC-005</t>
        </is>
      </c>
      <c r="D1627" s="5" t="inlineStr">
        <is>
          <t>Process Hall</t>
        </is>
      </c>
      <c r="E1627" s="5" t="inlineStr">
        <is>
          <t>Process Water Main</t>
        </is>
      </c>
      <c r="F1627" s="5" t="inlineStr">
        <is>
          <t>2024-05-16 08:00</t>
        </is>
      </c>
      <c r="G1627" s="11" t="n">
        <v>44530.51</v>
      </c>
      <c r="H1627" s="5" t="inlineStr">
        <is>
          <t>m3</t>
        </is>
      </c>
      <c r="I1627" s="5" t="inlineStr">
        <is>
          <t>cumulative</t>
        </is>
      </c>
      <c r="J1627" s="5" t="inlineStr">
        <is>
          <t>IJ</t>
        </is>
      </c>
      <c r="K1627" s="5" t="inlineStr"/>
      <c r="L1627" s="7">
        <f>IFERROR(IF(F1627&lt;F1626,"NEGATIVE",ROUND(F1627-F1626,2)),"")</f>
        <v/>
      </c>
    </row>
    <row r="1628" ht="22" customHeight="1">
      <c r="B1628" s="8" t="inlineStr">
        <is>
          <t>R01624</t>
        </is>
      </c>
      <c r="C1628" s="8" t="inlineStr">
        <is>
          <t>MTR-PRC-005</t>
        </is>
      </c>
      <c r="D1628" s="8" t="inlineStr">
        <is>
          <t>Process Hall</t>
        </is>
      </c>
      <c r="E1628" s="8" t="inlineStr">
        <is>
          <t>Process Water Main</t>
        </is>
      </c>
      <c r="F1628" s="8" t="inlineStr">
        <is>
          <t>2024-05-17 08:00</t>
        </is>
      </c>
      <c r="G1628" s="12" t="n">
        <v>44555.4</v>
      </c>
      <c r="H1628" s="8" t="inlineStr">
        <is>
          <t>m3</t>
        </is>
      </c>
      <c r="I1628" s="8" t="inlineStr">
        <is>
          <t>cumulative</t>
        </is>
      </c>
      <c r="J1628" s="8" t="inlineStr">
        <is>
          <t>GH</t>
        </is>
      </c>
      <c r="K1628" s="8" t="inlineStr"/>
      <c r="L1628" s="10">
        <f>IFERROR(IF(F1628&lt;F1627,"NEGATIVE",ROUND(F1628-F1627,2)),"")</f>
        <v/>
      </c>
    </row>
    <row r="1629" ht="22" customHeight="1">
      <c r="B1629" s="5" t="inlineStr">
        <is>
          <t>R01625</t>
        </is>
      </c>
      <c r="C1629" s="5" t="inlineStr">
        <is>
          <t>MTR-PRC-005</t>
        </is>
      </c>
      <c r="D1629" s="5" t="inlineStr">
        <is>
          <t>Process Hall</t>
        </is>
      </c>
      <c r="E1629" s="5" t="inlineStr">
        <is>
          <t>Process Water Main</t>
        </is>
      </c>
      <c r="F1629" s="5" t="inlineStr">
        <is>
          <t>2024-05-18 08:00</t>
        </is>
      </c>
      <c r="G1629" s="11" t="n">
        <v>44578.97</v>
      </c>
      <c r="H1629" s="5" t="inlineStr">
        <is>
          <t>m3</t>
        </is>
      </c>
      <c r="I1629" s="5" t="inlineStr">
        <is>
          <t>cumulative</t>
        </is>
      </c>
      <c r="J1629" s="5" t="inlineStr">
        <is>
          <t>GH</t>
        </is>
      </c>
      <c r="K1629" s="5" t="inlineStr"/>
      <c r="L1629" s="7">
        <f>IFERROR(IF(F1629&lt;F1628,"NEGATIVE",ROUND(F1629-F1628,2)),"")</f>
        <v/>
      </c>
    </row>
    <row r="1630" ht="22" customHeight="1">
      <c r="B1630" s="8" t="inlineStr">
        <is>
          <t>R01626</t>
        </is>
      </c>
      <c r="C1630" s="8" t="inlineStr">
        <is>
          <t>MTR-PRC-005</t>
        </is>
      </c>
      <c r="D1630" s="8" t="inlineStr">
        <is>
          <t>Process Hall</t>
        </is>
      </c>
      <c r="E1630" s="8" t="inlineStr">
        <is>
          <t>Process Water Main</t>
        </is>
      </c>
      <c r="F1630" s="8" t="inlineStr">
        <is>
          <t>2024-05-19 08:00</t>
        </is>
      </c>
      <c r="G1630" s="12" t="n">
        <v>44592.72</v>
      </c>
      <c r="H1630" s="8" t="inlineStr">
        <is>
          <t>m3</t>
        </is>
      </c>
      <c r="I1630" s="8" t="inlineStr">
        <is>
          <t>cumulative</t>
        </is>
      </c>
      <c r="J1630" s="8" t="inlineStr">
        <is>
          <t>KL</t>
        </is>
      </c>
      <c r="K1630" s="8" t="inlineStr"/>
      <c r="L1630" s="10">
        <f>IFERROR(IF(F1630&lt;F1629,"NEGATIVE",ROUND(F1630-F1629,2)),"")</f>
        <v/>
      </c>
    </row>
    <row r="1631" ht="22" customHeight="1">
      <c r="B1631" s="5" t="inlineStr">
        <is>
          <t>R01627</t>
        </is>
      </c>
      <c r="C1631" s="5" t="inlineStr">
        <is>
          <t>MTR-PRC-005</t>
        </is>
      </c>
      <c r="D1631" s="5" t="inlineStr">
        <is>
          <t>Process Hall</t>
        </is>
      </c>
      <c r="E1631" s="5" t="inlineStr">
        <is>
          <t>Process Water Main</t>
        </is>
      </c>
      <c r="F1631" s="5" t="inlineStr">
        <is>
          <t>2024-05-20 08:00</t>
        </is>
      </c>
      <c r="G1631" s="11" t="n">
        <v>44618.26</v>
      </c>
      <c r="H1631" s="5" t="inlineStr">
        <is>
          <t>m3</t>
        </is>
      </c>
      <c r="I1631" s="5" t="inlineStr">
        <is>
          <t>cumulative</t>
        </is>
      </c>
      <c r="J1631" s="5" t="inlineStr">
        <is>
          <t>AB</t>
        </is>
      </c>
      <c r="K1631" s="5" t="inlineStr"/>
      <c r="L1631" s="7">
        <f>IFERROR(IF(F1631&lt;F1630,"NEGATIVE",ROUND(F1631-F1630,2)),"")</f>
        <v/>
      </c>
    </row>
    <row r="1632" ht="22" customHeight="1">
      <c r="B1632" s="8" t="inlineStr">
        <is>
          <t>R01628</t>
        </is>
      </c>
      <c r="C1632" s="8" t="inlineStr">
        <is>
          <t>MTR-PRC-005</t>
        </is>
      </c>
      <c r="D1632" s="8" t="inlineStr">
        <is>
          <t>Process Hall</t>
        </is>
      </c>
      <c r="E1632" s="8" t="inlineStr">
        <is>
          <t>Process Water Main</t>
        </is>
      </c>
      <c r="F1632" s="8" t="inlineStr">
        <is>
          <t>2024-05-21 08:00</t>
        </is>
      </c>
      <c r="G1632" s="12" t="n">
        <v>44645.02</v>
      </c>
      <c r="H1632" s="8" t="inlineStr">
        <is>
          <t>m3</t>
        </is>
      </c>
      <c r="I1632" s="8" t="inlineStr">
        <is>
          <t>cumulative</t>
        </is>
      </c>
      <c r="J1632" s="8" t="inlineStr">
        <is>
          <t>CD</t>
        </is>
      </c>
      <c r="K1632" s="8" t="inlineStr"/>
      <c r="L1632" s="10">
        <f>IFERROR(IF(F1632&lt;F1631,"NEGATIVE",ROUND(F1632-F1631,2)),"")</f>
        <v/>
      </c>
    </row>
    <row r="1633" ht="22" customHeight="1">
      <c r="B1633" s="5" t="inlineStr">
        <is>
          <t>R01629</t>
        </is>
      </c>
      <c r="C1633" s="5" t="inlineStr">
        <is>
          <t>MTR-PRC-005</t>
        </is>
      </c>
      <c r="D1633" s="5" t="inlineStr">
        <is>
          <t>Process Hall</t>
        </is>
      </c>
      <c r="E1633" s="5" t="inlineStr">
        <is>
          <t>Process Water Main</t>
        </is>
      </c>
      <c r="F1633" s="5" t="inlineStr">
        <is>
          <t>2024-05-22 08:00</t>
        </is>
      </c>
      <c r="G1633" s="11" t="n">
        <v>44671.31</v>
      </c>
      <c r="H1633" s="5" t="inlineStr">
        <is>
          <t>m3</t>
        </is>
      </c>
      <c r="I1633" s="5" t="inlineStr">
        <is>
          <t>cumulative</t>
        </is>
      </c>
      <c r="J1633" s="5" t="inlineStr">
        <is>
          <t>GH</t>
        </is>
      </c>
      <c r="K1633" s="5" t="inlineStr"/>
      <c r="L1633" s="7">
        <f>IFERROR(IF(F1633&lt;F1632,"NEGATIVE",ROUND(F1633-F1632,2)),"")</f>
        <v/>
      </c>
    </row>
    <row r="1634" ht="22" customHeight="1">
      <c r="B1634" s="8" t="inlineStr">
        <is>
          <t>R01630</t>
        </is>
      </c>
      <c r="C1634" s="8" t="inlineStr">
        <is>
          <t>MTR-PRC-005</t>
        </is>
      </c>
      <c r="D1634" s="8" t="inlineStr">
        <is>
          <t>Process Hall</t>
        </is>
      </c>
      <c r="E1634" s="8" t="inlineStr">
        <is>
          <t>Process Water Main</t>
        </is>
      </c>
      <c r="F1634" s="8" t="inlineStr">
        <is>
          <t>2024-05-23 08:00</t>
        </is>
      </c>
      <c r="G1634" s="12" t="n">
        <v>44698.4</v>
      </c>
      <c r="H1634" s="8" t="inlineStr">
        <is>
          <t>m3</t>
        </is>
      </c>
      <c r="I1634" s="8" t="inlineStr">
        <is>
          <t>cumulative</t>
        </is>
      </c>
      <c r="J1634" s="8" t="inlineStr">
        <is>
          <t>AB</t>
        </is>
      </c>
      <c r="K1634" s="8" t="inlineStr"/>
      <c r="L1634" s="10">
        <f>IFERROR(IF(F1634&lt;F1633,"NEGATIVE",ROUND(F1634-F1633,2)),"")</f>
        <v/>
      </c>
    </row>
    <row r="1635" ht="22" customHeight="1">
      <c r="B1635" s="5" t="inlineStr">
        <is>
          <t>R01631</t>
        </is>
      </c>
      <c r="C1635" s="5" t="inlineStr">
        <is>
          <t>MTR-PRC-005</t>
        </is>
      </c>
      <c r="D1635" s="5" t="inlineStr">
        <is>
          <t>Process Hall</t>
        </is>
      </c>
      <c r="E1635" s="5" t="inlineStr">
        <is>
          <t>Process Water Main</t>
        </is>
      </c>
      <c r="F1635" s="5" t="inlineStr">
        <is>
          <t>2024-05-24 08:00</t>
        </is>
      </c>
      <c r="G1635" s="11" t="n">
        <v>44724</v>
      </c>
      <c r="H1635" s="5" t="inlineStr">
        <is>
          <t>m3</t>
        </is>
      </c>
      <c r="I1635" s="5" t="inlineStr">
        <is>
          <t>cumulative</t>
        </is>
      </c>
      <c r="J1635" s="5" t="inlineStr">
        <is>
          <t>KL</t>
        </is>
      </c>
      <c r="K1635" s="5" t="inlineStr"/>
      <c r="L1635" s="7">
        <f>IFERROR(IF(F1635&lt;F1634,"NEGATIVE",ROUND(F1635-F1634,2)),"")</f>
        <v/>
      </c>
    </row>
    <row r="1636" ht="22" customHeight="1">
      <c r="B1636" s="8" t="inlineStr">
        <is>
          <t>R01632</t>
        </is>
      </c>
      <c r="C1636" s="8" t="inlineStr">
        <is>
          <t>MTR-PRC-005</t>
        </is>
      </c>
      <c r="D1636" s="8" t="inlineStr">
        <is>
          <t>Process Hall</t>
        </is>
      </c>
      <c r="E1636" s="8" t="inlineStr">
        <is>
          <t>Process Water Main</t>
        </is>
      </c>
      <c r="F1636" s="8" t="inlineStr">
        <is>
          <t>2024-05-25 08:00</t>
        </is>
      </c>
      <c r="G1636" s="12" t="n">
        <v>44747.37</v>
      </c>
      <c r="H1636" s="8" t="inlineStr">
        <is>
          <t>m3</t>
        </is>
      </c>
      <c r="I1636" s="8" t="inlineStr">
        <is>
          <t>cumulative</t>
        </is>
      </c>
      <c r="J1636" s="8" t="inlineStr">
        <is>
          <t>EF</t>
        </is>
      </c>
      <c r="K1636" s="8" t="inlineStr"/>
      <c r="L1636" s="10">
        <f>IFERROR(IF(F1636&lt;F1635,"NEGATIVE",ROUND(F1636-F1635,2)),"")</f>
        <v/>
      </c>
    </row>
    <row r="1637" ht="22" customHeight="1">
      <c r="B1637" s="5" t="inlineStr">
        <is>
          <t>R01633</t>
        </is>
      </c>
      <c r="C1637" s="5" t="inlineStr">
        <is>
          <t>MTR-PRC-005</t>
        </is>
      </c>
      <c r="D1637" s="5" t="inlineStr">
        <is>
          <t>Process Hall</t>
        </is>
      </c>
      <c r="E1637" s="5" t="inlineStr">
        <is>
          <t>Process Water Main</t>
        </is>
      </c>
      <c r="F1637" s="5" t="inlineStr">
        <is>
          <t>2024-05-26 08:00</t>
        </is>
      </c>
      <c r="G1637" s="11" t="n">
        <v>44762.41</v>
      </c>
      <c r="H1637" s="5" t="inlineStr">
        <is>
          <t>m3</t>
        </is>
      </c>
      <c r="I1637" s="5" t="inlineStr">
        <is>
          <t>cumulative</t>
        </is>
      </c>
      <c r="J1637" s="5" t="inlineStr">
        <is>
          <t>EF</t>
        </is>
      </c>
      <c r="K1637" s="5" t="inlineStr"/>
      <c r="L1637" s="7">
        <f>IFERROR(IF(F1637&lt;F1636,"NEGATIVE",ROUND(F1637-F1636,2)),"")</f>
        <v/>
      </c>
    </row>
    <row r="1638" ht="22" customHeight="1">
      <c r="B1638" s="8" t="inlineStr">
        <is>
          <t>R01634</t>
        </is>
      </c>
      <c r="C1638" s="8" t="inlineStr">
        <is>
          <t>MTR-PRC-005</t>
        </is>
      </c>
      <c r="D1638" s="8" t="inlineStr">
        <is>
          <t>Process Hall</t>
        </is>
      </c>
      <c r="E1638" s="8" t="inlineStr">
        <is>
          <t>Process Water Main</t>
        </is>
      </c>
      <c r="F1638" s="8" t="inlineStr">
        <is>
          <t>2024-05-27 08:00</t>
        </is>
      </c>
      <c r="G1638" s="12" t="n">
        <v>44787.25</v>
      </c>
      <c r="H1638" s="8" t="inlineStr">
        <is>
          <t>m3</t>
        </is>
      </c>
      <c r="I1638" s="8" t="inlineStr">
        <is>
          <t>cumulative</t>
        </is>
      </c>
      <c r="J1638" s="8" t="inlineStr">
        <is>
          <t>IJ</t>
        </is>
      </c>
      <c r="K1638" s="8" t="inlineStr"/>
      <c r="L1638" s="10">
        <f>IFERROR(IF(F1638&lt;F1637,"NEGATIVE",ROUND(F1638-F1637,2)),"")</f>
        <v/>
      </c>
    </row>
    <row r="1639" ht="22" customHeight="1">
      <c r="B1639" s="5" t="inlineStr">
        <is>
          <t>R01635</t>
        </is>
      </c>
      <c r="C1639" s="5" t="inlineStr">
        <is>
          <t>MTR-PRC-005</t>
        </is>
      </c>
      <c r="D1639" s="5" t="inlineStr">
        <is>
          <t>Process Hall</t>
        </is>
      </c>
      <c r="E1639" s="5" t="inlineStr">
        <is>
          <t>Process Water Main</t>
        </is>
      </c>
      <c r="F1639" s="5" t="inlineStr">
        <is>
          <t>2024-05-28 08:00</t>
        </is>
      </c>
      <c r="G1639" s="11" t="n">
        <v>44814.37</v>
      </c>
      <c r="H1639" s="5" t="inlineStr">
        <is>
          <t>m3</t>
        </is>
      </c>
      <c r="I1639" s="5" t="inlineStr">
        <is>
          <t>cumulative</t>
        </is>
      </c>
      <c r="J1639" s="5" t="inlineStr">
        <is>
          <t>EF</t>
        </is>
      </c>
      <c r="K1639" s="5" t="inlineStr"/>
      <c r="L1639" s="7">
        <f>IFERROR(IF(F1639&lt;F1638,"NEGATIVE",ROUND(F1639-F1638,2)),"")</f>
        <v/>
      </c>
    </row>
    <row r="1640" ht="22" customHeight="1">
      <c r="B1640" s="8" t="inlineStr">
        <is>
          <t>R01636</t>
        </is>
      </c>
      <c r="C1640" s="8" t="inlineStr">
        <is>
          <t>MTR-PRC-005</t>
        </is>
      </c>
      <c r="D1640" s="8" t="inlineStr">
        <is>
          <t>Process Hall</t>
        </is>
      </c>
      <c r="E1640" s="8" t="inlineStr">
        <is>
          <t>Process Water Main</t>
        </is>
      </c>
      <c r="F1640" s="8" t="inlineStr">
        <is>
          <t>2024-05-29 08:00</t>
        </is>
      </c>
      <c r="G1640" s="12" t="n">
        <v>44838.49</v>
      </c>
      <c r="H1640" s="8" t="inlineStr">
        <is>
          <t>m3</t>
        </is>
      </c>
      <c r="I1640" s="8" t="inlineStr">
        <is>
          <t>cumulative</t>
        </is>
      </c>
      <c r="J1640" s="8" t="inlineStr">
        <is>
          <t>AB</t>
        </is>
      </c>
      <c r="K1640" s="8" t="inlineStr"/>
      <c r="L1640" s="10">
        <f>IFERROR(IF(F1640&lt;F1639,"NEGATIVE",ROUND(F1640-F1639,2)),"")</f>
        <v/>
      </c>
    </row>
    <row r="1641" ht="22" customHeight="1">
      <c r="B1641" s="5" t="inlineStr">
        <is>
          <t>R01637</t>
        </is>
      </c>
      <c r="C1641" s="5" t="inlineStr">
        <is>
          <t>MTR-PRC-005</t>
        </is>
      </c>
      <c r="D1641" s="5" t="inlineStr">
        <is>
          <t>Process Hall</t>
        </is>
      </c>
      <c r="E1641" s="5" t="inlineStr">
        <is>
          <t>Process Water Main</t>
        </is>
      </c>
      <c r="F1641" s="5" t="inlineStr">
        <is>
          <t>2024-05-30 08:00</t>
        </is>
      </c>
      <c r="G1641" s="11" t="n">
        <v>44865.74</v>
      </c>
      <c r="H1641" s="5" t="inlineStr">
        <is>
          <t>m3</t>
        </is>
      </c>
      <c r="I1641" s="5" t="inlineStr">
        <is>
          <t>cumulative</t>
        </is>
      </c>
      <c r="J1641" s="5" t="inlineStr">
        <is>
          <t>GH</t>
        </is>
      </c>
      <c r="K1641" s="5" t="inlineStr"/>
      <c r="L1641" s="7">
        <f>IFERROR(IF(F1641&lt;F1640,"NEGATIVE",ROUND(F1641-F1640,2)),"")</f>
        <v/>
      </c>
    </row>
    <row r="1642" ht="22" customHeight="1">
      <c r="B1642" s="8" t="inlineStr">
        <is>
          <t>R01638</t>
        </is>
      </c>
      <c r="C1642" s="8" t="inlineStr">
        <is>
          <t>MTR-PRC-005</t>
        </is>
      </c>
      <c r="D1642" s="8" t="inlineStr">
        <is>
          <t>Process Hall</t>
        </is>
      </c>
      <c r="E1642" s="8" t="inlineStr">
        <is>
          <t>Process Water Main</t>
        </is>
      </c>
      <c r="F1642" s="8" t="inlineStr">
        <is>
          <t>2024-05-31 08:00</t>
        </is>
      </c>
      <c r="G1642" s="12" t="n">
        <v>44891.22</v>
      </c>
      <c r="H1642" s="8" t="inlineStr">
        <is>
          <t>m3</t>
        </is>
      </c>
      <c r="I1642" s="8" t="inlineStr">
        <is>
          <t>cumulative</t>
        </is>
      </c>
      <c r="J1642" s="8" t="inlineStr">
        <is>
          <t>EF</t>
        </is>
      </c>
      <c r="K1642" s="8" t="inlineStr"/>
      <c r="L1642" s="10">
        <f>IFERROR(IF(F1642&lt;F1641,"NEGATIVE",ROUND(F1642-F1641,2)),"")</f>
        <v/>
      </c>
    </row>
    <row r="1643" ht="22" customHeight="1">
      <c r="B1643" s="5" t="inlineStr">
        <is>
          <t>R01639</t>
        </is>
      </c>
      <c r="C1643" s="5" t="inlineStr">
        <is>
          <t>MTR-PRC-005</t>
        </is>
      </c>
      <c r="D1643" s="5" t="inlineStr">
        <is>
          <t>Process Hall</t>
        </is>
      </c>
      <c r="E1643" s="5" t="inlineStr">
        <is>
          <t>Process Water Main</t>
        </is>
      </c>
      <c r="F1643" s="5" t="inlineStr">
        <is>
          <t>2024-06-01 08:00</t>
        </is>
      </c>
      <c r="G1643" s="11" t="n">
        <v>44914.25</v>
      </c>
      <c r="H1643" s="5" t="inlineStr">
        <is>
          <t>m3</t>
        </is>
      </c>
      <c r="I1643" s="5" t="inlineStr">
        <is>
          <t>cumulative</t>
        </is>
      </c>
      <c r="J1643" s="5" t="inlineStr">
        <is>
          <t>GH</t>
        </is>
      </c>
      <c r="K1643" s="5" t="inlineStr"/>
      <c r="L1643" s="7">
        <f>IFERROR(IF(F1643&lt;F1642,"NEGATIVE",ROUND(F1643-F1642,2)),"")</f>
        <v/>
      </c>
    </row>
    <row r="1644" ht="22" customHeight="1">
      <c r="B1644" s="8" t="inlineStr">
        <is>
          <t>R01640</t>
        </is>
      </c>
      <c r="C1644" s="8" t="inlineStr">
        <is>
          <t>MTR-PRC-005</t>
        </is>
      </c>
      <c r="D1644" s="8" t="inlineStr">
        <is>
          <t>Process Hall</t>
        </is>
      </c>
      <c r="E1644" s="8" t="inlineStr">
        <is>
          <t>Process Water Main</t>
        </is>
      </c>
      <c r="F1644" s="8" t="inlineStr">
        <is>
          <t>2024-06-02 08:00</t>
        </is>
      </c>
      <c r="G1644" s="12" t="n">
        <v>44926.91</v>
      </c>
      <c r="H1644" s="8" t="inlineStr">
        <is>
          <t>m3</t>
        </is>
      </c>
      <c r="I1644" s="8" t="inlineStr">
        <is>
          <t>cumulative</t>
        </is>
      </c>
      <c r="J1644" s="8" t="inlineStr">
        <is>
          <t>CD</t>
        </is>
      </c>
      <c r="K1644" s="8" t="inlineStr"/>
      <c r="L1644" s="10">
        <f>IFERROR(IF(F1644&lt;F1643,"NEGATIVE",ROUND(F1644-F1643,2)),"")</f>
        <v/>
      </c>
    </row>
    <row r="1645" ht="22" customHeight="1">
      <c r="B1645" s="5" t="inlineStr">
        <is>
          <t>R01641</t>
        </is>
      </c>
      <c r="C1645" s="5" t="inlineStr">
        <is>
          <t>MTR-PRC-005</t>
        </is>
      </c>
      <c r="D1645" s="5" t="inlineStr">
        <is>
          <t>Process Hall</t>
        </is>
      </c>
      <c r="E1645" s="5" t="inlineStr">
        <is>
          <t>Process Water Main</t>
        </is>
      </c>
      <c r="F1645" s="5" t="inlineStr">
        <is>
          <t>2024-06-03 08:00</t>
        </is>
      </c>
      <c r="G1645" s="11" t="n">
        <v>44950.01</v>
      </c>
      <c r="H1645" s="5" t="inlineStr">
        <is>
          <t>m3</t>
        </is>
      </c>
      <c r="I1645" s="5" t="inlineStr">
        <is>
          <t>cumulative</t>
        </is>
      </c>
      <c r="J1645" s="5" t="inlineStr">
        <is>
          <t>IJ</t>
        </is>
      </c>
      <c r="K1645" s="5" t="inlineStr"/>
      <c r="L1645" s="7">
        <f>IFERROR(IF(F1645&lt;F1644,"NEGATIVE",ROUND(F1645-F1644,2)),"")</f>
        <v/>
      </c>
    </row>
    <row r="1646" ht="22" customHeight="1">
      <c r="B1646" s="8" t="inlineStr">
        <is>
          <t>R01642</t>
        </is>
      </c>
      <c r="C1646" s="8" t="inlineStr">
        <is>
          <t>MTR-PRC-005</t>
        </is>
      </c>
      <c r="D1646" s="8" t="inlineStr">
        <is>
          <t>Process Hall</t>
        </is>
      </c>
      <c r="E1646" s="8" t="inlineStr">
        <is>
          <t>Process Water Main</t>
        </is>
      </c>
      <c r="F1646" s="8" t="inlineStr">
        <is>
          <t>2024-06-04 08:00</t>
        </is>
      </c>
      <c r="G1646" s="12" t="n">
        <v>44980.44</v>
      </c>
      <c r="H1646" s="8" t="inlineStr">
        <is>
          <t>m3</t>
        </is>
      </c>
      <c r="I1646" s="8" t="inlineStr">
        <is>
          <t>cumulative</t>
        </is>
      </c>
      <c r="J1646" s="8" t="inlineStr">
        <is>
          <t>CD</t>
        </is>
      </c>
      <c r="K1646" s="8" t="inlineStr"/>
      <c r="L1646" s="10">
        <f>IFERROR(IF(F1646&lt;F1645,"NEGATIVE",ROUND(F1646-F1645,2)),"")</f>
        <v/>
      </c>
    </row>
    <row r="1647" ht="22" customHeight="1">
      <c r="B1647" s="5" t="inlineStr">
        <is>
          <t>R01643</t>
        </is>
      </c>
      <c r="C1647" s="5" t="inlineStr">
        <is>
          <t>MTR-PRC-005</t>
        </is>
      </c>
      <c r="D1647" s="5" t="inlineStr">
        <is>
          <t>Process Hall</t>
        </is>
      </c>
      <c r="E1647" s="5" t="inlineStr">
        <is>
          <t>Process Water Main</t>
        </is>
      </c>
      <c r="F1647" s="5" t="inlineStr">
        <is>
          <t>2024-06-05 08:00</t>
        </is>
      </c>
      <c r="G1647" s="11" t="n">
        <v>45003.54</v>
      </c>
      <c r="H1647" s="5" t="inlineStr">
        <is>
          <t>m3</t>
        </is>
      </c>
      <c r="I1647" s="5" t="inlineStr">
        <is>
          <t>cumulative</t>
        </is>
      </c>
      <c r="J1647" s="5" t="inlineStr">
        <is>
          <t>GH</t>
        </is>
      </c>
      <c r="K1647" s="5" t="inlineStr"/>
      <c r="L1647" s="7">
        <f>IFERROR(IF(F1647&lt;F1646,"NEGATIVE",ROUND(F1647-F1646,2)),"")</f>
        <v/>
      </c>
    </row>
    <row r="1648" ht="22" customHeight="1">
      <c r="B1648" s="8" t="inlineStr">
        <is>
          <t>R01644</t>
        </is>
      </c>
      <c r="C1648" s="8" t="inlineStr">
        <is>
          <t>MTR-PRC-005</t>
        </is>
      </c>
      <c r="D1648" s="8" t="inlineStr">
        <is>
          <t>Process Hall</t>
        </is>
      </c>
      <c r="E1648" s="8" t="inlineStr">
        <is>
          <t>Process Water Main</t>
        </is>
      </c>
      <c r="F1648" s="8" t="inlineStr">
        <is>
          <t>2024-06-06 08:00</t>
        </is>
      </c>
      <c r="G1648" s="12" t="n">
        <v>45029.83</v>
      </c>
      <c r="H1648" s="8" t="inlineStr">
        <is>
          <t>m3</t>
        </is>
      </c>
      <c r="I1648" s="8" t="inlineStr">
        <is>
          <t>cumulative</t>
        </is>
      </c>
      <c r="J1648" s="8" t="inlineStr">
        <is>
          <t>IJ</t>
        </is>
      </c>
      <c r="K1648" s="8" t="inlineStr"/>
      <c r="L1648" s="10">
        <f>IFERROR(IF(F1648&lt;F1647,"NEGATIVE",ROUND(F1648-F1647,2)),"")</f>
        <v/>
      </c>
    </row>
    <row r="1649" ht="22" customHeight="1">
      <c r="B1649" s="5" t="inlineStr">
        <is>
          <t>R01645</t>
        </is>
      </c>
      <c r="C1649" s="5" t="inlineStr">
        <is>
          <t>MTR-PRC-005</t>
        </is>
      </c>
      <c r="D1649" s="5" t="inlineStr">
        <is>
          <t>Process Hall</t>
        </is>
      </c>
      <c r="E1649" s="5" t="inlineStr">
        <is>
          <t>Process Water Main</t>
        </is>
      </c>
      <c r="F1649" s="5" t="inlineStr">
        <is>
          <t>2024-06-07 08:00</t>
        </is>
      </c>
      <c r="G1649" s="11" t="n">
        <v>45053.63</v>
      </c>
      <c r="H1649" s="5" t="inlineStr">
        <is>
          <t>m3</t>
        </is>
      </c>
      <c r="I1649" s="5" t="inlineStr">
        <is>
          <t>cumulative</t>
        </is>
      </c>
      <c r="J1649" s="5" t="inlineStr">
        <is>
          <t>CD</t>
        </is>
      </c>
      <c r="K1649" s="5" t="inlineStr"/>
      <c r="L1649" s="7">
        <f>IFERROR(IF(F1649&lt;F1648,"NEGATIVE",ROUND(F1649-F1648,2)),"")</f>
        <v/>
      </c>
    </row>
    <row r="1650" ht="22" customHeight="1">
      <c r="B1650" s="8" t="inlineStr">
        <is>
          <t>R01646</t>
        </is>
      </c>
      <c r="C1650" s="8" t="inlineStr">
        <is>
          <t>MTR-PRC-005</t>
        </is>
      </c>
      <c r="D1650" s="8" t="inlineStr">
        <is>
          <t>Process Hall</t>
        </is>
      </c>
      <c r="E1650" s="8" t="inlineStr">
        <is>
          <t>Process Water Main</t>
        </is>
      </c>
      <c r="F1650" s="8" t="inlineStr">
        <is>
          <t>2024-06-08 08:00</t>
        </is>
      </c>
      <c r="G1650" s="12" t="n">
        <v>45072.72</v>
      </c>
      <c r="H1650" s="8" t="inlineStr">
        <is>
          <t>m3</t>
        </is>
      </c>
      <c r="I1650" s="8" t="inlineStr">
        <is>
          <t>cumulative</t>
        </is>
      </c>
      <c r="J1650" s="8" t="inlineStr">
        <is>
          <t>EF</t>
        </is>
      </c>
      <c r="K1650" s="8" t="inlineStr"/>
      <c r="L1650" s="10">
        <f>IFERROR(IF(F1650&lt;F1649,"NEGATIVE",ROUND(F1650-F1649,2)),"")</f>
        <v/>
      </c>
    </row>
    <row r="1651" ht="22" customHeight="1">
      <c r="B1651" s="5" t="inlineStr">
        <is>
          <t>R01647</t>
        </is>
      </c>
      <c r="C1651" s="5" t="inlineStr">
        <is>
          <t>MTR-PRC-005</t>
        </is>
      </c>
      <c r="D1651" s="5" t="inlineStr">
        <is>
          <t>Process Hall</t>
        </is>
      </c>
      <c r="E1651" s="5" t="inlineStr">
        <is>
          <t>Process Water Main</t>
        </is>
      </c>
      <c r="F1651" s="5" t="inlineStr">
        <is>
          <t>2024-06-09 08:00</t>
        </is>
      </c>
      <c r="G1651" s="11" t="n">
        <v>45085.96</v>
      </c>
      <c r="H1651" s="5" t="inlineStr">
        <is>
          <t>m3</t>
        </is>
      </c>
      <c r="I1651" s="5" t="inlineStr">
        <is>
          <t>cumulative</t>
        </is>
      </c>
      <c r="J1651" s="5" t="inlineStr">
        <is>
          <t>IJ</t>
        </is>
      </c>
      <c r="K1651" s="5" t="inlineStr"/>
      <c r="L1651" s="7">
        <f>IFERROR(IF(F1651&lt;F1650,"NEGATIVE",ROUND(F1651-F1650,2)),"")</f>
        <v/>
      </c>
    </row>
    <row r="1652" ht="22" customHeight="1">
      <c r="B1652" s="8" t="inlineStr">
        <is>
          <t>R01648</t>
        </is>
      </c>
      <c r="C1652" s="8" t="inlineStr">
        <is>
          <t>MTR-PRC-005</t>
        </is>
      </c>
      <c r="D1652" s="8" t="inlineStr">
        <is>
          <t>Process Hall</t>
        </is>
      </c>
      <c r="E1652" s="8" t="inlineStr">
        <is>
          <t>Process Water Main</t>
        </is>
      </c>
      <c r="F1652" s="8" t="inlineStr">
        <is>
          <t>2024-06-10 08:00</t>
        </is>
      </c>
      <c r="G1652" s="12" t="n">
        <v>45108.78</v>
      </c>
      <c r="H1652" s="8" t="inlineStr">
        <is>
          <t>m3</t>
        </is>
      </c>
      <c r="I1652" s="8" t="inlineStr">
        <is>
          <t>cumulative</t>
        </is>
      </c>
      <c r="J1652" s="8" t="inlineStr">
        <is>
          <t>KL</t>
        </is>
      </c>
      <c r="K1652" s="8" t="inlineStr"/>
      <c r="L1652" s="10">
        <f>IFERROR(IF(F1652&lt;F1651,"NEGATIVE",ROUND(F1652-F1651,2)),"")</f>
        <v/>
      </c>
    </row>
    <row r="1653" ht="22" customHeight="1">
      <c r="B1653" s="5" t="inlineStr">
        <is>
          <t>R01649</t>
        </is>
      </c>
      <c r="C1653" s="5" t="inlineStr">
        <is>
          <t>MTR-PRC-005</t>
        </is>
      </c>
      <c r="D1653" s="5" t="inlineStr">
        <is>
          <t>Process Hall</t>
        </is>
      </c>
      <c r="E1653" s="5" t="inlineStr">
        <is>
          <t>Process Water Main</t>
        </is>
      </c>
      <c r="F1653" s="5" t="inlineStr">
        <is>
          <t>2024-06-11 08:00</t>
        </is>
      </c>
      <c r="G1653" s="11" t="n">
        <v>45132.62</v>
      </c>
      <c r="H1653" s="5" t="inlineStr">
        <is>
          <t>m3</t>
        </is>
      </c>
      <c r="I1653" s="5" t="inlineStr">
        <is>
          <t>cumulative</t>
        </is>
      </c>
      <c r="J1653" s="5" t="inlineStr">
        <is>
          <t>GH</t>
        </is>
      </c>
      <c r="K1653" s="5" t="inlineStr"/>
      <c r="L1653" s="7">
        <f>IFERROR(IF(F1653&lt;F1652,"NEGATIVE",ROUND(F1653-F1652,2)),"")</f>
        <v/>
      </c>
    </row>
    <row r="1654" ht="22" customHeight="1">
      <c r="B1654" s="8" t="inlineStr">
        <is>
          <t>R01650</t>
        </is>
      </c>
      <c r="C1654" s="8" t="inlineStr">
        <is>
          <t>MTR-PRC-005</t>
        </is>
      </c>
      <c r="D1654" s="8" t="inlineStr">
        <is>
          <t>Process Hall</t>
        </is>
      </c>
      <c r="E1654" s="8" t="inlineStr">
        <is>
          <t>Process Water Main</t>
        </is>
      </c>
      <c r="F1654" s="8" t="inlineStr">
        <is>
          <t>2024-06-12 08:00</t>
        </is>
      </c>
      <c r="G1654" s="12" t="n">
        <v>45161.26</v>
      </c>
      <c r="H1654" s="8" t="inlineStr">
        <is>
          <t>m3</t>
        </is>
      </c>
      <c r="I1654" s="8" t="inlineStr">
        <is>
          <t>cumulative</t>
        </is>
      </c>
      <c r="J1654" s="8" t="inlineStr">
        <is>
          <t>IJ</t>
        </is>
      </c>
      <c r="K1654" s="8" t="inlineStr"/>
      <c r="L1654" s="10">
        <f>IFERROR(IF(F1654&lt;F1653,"NEGATIVE",ROUND(F1654-F1653,2)),"")</f>
        <v/>
      </c>
    </row>
    <row r="1655" ht="22" customHeight="1">
      <c r="B1655" s="5" t="inlineStr">
        <is>
          <t>R01651</t>
        </is>
      </c>
      <c r="C1655" s="5" t="inlineStr">
        <is>
          <t>MTR-PRC-005</t>
        </is>
      </c>
      <c r="D1655" s="5" t="inlineStr">
        <is>
          <t>Process Hall</t>
        </is>
      </c>
      <c r="E1655" s="5" t="inlineStr">
        <is>
          <t>Process Water Main</t>
        </is>
      </c>
      <c r="F1655" s="5" t="inlineStr">
        <is>
          <t>2024-06-13 08:00</t>
        </is>
      </c>
      <c r="G1655" s="11" t="n">
        <v>45190.73</v>
      </c>
      <c r="H1655" s="5" t="inlineStr">
        <is>
          <t>m3</t>
        </is>
      </c>
      <c r="I1655" s="5" t="inlineStr">
        <is>
          <t>cumulative</t>
        </is>
      </c>
      <c r="J1655" s="5" t="inlineStr">
        <is>
          <t>GH</t>
        </is>
      </c>
      <c r="K1655" s="5" t="inlineStr"/>
      <c r="L1655" s="7">
        <f>IFERROR(IF(F1655&lt;F1654,"NEGATIVE",ROUND(F1655-F1654,2)),"")</f>
        <v/>
      </c>
    </row>
    <row r="1656" ht="22" customHeight="1">
      <c r="B1656" s="8" t="inlineStr">
        <is>
          <t>R01652</t>
        </is>
      </c>
      <c r="C1656" s="8" t="inlineStr">
        <is>
          <t>MTR-PRC-005</t>
        </is>
      </c>
      <c r="D1656" s="8" t="inlineStr">
        <is>
          <t>Process Hall</t>
        </is>
      </c>
      <c r="E1656" s="8" t="inlineStr">
        <is>
          <t>Process Water Main</t>
        </is>
      </c>
      <c r="F1656" s="8" t="inlineStr">
        <is>
          <t>2024-06-14 08:00</t>
        </is>
      </c>
      <c r="G1656" s="12" t="n">
        <v>45217.29</v>
      </c>
      <c r="H1656" s="8" t="inlineStr">
        <is>
          <t>m3</t>
        </is>
      </c>
      <c r="I1656" s="8" t="inlineStr">
        <is>
          <t>cumulative</t>
        </is>
      </c>
      <c r="J1656" s="8" t="inlineStr">
        <is>
          <t>EF</t>
        </is>
      </c>
      <c r="K1656" s="8" t="inlineStr"/>
      <c r="L1656" s="10">
        <f>IFERROR(IF(F1656&lt;F1655,"NEGATIVE",ROUND(F1656-F1655,2)),"")</f>
        <v/>
      </c>
    </row>
    <row r="1657" ht="22" customHeight="1">
      <c r="B1657" s="5" t="inlineStr">
        <is>
          <t>R01653</t>
        </is>
      </c>
      <c r="C1657" s="5" t="inlineStr">
        <is>
          <t>MTR-PRC-005</t>
        </is>
      </c>
      <c r="D1657" s="5" t="inlineStr">
        <is>
          <t>Process Hall</t>
        </is>
      </c>
      <c r="E1657" s="5" t="inlineStr">
        <is>
          <t>Process Water Main</t>
        </is>
      </c>
      <c r="F1657" s="5" t="inlineStr">
        <is>
          <t>2024-06-15 08:00</t>
        </is>
      </c>
      <c r="G1657" s="11" t="n">
        <v>45238.76</v>
      </c>
      <c r="H1657" s="5" t="inlineStr">
        <is>
          <t>m3</t>
        </is>
      </c>
      <c r="I1657" s="5" t="inlineStr">
        <is>
          <t>cumulative</t>
        </is>
      </c>
      <c r="J1657" s="5" t="inlineStr">
        <is>
          <t>KL</t>
        </is>
      </c>
      <c r="K1657" s="5" t="inlineStr"/>
      <c r="L1657" s="7">
        <f>IFERROR(IF(F1657&lt;F1656,"NEGATIVE",ROUND(F1657-F1656,2)),"")</f>
        <v/>
      </c>
    </row>
    <row r="1658" ht="22" customHeight="1">
      <c r="B1658" s="8" t="inlineStr">
        <is>
          <t>R01654</t>
        </is>
      </c>
      <c r="C1658" s="8" t="inlineStr">
        <is>
          <t>MTR-PRC-005</t>
        </is>
      </c>
      <c r="D1658" s="8" t="inlineStr">
        <is>
          <t>Process Hall</t>
        </is>
      </c>
      <c r="E1658" s="8" t="inlineStr">
        <is>
          <t>Process Water Main</t>
        </is>
      </c>
      <c r="F1658" s="8" t="inlineStr">
        <is>
          <t>2024-06-16 08:00</t>
        </is>
      </c>
      <c r="G1658" s="12" t="n">
        <v>45250.8</v>
      </c>
      <c r="H1658" s="8" t="inlineStr">
        <is>
          <t>m3</t>
        </is>
      </c>
      <c r="I1658" s="8" t="inlineStr">
        <is>
          <t>cumulative</t>
        </is>
      </c>
      <c r="J1658" s="8" t="inlineStr">
        <is>
          <t>IJ</t>
        </is>
      </c>
      <c r="K1658" s="8" t="inlineStr"/>
      <c r="L1658" s="10">
        <f>IFERROR(IF(F1658&lt;F1657,"NEGATIVE",ROUND(F1658-F1657,2)),"")</f>
        <v/>
      </c>
    </row>
    <row r="1659" ht="22" customHeight="1">
      <c r="B1659" s="5" t="inlineStr">
        <is>
          <t>R01655</t>
        </is>
      </c>
      <c r="C1659" s="5" t="inlineStr">
        <is>
          <t>MTR-PRC-005</t>
        </is>
      </c>
      <c r="D1659" s="5" t="inlineStr">
        <is>
          <t>Process Hall</t>
        </is>
      </c>
      <c r="E1659" s="5" t="inlineStr">
        <is>
          <t>Process Water Main</t>
        </is>
      </c>
      <c r="F1659" s="5" t="inlineStr">
        <is>
          <t>2024-06-17 08:00</t>
        </is>
      </c>
      <c r="G1659" s="11" t="n">
        <v>45274.41</v>
      </c>
      <c r="H1659" s="5" t="inlineStr">
        <is>
          <t>m3</t>
        </is>
      </c>
      <c r="I1659" s="5" t="inlineStr">
        <is>
          <t>cumulative</t>
        </is>
      </c>
      <c r="J1659" s="5" t="inlineStr">
        <is>
          <t>AB</t>
        </is>
      </c>
      <c r="K1659" s="5" t="inlineStr"/>
      <c r="L1659" s="7">
        <f>IFERROR(IF(F1659&lt;F1658,"NEGATIVE",ROUND(F1659-F1658,2)),"")</f>
        <v/>
      </c>
    </row>
    <row r="1660" ht="22" customHeight="1">
      <c r="B1660" s="8" t="inlineStr">
        <is>
          <t>R01656</t>
        </is>
      </c>
      <c r="C1660" s="8" t="inlineStr">
        <is>
          <t>MTR-PRC-005</t>
        </is>
      </c>
      <c r="D1660" s="8" t="inlineStr">
        <is>
          <t>Process Hall</t>
        </is>
      </c>
      <c r="E1660" s="8" t="inlineStr">
        <is>
          <t>Process Water Main</t>
        </is>
      </c>
      <c r="F1660" s="8" t="inlineStr">
        <is>
          <t>2024-06-18 08:00</t>
        </is>
      </c>
      <c r="G1660" s="12" t="n">
        <v>45297.3</v>
      </c>
      <c r="H1660" s="8" t="inlineStr">
        <is>
          <t>m3</t>
        </is>
      </c>
      <c r="I1660" s="8" t="inlineStr">
        <is>
          <t>cumulative</t>
        </is>
      </c>
      <c r="J1660" s="8" t="inlineStr">
        <is>
          <t>KL</t>
        </is>
      </c>
      <c r="K1660" s="8" t="inlineStr"/>
      <c r="L1660" s="10">
        <f>IFERROR(IF(F1660&lt;F1659,"NEGATIVE",ROUND(F1660-F1659,2)),"")</f>
        <v/>
      </c>
    </row>
    <row r="1661" ht="22" customHeight="1">
      <c r="B1661" s="5" t="inlineStr">
        <is>
          <t>R01657</t>
        </is>
      </c>
      <c r="C1661" s="5" t="inlineStr">
        <is>
          <t>MTR-PRC-005</t>
        </is>
      </c>
      <c r="D1661" s="5" t="inlineStr">
        <is>
          <t>Process Hall</t>
        </is>
      </c>
      <c r="E1661" s="5" t="inlineStr">
        <is>
          <t>Process Water Main</t>
        </is>
      </c>
      <c r="F1661" s="5" t="inlineStr">
        <is>
          <t>2024-06-19 08:00</t>
        </is>
      </c>
      <c r="G1661" s="11" t="n">
        <v>45327.77</v>
      </c>
      <c r="H1661" s="5" t="inlineStr">
        <is>
          <t>m3</t>
        </is>
      </c>
      <c r="I1661" s="5" t="inlineStr">
        <is>
          <t>cumulative</t>
        </is>
      </c>
      <c r="J1661" s="5" t="inlineStr">
        <is>
          <t>KL</t>
        </is>
      </c>
      <c r="K1661" s="5" t="inlineStr"/>
      <c r="L1661" s="7">
        <f>IFERROR(IF(F1661&lt;F1660,"NEGATIVE",ROUND(F1661-F1660,2)),"")</f>
        <v/>
      </c>
    </row>
    <row r="1662" ht="22" customHeight="1">
      <c r="B1662" s="8" t="inlineStr">
        <is>
          <t>R01658</t>
        </is>
      </c>
      <c r="C1662" s="8" t="inlineStr">
        <is>
          <t>MTR-PRC-005</t>
        </is>
      </c>
      <c r="D1662" s="8" t="inlineStr">
        <is>
          <t>Process Hall</t>
        </is>
      </c>
      <c r="E1662" s="8" t="inlineStr">
        <is>
          <t>Process Water Main</t>
        </is>
      </c>
      <c r="F1662" s="8" t="inlineStr">
        <is>
          <t>2024-06-20 08:00</t>
        </is>
      </c>
      <c r="G1662" s="12" t="n">
        <v>45352.99</v>
      </c>
      <c r="H1662" s="8" t="inlineStr">
        <is>
          <t>m3</t>
        </is>
      </c>
      <c r="I1662" s="8" t="inlineStr">
        <is>
          <t>cumulative</t>
        </is>
      </c>
      <c r="J1662" s="8" t="inlineStr">
        <is>
          <t>AB</t>
        </is>
      </c>
      <c r="K1662" s="8" t="inlineStr"/>
      <c r="L1662" s="10">
        <f>IFERROR(IF(F1662&lt;F1661,"NEGATIVE",ROUND(F1662-F1661,2)),"")</f>
        <v/>
      </c>
    </row>
    <row r="1663" ht="22" customHeight="1">
      <c r="B1663" s="5" t="inlineStr">
        <is>
          <t>R01659</t>
        </is>
      </c>
      <c r="C1663" s="5" t="inlineStr">
        <is>
          <t>MTR-PRC-005</t>
        </is>
      </c>
      <c r="D1663" s="5" t="inlineStr">
        <is>
          <t>Process Hall</t>
        </is>
      </c>
      <c r="E1663" s="5" t="inlineStr">
        <is>
          <t>Process Water Main</t>
        </is>
      </c>
      <c r="F1663" s="5" t="inlineStr">
        <is>
          <t>2024-06-21 08:00</t>
        </is>
      </c>
      <c r="G1663" s="11" t="n">
        <v>45381.81</v>
      </c>
      <c r="H1663" s="5" t="inlineStr">
        <is>
          <t>m3</t>
        </is>
      </c>
      <c r="I1663" s="5" t="inlineStr">
        <is>
          <t>cumulative</t>
        </is>
      </c>
      <c r="J1663" s="5" t="inlineStr">
        <is>
          <t>IJ</t>
        </is>
      </c>
      <c r="K1663" s="5" t="inlineStr"/>
      <c r="L1663" s="7">
        <f>IFERROR(IF(F1663&lt;F1662,"NEGATIVE",ROUND(F1663-F1662,2)),"")</f>
        <v/>
      </c>
    </row>
    <row r="1664" ht="22" customHeight="1">
      <c r="B1664" s="8" t="inlineStr">
        <is>
          <t>R01660</t>
        </is>
      </c>
      <c r="C1664" s="8" t="inlineStr">
        <is>
          <t>MTR-PRC-005</t>
        </is>
      </c>
      <c r="D1664" s="8" t="inlineStr">
        <is>
          <t>Process Hall</t>
        </is>
      </c>
      <c r="E1664" s="8" t="inlineStr">
        <is>
          <t>Process Water Main</t>
        </is>
      </c>
      <c r="F1664" s="8" t="inlineStr">
        <is>
          <t>2024-06-22 08:00</t>
        </is>
      </c>
      <c r="G1664" s="12" t="n">
        <v>45401.65</v>
      </c>
      <c r="H1664" s="8" t="inlineStr">
        <is>
          <t>m3</t>
        </is>
      </c>
      <c r="I1664" s="8" t="inlineStr">
        <is>
          <t>cumulative</t>
        </is>
      </c>
      <c r="J1664" s="8" t="inlineStr">
        <is>
          <t>IJ</t>
        </is>
      </c>
      <c r="K1664" s="8" t="inlineStr"/>
      <c r="L1664" s="10">
        <f>IFERROR(IF(F1664&lt;F1663,"NEGATIVE",ROUND(F1664-F1663,2)),"")</f>
        <v/>
      </c>
    </row>
    <row r="1665" ht="22" customHeight="1">
      <c r="B1665" s="5" t="inlineStr">
        <is>
          <t>R01661</t>
        </is>
      </c>
      <c r="C1665" s="5" t="inlineStr">
        <is>
          <t>MTR-PRC-005</t>
        </is>
      </c>
      <c r="D1665" s="5" t="inlineStr">
        <is>
          <t>Process Hall</t>
        </is>
      </c>
      <c r="E1665" s="5" t="inlineStr">
        <is>
          <t>Process Water Main</t>
        </is>
      </c>
      <c r="F1665" s="5" t="inlineStr">
        <is>
          <t>2024-06-23 08:00</t>
        </is>
      </c>
      <c r="G1665" s="11" t="n">
        <v>45417.32</v>
      </c>
      <c r="H1665" s="5" t="inlineStr">
        <is>
          <t>m3</t>
        </is>
      </c>
      <c r="I1665" s="5" t="inlineStr">
        <is>
          <t>cumulative</t>
        </is>
      </c>
      <c r="J1665" s="5" t="inlineStr">
        <is>
          <t>KL</t>
        </is>
      </c>
      <c r="K1665" s="5" t="inlineStr"/>
      <c r="L1665" s="7">
        <f>IFERROR(IF(F1665&lt;F1664,"NEGATIVE",ROUND(F1665-F1664,2)),"")</f>
        <v/>
      </c>
    </row>
    <row r="1666" ht="22" customHeight="1">
      <c r="B1666" s="8" t="inlineStr">
        <is>
          <t>R01662</t>
        </is>
      </c>
      <c r="C1666" s="8" t="inlineStr">
        <is>
          <t>MTR-PRC-005</t>
        </is>
      </c>
      <c r="D1666" s="8" t="inlineStr">
        <is>
          <t>Process Hall</t>
        </is>
      </c>
      <c r="E1666" s="8" t="inlineStr">
        <is>
          <t>Process Water Main</t>
        </is>
      </c>
      <c r="F1666" s="8" t="inlineStr">
        <is>
          <t>2024-06-24 08:00</t>
        </is>
      </c>
      <c r="G1666" s="12" t="n">
        <v>45443.56</v>
      </c>
      <c r="H1666" s="8" t="inlineStr">
        <is>
          <t>m3</t>
        </is>
      </c>
      <c r="I1666" s="8" t="inlineStr">
        <is>
          <t>cumulative</t>
        </is>
      </c>
      <c r="J1666" s="8" t="inlineStr">
        <is>
          <t>IJ</t>
        </is>
      </c>
      <c r="K1666" s="8" t="inlineStr"/>
      <c r="L1666" s="10">
        <f>IFERROR(IF(F1666&lt;F1665,"NEGATIVE",ROUND(F1666-F1665,2)),"")</f>
        <v/>
      </c>
    </row>
    <row r="1667" ht="22" customHeight="1">
      <c r="B1667" s="5" t="inlineStr">
        <is>
          <t>R01663</t>
        </is>
      </c>
      <c r="C1667" s="5" t="inlineStr">
        <is>
          <t>MTR-PRC-005</t>
        </is>
      </c>
      <c r="D1667" s="5" t="inlineStr">
        <is>
          <t>Process Hall</t>
        </is>
      </c>
      <c r="E1667" s="5" t="inlineStr">
        <is>
          <t>Process Water Main</t>
        </is>
      </c>
      <c r="F1667" s="5" t="inlineStr">
        <is>
          <t>2024-06-25 08:00</t>
        </is>
      </c>
      <c r="G1667" s="11" t="n">
        <v>45468.36</v>
      </c>
      <c r="H1667" s="5" t="inlineStr">
        <is>
          <t>m3</t>
        </is>
      </c>
      <c r="I1667" s="5" t="inlineStr">
        <is>
          <t>cumulative</t>
        </is>
      </c>
      <c r="J1667" s="5" t="inlineStr">
        <is>
          <t>EF</t>
        </is>
      </c>
      <c r="K1667" s="5" t="inlineStr"/>
      <c r="L1667" s="7">
        <f>IFERROR(IF(F1667&lt;F1666,"NEGATIVE",ROUND(F1667-F1666,2)),"")</f>
        <v/>
      </c>
    </row>
    <row r="1668" ht="22" customHeight="1">
      <c r="B1668" s="8" t="inlineStr">
        <is>
          <t>R01664</t>
        </is>
      </c>
      <c r="C1668" s="8" t="inlineStr">
        <is>
          <t>MTR-PRC-005</t>
        </is>
      </c>
      <c r="D1668" s="8" t="inlineStr">
        <is>
          <t>Process Hall</t>
        </is>
      </c>
      <c r="E1668" s="8" t="inlineStr">
        <is>
          <t>Process Water Main</t>
        </is>
      </c>
      <c r="F1668" s="8" t="inlineStr">
        <is>
          <t>2024-06-26 08:00</t>
        </is>
      </c>
      <c r="G1668" s="12" t="n">
        <v>45493.12</v>
      </c>
      <c r="H1668" s="8" t="inlineStr">
        <is>
          <t>m3</t>
        </is>
      </c>
      <c r="I1668" s="8" t="inlineStr">
        <is>
          <t>cumulative</t>
        </is>
      </c>
      <c r="J1668" s="8" t="inlineStr">
        <is>
          <t>AB</t>
        </is>
      </c>
      <c r="K1668" s="8" t="inlineStr"/>
      <c r="L1668" s="10">
        <f>IFERROR(IF(F1668&lt;F1667,"NEGATIVE",ROUND(F1668-F1667,2)),"")</f>
        <v/>
      </c>
    </row>
    <row r="1669" ht="22" customHeight="1">
      <c r="B1669" s="5" t="inlineStr">
        <is>
          <t>R01665</t>
        </is>
      </c>
      <c r="C1669" s="5" t="inlineStr">
        <is>
          <t>MTR-PRC-005</t>
        </is>
      </c>
      <c r="D1669" s="5" t="inlineStr">
        <is>
          <t>Process Hall</t>
        </is>
      </c>
      <c r="E1669" s="5" t="inlineStr">
        <is>
          <t>Process Water Main</t>
        </is>
      </c>
      <c r="F1669" s="5" t="inlineStr">
        <is>
          <t>2024-06-27 08:00</t>
        </is>
      </c>
      <c r="G1669" s="11" t="n">
        <v>45518.46</v>
      </c>
      <c r="H1669" s="5" t="inlineStr">
        <is>
          <t>m3</t>
        </is>
      </c>
      <c r="I1669" s="5" t="inlineStr">
        <is>
          <t>cumulative</t>
        </is>
      </c>
      <c r="J1669" s="5" t="inlineStr">
        <is>
          <t>GH</t>
        </is>
      </c>
      <c r="K1669" s="5" t="inlineStr"/>
      <c r="L1669" s="7">
        <f>IFERROR(IF(F1669&lt;F1668,"NEGATIVE",ROUND(F1669-F1668,2)),"")</f>
        <v/>
      </c>
    </row>
    <row r="1670" ht="22" customHeight="1">
      <c r="B1670" s="8" t="inlineStr">
        <is>
          <t>R01666</t>
        </is>
      </c>
      <c r="C1670" s="8" t="inlineStr">
        <is>
          <t>MTR-PRC-005</t>
        </is>
      </c>
      <c r="D1670" s="8" t="inlineStr">
        <is>
          <t>Process Hall</t>
        </is>
      </c>
      <c r="E1670" s="8" t="inlineStr">
        <is>
          <t>Process Water Main</t>
        </is>
      </c>
      <c r="F1670" s="8" t="inlineStr">
        <is>
          <t>2024-06-28 08:00</t>
        </is>
      </c>
      <c r="G1670" s="12" t="n">
        <v>45545.95</v>
      </c>
      <c r="H1670" s="8" t="inlineStr">
        <is>
          <t>m3</t>
        </is>
      </c>
      <c r="I1670" s="8" t="inlineStr">
        <is>
          <t>cumulative</t>
        </is>
      </c>
      <c r="J1670" s="8" t="inlineStr">
        <is>
          <t>IJ</t>
        </is>
      </c>
      <c r="K1670" s="8" t="inlineStr"/>
      <c r="L1670" s="10">
        <f>IFERROR(IF(F1670&lt;F1669,"NEGATIVE",ROUND(F1670-F1669,2)),"")</f>
        <v/>
      </c>
    </row>
    <row r="1671" ht="22" customHeight="1">
      <c r="B1671" s="5" t="inlineStr">
        <is>
          <t>R01667</t>
        </is>
      </c>
      <c r="C1671" s="5" t="inlineStr">
        <is>
          <t>MTR-PRC-005</t>
        </is>
      </c>
      <c r="D1671" s="5" t="inlineStr">
        <is>
          <t>Process Hall</t>
        </is>
      </c>
      <c r="E1671" s="5" t="inlineStr">
        <is>
          <t>Process Water Main</t>
        </is>
      </c>
      <c r="F1671" s="5" t="inlineStr">
        <is>
          <t>2024-06-29 08:00</t>
        </is>
      </c>
      <c r="G1671" s="11" t="n">
        <v>45564.88</v>
      </c>
      <c r="H1671" s="5" t="inlineStr">
        <is>
          <t>m3</t>
        </is>
      </c>
      <c r="I1671" s="5" t="inlineStr">
        <is>
          <t>cumulative</t>
        </is>
      </c>
      <c r="J1671" s="5" t="inlineStr">
        <is>
          <t>CD</t>
        </is>
      </c>
      <c r="K1671" s="5" t="inlineStr"/>
      <c r="L1671" s="7">
        <f>IFERROR(IF(F1671&lt;F1670,"NEGATIVE",ROUND(F1671-F1670,2)),"")</f>
        <v/>
      </c>
    </row>
    <row r="1672" ht="22" customHeight="1">
      <c r="B1672" s="8" t="inlineStr">
        <is>
          <t>R01668</t>
        </is>
      </c>
      <c r="C1672" s="8" t="inlineStr">
        <is>
          <t>MTR-PRC-005</t>
        </is>
      </c>
      <c r="D1672" s="8" t="inlineStr">
        <is>
          <t>Process Hall</t>
        </is>
      </c>
      <c r="E1672" s="8" t="inlineStr">
        <is>
          <t>Process Water Main</t>
        </is>
      </c>
      <c r="F1672" s="8" t="inlineStr">
        <is>
          <t>2024-06-30 08:00</t>
        </is>
      </c>
      <c r="G1672" s="12" t="n">
        <v>45578.05</v>
      </c>
      <c r="H1672" s="8" t="inlineStr">
        <is>
          <t>m3</t>
        </is>
      </c>
      <c r="I1672" s="8" t="inlineStr">
        <is>
          <t>cumulative</t>
        </is>
      </c>
      <c r="J1672" s="8" t="inlineStr">
        <is>
          <t>KL</t>
        </is>
      </c>
      <c r="K1672" s="8" t="inlineStr"/>
      <c r="L1672" s="10">
        <f>IFERROR(IF(F1672&lt;F1671,"NEGATIVE",ROUND(F1672-F1671,2)),"")</f>
        <v/>
      </c>
    </row>
    <row r="1673" ht="22" customHeight="1">
      <c r="B1673" s="5" t="inlineStr">
        <is>
          <t>R01669</t>
        </is>
      </c>
      <c r="C1673" s="5" t="inlineStr">
        <is>
          <t>MTR-PRC-005</t>
        </is>
      </c>
      <c r="D1673" s="5" t="inlineStr">
        <is>
          <t>Process Hall</t>
        </is>
      </c>
      <c r="E1673" s="5" t="inlineStr">
        <is>
          <t>Process Water Main</t>
        </is>
      </c>
      <c r="F1673" s="5" t="inlineStr">
        <is>
          <t>2024-07-01 08:00</t>
        </is>
      </c>
      <c r="G1673" s="11" t="n">
        <v>45604.64</v>
      </c>
      <c r="H1673" s="5" t="inlineStr">
        <is>
          <t>m3</t>
        </is>
      </c>
      <c r="I1673" s="5" t="inlineStr">
        <is>
          <t>cumulative</t>
        </is>
      </c>
      <c r="J1673" s="5" t="inlineStr">
        <is>
          <t>CD</t>
        </is>
      </c>
      <c r="K1673" s="5" t="inlineStr"/>
      <c r="L1673" s="7">
        <f>IFERROR(IF(F1673&lt;F1672,"NEGATIVE",ROUND(F1673-F1672,2)),"")</f>
        <v/>
      </c>
    </row>
    <row r="1674" ht="22" customHeight="1">
      <c r="B1674" s="8" t="inlineStr">
        <is>
          <t>R01670</t>
        </is>
      </c>
      <c r="C1674" s="8" t="inlineStr">
        <is>
          <t>MTR-PRC-005</t>
        </is>
      </c>
      <c r="D1674" s="8" t="inlineStr">
        <is>
          <t>Process Hall</t>
        </is>
      </c>
      <c r="E1674" s="8" t="inlineStr">
        <is>
          <t>Process Water Main</t>
        </is>
      </c>
      <c r="F1674" s="8" t="inlineStr">
        <is>
          <t>2024-07-02 08:00</t>
        </is>
      </c>
      <c r="G1674" s="12" t="n">
        <v>45630.25</v>
      </c>
      <c r="H1674" s="8" t="inlineStr">
        <is>
          <t>m3</t>
        </is>
      </c>
      <c r="I1674" s="8" t="inlineStr">
        <is>
          <t>cumulative</t>
        </is>
      </c>
      <c r="J1674" s="8" t="inlineStr">
        <is>
          <t>IJ</t>
        </is>
      </c>
      <c r="K1674" s="8" t="inlineStr"/>
      <c r="L1674" s="10">
        <f>IFERROR(IF(F1674&lt;F1673,"NEGATIVE",ROUND(F1674-F1673,2)),"")</f>
        <v/>
      </c>
    </row>
    <row r="1675" ht="22" customHeight="1">
      <c r="B1675" s="5" t="inlineStr">
        <is>
          <t>R01671</t>
        </is>
      </c>
      <c r="C1675" s="5" t="inlineStr">
        <is>
          <t>MTR-PRC-005</t>
        </is>
      </c>
      <c r="D1675" s="5" t="inlineStr">
        <is>
          <t>Process Hall</t>
        </is>
      </c>
      <c r="E1675" s="5" t="inlineStr">
        <is>
          <t>Process Water Main</t>
        </is>
      </c>
      <c r="F1675" s="5" t="inlineStr">
        <is>
          <t>2024-07-03 08:00</t>
        </is>
      </c>
      <c r="G1675" s="11" t="n">
        <v>45655.65</v>
      </c>
      <c r="H1675" s="5" t="inlineStr">
        <is>
          <t>m3</t>
        </is>
      </c>
      <c r="I1675" s="5" t="inlineStr">
        <is>
          <t>cumulative</t>
        </is>
      </c>
      <c r="J1675" s="5" t="inlineStr">
        <is>
          <t>AB</t>
        </is>
      </c>
      <c r="K1675" s="5" t="inlineStr"/>
      <c r="L1675" s="7">
        <f>IFERROR(IF(F1675&lt;F1674,"NEGATIVE",ROUND(F1675-F1674,2)),"")</f>
        <v/>
      </c>
    </row>
    <row r="1676" ht="22" customHeight="1">
      <c r="B1676" s="8" t="inlineStr">
        <is>
          <t>R01672</t>
        </is>
      </c>
      <c r="C1676" s="8" t="inlineStr">
        <is>
          <t>MTR-PRC-005</t>
        </is>
      </c>
      <c r="D1676" s="8" t="inlineStr">
        <is>
          <t>Process Hall</t>
        </is>
      </c>
      <c r="E1676" s="8" t="inlineStr">
        <is>
          <t>Process Water Main</t>
        </is>
      </c>
      <c r="F1676" s="8" t="inlineStr">
        <is>
          <t>2024-07-04 08:00</t>
        </is>
      </c>
      <c r="G1676" s="12" t="n">
        <v>45680.25</v>
      </c>
      <c r="H1676" s="8" t="inlineStr">
        <is>
          <t>m3</t>
        </is>
      </c>
      <c r="I1676" s="8" t="inlineStr">
        <is>
          <t>cumulative</t>
        </is>
      </c>
      <c r="J1676" s="8" t="inlineStr">
        <is>
          <t>KL</t>
        </is>
      </c>
      <c r="K1676" s="8" t="inlineStr"/>
      <c r="L1676" s="10">
        <f>IFERROR(IF(F1676&lt;F1675,"NEGATIVE",ROUND(F1676-F1675,2)),"")</f>
        <v/>
      </c>
    </row>
    <row r="1677" ht="22" customHeight="1">
      <c r="B1677" s="5" t="inlineStr">
        <is>
          <t>R01673</t>
        </is>
      </c>
      <c r="C1677" s="5" t="inlineStr">
        <is>
          <t>MTR-PRC-005</t>
        </is>
      </c>
      <c r="D1677" s="5" t="inlineStr">
        <is>
          <t>Process Hall</t>
        </is>
      </c>
      <c r="E1677" s="5" t="inlineStr">
        <is>
          <t>Process Water Main</t>
        </is>
      </c>
      <c r="F1677" s="5" t="inlineStr">
        <is>
          <t>2024-07-05 08:00</t>
        </is>
      </c>
      <c r="G1677" s="11" t="n">
        <v>45703.48</v>
      </c>
      <c r="H1677" s="5" t="inlineStr">
        <is>
          <t>m3</t>
        </is>
      </c>
      <c r="I1677" s="5" t="inlineStr">
        <is>
          <t>cumulative</t>
        </is>
      </c>
      <c r="J1677" s="5" t="inlineStr">
        <is>
          <t>GH</t>
        </is>
      </c>
      <c r="K1677" s="5" t="inlineStr"/>
      <c r="L1677" s="7">
        <f>IFERROR(IF(F1677&lt;F1676,"NEGATIVE",ROUND(F1677-F1676,2)),"")</f>
        <v/>
      </c>
    </row>
    <row r="1678" ht="22" customHeight="1">
      <c r="B1678" s="8" t="inlineStr">
        <is>
          <t>R01674</t>
        </is>
      </c>
      <c r="C1678" s="8" t="inlineStr">
        <is>
          <t>MTR-PRC-005</t>
        </is>
      </c>
      <c r="D1678" s="8" t="inlineStr">
        <is>
          <t>Process Hall</t>
        </is>
      </c>
      <c r="E1678" s="8" t="inlineStr">
        <is>
          <t>Process Water Main</t>
        </is>
      </c>
      <c r="F1678" s="8" t="inlineStr">
        <is>
          <t>2024-07-06 08:00</t>
        </is>
      </c>
      <c r="G1678" s="12" t="n">
        <v>45722.65</v>
      </c>
      <c r="H1678" s="8" t="inlineStr">
        <is>
          <t>m3</t>
        </is>
      </c>
      <c r="I1678" s="8" t="inlineStr">
        <is>
          <t>cumulative</t>
        </is>
      </c>
      <c r="J1678" s="8" t="inlineStr">
        <is>
          <t>AB</t>
        </is>
      </c>
      <c r="K1678" s="8" t="inlineStr"/>
      <c r="L1678" s="10">
        <f>IFERROR(IF(F1678&lt;F1677,"NEGATIVE",ROUND(F1678-F1677,2)),"")</f>
        <v/>
      </c>
    </row>
    <row r="1679" ht="22" customHeight="1">
      <c r="B1679" s="5" t="inlineStr">
        <is>
          <t>R01675</t>
        </is>
      </c>
      <c r="C1679" s="5" t="inlineStr">
        <is>
          <t>MTR-PRC-005</t>
        </is>
      </c>
      <c r="D1679" s="5" t="inlineStr">
        <is>
          <t>Process Hall</t>
        </is>
      </c>
      <c r="E1679" s="5" t="inlineStr">
        <is>
          <t>Process Water Main</t>
        </is>
      </c>
      <c r="F1679" s="5" t="inlineStr">
        <is>
          <t>2024-07-07 08:00</t>
        </is>
      </c>
      <c r="G1679" s="11" t="n">
        <v>45736.36</v>
      </c>
      <c r="H1679" s="5" t="inlineStr">
        <is>
          <t>m3</t>
        </is>
      </c>
      <c r="I1679" s="5" t="inlineStr">
        <is>
          <t>cumulative</t>
        </is>
      </c>
      <c r="J1679" s="5" t="inlineStr">
        <is>
          <t>CD</t>
        </is>
      </c>
      <c r="K1679" s="5" t="inlineStr"/>
      <c r="L1679" s="7">
        <f>IFERROR(IF(F1679&lt;F1678,"NEGATIVE",ROUND(F1679-F1678,2)),"")</f>
        <v/>
      </c>
    </row>
    <row r="1680" ht="22" customHeight="1">
      <c r="B1680" s="8" t="inlineStr">
        <is>
          <t>R01676</t>
        </is>
      </c>
      <c r="C1680" s="8" t="inlineStr">
        <is>
          <t>MTR-PRC-005</t>
        </is>
      </c>
      <c r="D1680" s="8" t="inlineStr">
        <is>
          <t>Process Hall</t>
        </is>
      </c>
      <c r="E1680" s="8" t="inlineStr">
        <is>
          <t>Process Water Main</t>
        </is>
      </c>
      <c r="F1680" s="8" t="inlineStr">
        <is>
          <t>2024-07-08 08:00</t>
        </is>
      </c>
      <c r="G1680" s="12" t="n">
        <v>45765.72</v>
      </c>
      <c r="H1680" s="8" t="inlineStr">
        <is>
          <t>m3</t>
        </is>
      </c>
      <c r="I1680" s="8" t="inlineStr">
        <is>
          <t>cumulative</t>
        </is>
      </c>
      <c r="J1680" s="8" t="inlineStr">
        <is>
          <t>KL</t>
        </is>
      </c>
      <c r="K1680" s="8" t="inlineStr"/>
      <c r="L1680" s="10">
        <f>IFERROR(IF(F1680&lt;F1679,"NEGATIVE",ROUND(F1680-F1679,2)),"")</f>
        <v/>
      </c>
    </row>
    <row r="1681" ht="22" customHeight="1">
      <c r="B1681" s="5" t="inlineStr">
        <is>
          <t>R01677</t>
        </is>
      </c>
      <c r="C1681" s="5" t="inlineStr">
        <is>
          <t>MTR-PRC-005</t>
        </is>
      </c>
      <c r="D1681" s="5" t="inlineStr">
        <is>
          <t>Process Hall</t>
        </is>
      </c>
      <c r="E1681" s="5" t="inlineStr">
        <is>
          <t>Process Water Main</t>
        </is>
      </c>
      <c r="F1681" s="5" t="inlineStr">
        <is>
          <t>2024-07-09 08:00</t>
        </is>
      </c>
      <c r="G1681" s="11" t="n">
        <v>45796.39</v>
      </c>
      <c r="H1681" s="5" t="inlineStr">
        <is>
          <t>m3</t>
        </is>
      </c>
      <c r="I1681" s="5" t="inlineStr">
        <is>
          <t>cumulative</t>
        </is>
      </c>
      <c r="J1681" s="5" t="inlineStr">
        <is>
          <t>AB</t>
        </is>
      </c>
      <c r="K1681" s="5" t="inlineStr"/>
      <c r="L1681" s="7">
        <f>IFERROR(IF(F1681&lt;F1680,"NEGATIVE",ROUND(F1681-F1680,2)),"")</f>
        <v/>
      </c>
    </row>
    <row r="1682" ht="22" customHeight="1">
      <c r="B1682" s="8" t="inlineStr">
        <is>
          <t>R01678</t>
        </is>
      </c>
      <c r="C1682" s="8" t="inlineStr">
        <is>
          <t>MTR-PRC-005</t>
        </is>
      </c>
      <c r="D1682" s="8" t="inlineStr">
        <is>
          <t>Process Hall</t>
        </is>
      </c>
      <c r="E1682" s="8" t="inlineStr">
        <is>
          <t>Process Water Main</t>
        </is>
      </c>
      <c r="F1682" s="8" t="inlineStr">
        <is>
          <t>2024-07-10 08:00</t>
        </is>
      </c>
      <c r="G1682" s="12" t="n">
        <v>45821.24</v>
      </c>
      <c r="H1682" s="8" t="inlineStr">
        <is>
          <t>m3</t>
        </is>
      </c>
      <c r="I1682" s="8" t="inlineStr">
        <is>
          <t>cumulative</t>
        </is>
      </c>
      <c r="J1682" s="8" t="inlineStr">
        <is>
          <t>IJ</t>
        </is>
      </c>
      <c r="K1682" s="8" t="inlineStr"/>
      <c r="L1682" s="10">
        <f>IFERROR(IF(F1682&lt;F1681,"NEGATIVE",ROUND(F1682-F1681,2)),"")</f>
        <v/>
      </c>
    </row>
    <row r="1683" ht="22" customHeight="1">
      <c r="B1683" s="5" t="inlineStr">
        <is>
          <t>R01679</t>
        </is>
      </c>
      <c r="C1683" s="5" t="inlineStr">
        <is>
          <t>MTR-PRC-005</t>
        </is>
      </c>
      <c r="D1683" s="5" t="inlineStr">
        <is>
          <t>Process Hall</t>
        </is>
      </c>
      <c r="E1683" s="5" t="inlineStr">
        <is>
          <t>Process Water Main</t>
        </is>
      </c>
      <c r="F1683" s="5" t="inlineStr">
        <is>
          <t>2024-07-11 08:00</t>
        </is>
      </c>
      <c r="G1683" s="11" t="n">
        <v>45849.91</v>
      </c>
      <c r="H1683" s="5" t="inlineStr">
        <is>
          <t>m3</t>
        </is>
      </c>
      <c r="I1683" s="5" t="inlineStr">
        <is>
          <t>cumulative</t>
        </is>
      </c>
      <c r="J1683" s="5" t="inlineStr">
        <is>
          <t>EF</t>
        </is>
      </c>
      <c r="K1683" s="5" t="inlineStr"/>
      <c r="L1683" s="7">
        <f>IFERROR(IF(F1683&lt;F1682,"NEGATIVE",ROUND(F1683-F1682,2)),"")</f>
        <v/>
      </c>
    </row>
    <row r="1684" ht="22" customHeight="1">
      <c r="B1684" s="8" t="inlineStr">
        <is>
          <t>R01680</t>
        </is>
      </c>
      <c r="C1684" s="8" t="inlineStr">
        <is>
          <t>MTR-PRC-005</t>
        </is>
      </c>
      <c r="D1684" s="8" t="inlineStr">
        <is>
          <t>Process Hall</t>
        </is>
      </c>
      <c r="E1684" s="8" t="inlineStr">
        <is>
          <t>Process Water Main</t>
        </is>
      </c>
      <c r="F1684" s="8" t="inlineStr">
        <is>
          <t>2024-07-12 08:00</t>
        </is>
      </c>
      <c r="G1684" s="12" t="n">
        <v>45877.5</v>
      </c>
      <c r="H1684" s="8" t="inlineStr">
        <is>
          <t>m3</t>
        </is>
      </c>
      <c r="I1684" s="8" t="inlineStr">
        <is>
          <t>cumulative</t>
        </is>
      </c>
      <c r="J1684" s="8" t="inlineStr">
        <is>
          <t>AB</t>
        </is>
      </c>
      <c r="K1684" s="8" t="inlineStr"/>
      <c r="L1684" s="10">
        <f>IFERROR(IF(F1684&lt;F1683,"NEGATIVE",ROUND(F1684-F1683,2)),"")</f>
        <v/>
      </c>
    </row>
    <row r="1685" ht="22" customHeight="1">
      <c r="B1685" s="5" t="inlineStr">
        <is>
          <t>R01681</t>
        </is>
      </c>
      <c r="C1685" s="5" t="inlineStr">
        <is>
          <t>MTR-PRC-005</t>
        </is>
      </c>
      <c r="D1685" s="5" t="inlineStr">
        <is>
          <t>Process Hall</t>
        </is>
      </c>
      <c r="E1685" s="5" t="inlineStr">
        <is>
          <t>Process Water Main</t>
        </is>
      </c>
      <c r="F1685" s="5" t="inlineStr">
        <is>
          <t>2024-07-13 08:00</t>
        </is>
      </c>
      <c r="G1685" s="11" t="n">
        <v>45900.53</v>
      </c>
      <c r="H1685" s="5" t="inlineStr">
        <is>
          <t>m3</t>
        </is>
      </c>
      <c r="I1685" s="5" t="inlineStr">
        <is>
          <t>cumulative</t>
        </is>
      </c>
      <c r="J1685" s="5" t="inlineStr">
        <is>
          <t>GH</t>
        </is>
      </c>
      <c r="K1685" s="5" t="inlineStr"/>
      <c r="L1685" s="7">
        <f>IFERROR(IF(F1685&lt;F1684,"NEGATIVE",ROUND(F1685-F1684,2)),"")</f>
        <v/>
      </c>
    </row>
    <row r="1686" ht="22" customHeight="1">
      <c r="B1686" s="8" t="inlineStr">
        <is>
          <t>R01682</t>
        </is>
      </c>
      <c r="C1686" s="8" t="inlineStr">
        <is>
          <t>MTR-PRC-005</t>
        </is>
      </c>
      <c r="D1686" s="8" t="inlineStr">
        <is>
          <t>Process Hall</t>
        </is>
      </c>
      <c r="E1686" s="8" t="inlineStr">
        <is>
          <t>Process Water Main</t>
        </is>
      </c>
      <c r="F1686" s="8" t="inlineStr">
        <is>
          <t>2024-07-14 08:00</t>
        </is>
      </c>
      <c r="G1686" s="12" t="n">
        <v>45913.17</v>
      </c>
      <c r="H1686" s="8" t="inlineStr">
        <is>
          <t>m3</t>
        </is>
      </c>
      <c r="I1686" s="8" t="inlineStr">
        <is>
          <t>cumulative</t>
        </is>
      </c>
      <c r="J1686" s="8" t="inlineStr">
        <is>
          <t>IJ</t>
        </is>
      </c>
      <c r="K1686" s="8" t="inlineStr"/>
      <c r="L1686" s="10">
        <f>IFERROR(IF(F1686&lt;F1685,"NEGATIVE",ROUND(F1686-F1685,2)),"")</f>
        <v/>
      </c>
    </row>
    <row r="1687" ht="22" customHeight="1">
      <c r="B1687" s="5" t="inlineStr">
        <is>
          <t>R01683</t>
        </is>
      </c>
      <c r="C1687" s="5" t="inlineStr">
        <is>
          <t>MTR-PRC-005</t>
        </is>
      </c>
      <c r="D1687" s="5" t="inlineStr">
        <is>
          <t>Process Hall</t>
        </is>
      </c>
      <c r="E1687" s="5" t="inlineStr">
        <is>
          <t>Process Water Main</t>
        </is>
      </c>
      <c r="F1687" s="5" t="inlineStr">
        <is>
          <t>2024-07-15 08:00</t>
        </is>
      </c>
      <c r="G1687" s="11" t="n">
        <v>45939.81</v>
      </c>
      <c r="H1687" s="5" t="inlineStr">
        <is>
          <t>m3</t>
        </is>
      </c>
      <c r="I1687" s="5" t="inlineStr">
        <is>
          <t>cumulative</t>
        </is>
      </c>
      <c r="J1687" s="5" t="inlineStr">
        <is>
          <t>GH</t>
        </is>
      </c>
      <c r="K1687" s="5" t="inlineStr"/>
      <c r="L1687" s="7">
        <f>IFERROR(IF(F1687&lt;F1686,"NEGATIVE",ROUND(F1687-F1686,2)),"")</f>
        <v/>
      </c>
    </row>
    <row r="1688" ht="22" customHeight="1">
      <c r="B1688" s="8" t="inlineStr">
        <is>
          <t>R01684</t>
        </is>
      </c>
      <c r="C1688" s="8" t="inlineStr">
        <is>
          <t>MTR-PRC-005</t>
        </is>
      </c>
      <c r="D1688" s="8" t="inlineStr">
        <is>
          <t>Process Hall</t>
        </is>
      </c>
      <c r="E1688" s="8" t="inlineStr">
        <is>
          <t>Process Water Main</t>
        </is>
      </c>
      <c r="F1688" s="8" t="inlineStr">
        <is>
          <t>2024-07-16 08:00</t>
        </is>
      </c>
      <c r="G1688" s="12" t="n">
        <v>45968.01</v>
      </c>
      <c r="H1688" s="8" t="inlineStr">
        <is>
          <t>m3</t>
        </is>
      </c>
      <c r="I1688" s="8" t="inlineStr">
        <is>
          <t>cumulative</t>
        </is>
      </c>
      <c r="J1688" s="8" t="inlineStr">
        <is>
          <t>AB</t>
        </is>
      </c>
      <c r="K1688" s="8" t="inlineStr"/>
      <c r="L1688" s="10">
        <f>IFERROR(IF(F1688&lt;F1687,"NEGATIVE",ROUND(F1688-F1687,2)),"")</f>
        <v/>
      </c>
    </row>
    <row r="1689" ht="22" customHeight="1">
      <c r="B1689" s="5" t="inlineStr">
        <is>
          <t>R01685</t>
        </is>
      </c>
      <c r="C1689" s="5" t="inlineStr">
        <is>
          <t>MTR-PRC-005</t>
        </is>
      </c>
      <c r="D1689" s="5" t="inlineStr">
        <is>
          <t>Process Hall</t>
        </is>
      </c>
      <c r="E1689" s="5" t="inlineStr">
        <is>
          <t>Process Water Main</t>
        </is>
      </c>
      <c r="F1689" s="5" t="inlineStr">
        <is>
          <t>2024-07-17 08:00</t>
        </is>
      </c>
      <c r="G1689" s="11" t="n">
        <v>45994.47</v>
      </c>
      <c r="H1689" s="5" t="inlineStr">
        <is>
          <t>m3</t>
        </is>
      </c>
      <c r="I1689" s="5" t="inlineStr">
        <is>
          <t>cumulative</t>
        </is>
      </c>
      <c r="J1689" s="5" t="inlineStr">
        <is>
          <t>CD</t>
        </is>
      </c>
      <c r="K1689" s="5" t="inlineStr"/>
      <c r="L1689" s="7">
        <f>IFERROR(IF(F1689&lt;F1688,"NEGATIVE",ROUND(F1689-F1688,2)),"")</f>
        <v/>
      </c>
    </row>
    <row r="1690" ht="22" customHeight="1">
      <c r="B1690" s="8" t="inlineStr">
        <is>
          <t>R01686</t>
        </is>
      </c>
      <c r="C1690" s="8" t="inlineStr">
        <is>
          <t>MTR-PRC-005</t>
        </is>
      </c>
      <c r="D1690" s="8" t="inlineStr">
        <is>
          <t>Process Hall</t>
        </is>
      </c>
      <c r="E1690" s="8" t="inlineStr">
        <is>
          <t>Process Water Main</t>
        </is>
      </c>
      <c r="F1690" s="8" t="inlineStr">
        <is>
          <t>2024-07-18 08:00</t>
        </is>
      </c>
      <c r="G1690" s="12" t="n">
        <v>46024.33</v>
      </c>
      <c r="H1690" s="8" t="inlineStr">
        <is>
          <t>m3</t>
        </is>
      </c>
      <c r="I1690" s="8" t="inlineStr">
        <is>
          <t>cumulative</t>
        </is>
      </c>
      <c r="J1690" s="8" t="inlineStr">
        <is>
          <t>CD</t>
        </is>
      </c>
      <c r="K1690" s="8" t="inlineStr"/>
      <c r="L1690" s="10">
        <f>IFERROR(IF(F1690&lt;F1689,"NEGATIVE",ROUND(F1690-F1689,2)),"")</f>
        <v/>
      </c>
    </row>
    <row r="1691" ht="22" customHeight="1">
      <c r="B1691" s="5" t="inlineStr">
        <is>
          <t>R01687</t>
        </is>
      </c>
      <c r="C1691" s="5" t="inlineStr">
        <is>
          <t>MTR-PRC-005</t>
        </is>
      </c>
      <c r="D1691" s="5" t="inlineStr">
        <is>
          <t>Process Hall</t>
        </is>
      </c>
      <c r="E1691" s="5" t="inlineStr">
        <is>
          <t>Process Water Main</t>
        </is>
      </c>
      <c r="F1691" s="5" t="inlineStr">
        <is>
          <t>2024-07-19 08:00</t>
        </is>
      </c>
      <c r="G1691" s="11" t="n">
        <v>46054.95</v>
      </c>
      <c r="H1691" s="5" t="inlineStr">
        <is>
          <t>m3</t>
        </is>
      </c>
      <c r="I1691" s="5" t="inlineStr">
        <is>
          <t>cumulative</t>
        </is>
      </c>
      <c r="J1691" s="5" t="inlineStr">
        <is>
          <t>KL</t>
        </is>
      </c>
      <c r="K1691" s="5" t="inlineStr"/>
      <c r="L1691" s="7">
        <f>IFERROR(IF(F1691&lt;F1690,"NEGATIVE",ROUND(F1691-F1690,2)),"")</f>
        <v/>
      </c>
    </row>
    <row r="1692" ht="22" customHeight="1">
      <c r="B1692" s="8" t="inlineStr">
        <is>
          <t>R01688</t>
        </is>
      </c>
      <c r="C1692" s="8" t="inlineStr">
        <is>
          <t>MTR-PRC-005</t>
        </is>
      </c>
      <c r="D1692" s="8" t="inlineStr">
        <is>
          <t>Process Hall</t>
        </is>
      </c>
      <c r="E1692" s="8" t="inlineStr">
        <is>
          <t>Process Water Main</t>
        </is>
      </c>
      <c r="F1692" s="8" t="inlineStr">
        <is>
          <t>2024-07-20 08:00</t>
        </is>
      </c>
      <c r="G1692" s="12" t="n">
        <v>46076.41</v>
      </c>
      <c r="H1692" s="8" t="inlineStr">
        <is>
          <t>m3</t>
        </is>
      </c>
      <c r="I1692" s="8" t="inlineStr">
        <is>
          <t>cumulative</t>
        </is>
      </c>
      <c r="J1692" s="8" t="inlineStr">
        <is>
          <t>EF</t>
        </is>
      </c>
      <c r="K1692" s="8" t="inlineStr"/>
      <c r="L1692" s="10">
        <f>IFERROR(IF(F1692&lt;F1691,"NEGATIVE",ROUND(F1692-F1691,2)),"")</f>
        <v/>
      </c>
    </row>
    <row r="1693" ht="22" customHeight="1">
      <c r="B1693" s="5" t="inlineStr">
        <is>
          <t>R01689</t>
        </is>
      </c>
      <c r="C1693" s="5" t="inlineStr">
        <is>
          <t>MTR-PRC-005</t>
        </is>
      </c>
      <c r="D1693" s="5" t="inlineStr">
        <is>
          <t>Process Hall</t>
        </is>
      </c>
      <c r="E1693" s="5" t="inlineStr">
        <is>
          <t>Process Water Main</t>
        </is>
      </c>
      <c r="F1693" s="5" t="inlineStr">
        <is>
          <t>2024-07-21 08:00</t>
        </is>
      </c>
      <c r="G1693" s="11" t="n">
        <v>46090.31</v>
      </c>
      <c r="H1693" s="5" t="inlineStr">
        <is>
          <t>m3</t>
        </is>
      </c>
      <c r="I1693" s="5" t="inlineStr">
        <is>
          <t>cumulative</t>
        </is>
      </c>
      <c r="J1693" s="5" t="inlineStr">
        <is>
          <t>GH</t>
        </is>
      </c>
      <c r="K1693" s="5" t="inlineStr"/>
      <c r="L1693" s="7">
        <f>IFERROR(IF(F1693&lt;F1692,"NEGATIVE",ROUND(F1693-F1692,2)),"")</f>
        <v/>
      </c>
    </row>
    <row r="1694" ht="22" customHeight="1">
      <c r="B1694" s="8" t="inlineStr">
        <is>
          <t>R01690</t>
        </is>
      </c>
      <c r="C1694" s="8" t="inlineStr">
        <is>
          <t>MTR-PRC-005</t>
        </is>
      </c>
      <c r="D1694" s="8" t="inlineStr">
        <is>
          <t>Process Hall</t>
        </is>
      </c>
      <c r="E1694" s="8" t="inlineStr">
        <is>
          <t>Process Water Main</t>
        </is>
      </c>
      <c r="F1694" s="8" t="inlineStr">
        <is>
          <t>2024-07-22 08:00</t>
        </is>
      </c>
      <c r="G1694" s="12" t="n">
        <v>46117.86</v>
      </c>
      <c r="H1694" s="8" t="inlineStr">
        <is>
          <t>m3</t>
        </is>
      </c>
      <c r="I1694" s="8" t="inlineStr">
        <is>
          <t>cumulative</t>
        </is>
      </c>
      <c r="J1694" s="8" t="inlineStr">
        <is>
          <t>CD</t>
        </is>
      </c>
      <c r="K1694" s="8" t="inlineStr"/>
      <c r="L1694" s="10">
        <f>IFERROR(IF(F1694&lt;F1693,"NEGATIVE",ROUND(F1694-F1693,2)),"")</f>
        <v/>
      </c>
    </row>
    <row r="1695" ht="22" customHeight="1">
      <c r="B1695" s="5" t="inlineStr">
        <is>
          <t>R01691</t>
        </is>
      </c>
      <c r="C1695" s="5" t="inlineStr">
        <is>
          <t>MTR-PRC-005</t>
        </is>
      </c>
      <c r="D1695" s="5" t="inlineStr">
        <is>
          <t>Process Hall</t>
        </is>
      </c>
      <c r="E1695" s="5" t="inlineStr">
        <is>
          <t>Process Water Main</t>
        </is>
      </c>
      <c r="F1695" s="5" t="inlineStr">
        <is>
          <t>2024-07-23 08:00</t>
        </is>
      </c>
      <c r="G1695" s="11" t="n">
        <v>46142.8</v>
      </c>
      <c r="H1695" s="5" t="inlineStr">
        <is>
          <t>m3</t>
        </is>
      </c>
      <c r="I1695" s="5" t="inlineStr">
        <is>
          <t>cumulative</t>
        </is>
      </c>
      <c r="J1695" s="5" t="inlineStr">
        <is>
          <t>CD</t>
        </is>
      </c>
      <c r="K1695" s="5" t="inlineStr"/>
      <c r="L1695" s="7">
        <f>IFERROR(IF(F1695&lt;F1694,"NEGATIVE",ROUND(F1695-F1694,2)),"")</f>
        <v/>
      </c>
    </row>
    <row r="1696" ht="22" customHeight="1">
      <c r="B1696" s="8" t="inlineStr">
        <is>
          <t>R01692</t>
        </is>
      </c>
      <c r="C1696" s="8" t="inlineStr">
        <is>
          <t>MTR-PRC-005</t>
        </is>
      </c>
      <c r="D1696" s="8" t="inlineStr">
        <is>
          <t>Process Hall</t>
        </is>
      </c>
      <c r="E1696" s="8" t="inlineStr">
        <is>
          <t>Process Water Main</t>
        </is>
      </c>
      <c r="F1696" s="8" t="inlineStr">
        <is>
          <t>2024-07-24 08:00</t>
        </is>
      </c>
      <c r="G1696" s="12" t="n">
        <v>46173.45</v>
      </c>
      <c r="H1696" s="8" t="inlineStr">
        <is>
          <t>m3</t>
        </is>
      </c>
      <c r="I1696" s="8" t="inlineStr">
        <is>
          <t>cumulative</t>
        </is>
      </c>
      <c r="J1696" s="8" t="inlineStr">
        <is>
          <t>KL</t>
        </is>
      </c>
      <c r="K1696" s="8" t="inlineStr"/>
      <c r="L1696" s="10">
        <f>IFERROR(IF(F1696&lt;F1695,"NEGATIVE",ROUND(F1696-F1695,2)),"")</f>
        <v/>
      </c>
    </row>
    <row r="1697" ht="22" customHeight="1">
      <c r="B1697" s="5" t="inlineStr">
        <is>
          <t>R01693</t>
        </is>
      </c>
      <c r="C1697" s="5" t="inlineStr">
        <is>
          <t>MTR-PRC-005</t>
        </is>
      </c>
      <c r="D1697" s="5" t="inlineStr">
        <is>
          <t>Process Hall</t>
        </is>
      </c>
      <c r="E1697" s="5" t="inlineStr">
        <is>
          <t>Process Water Main</t>
        </is>
      </c>
      <c r="F1697" s="5" t="inlineStr">
        <is>
          <t>2024-07-25 08:00</t>
        </is>
      </c>
      <c r="G1697" s="11" t="n">
        <v>46198.76</v>
      </c>
      <c r="H1697" s="5" t="inlineStr">
        <is>
          <t>m3</t>
        </is>
      </c>
      <c r="I1697" s="5" t="inlineStr">
        <is>
          <t>cumulative</t>
        </is>
      </c>
      <c r="J1697" s="5" t="inlineStr">
        <is>
          <t>IJ</t>
        </is>
      </c>
      <c r="K1697" s="5" t="inlineStr"/>
      <c r="L1697" s="7">
        <f>IFERROR(IF(F1697&lt;F1696,"NEGATIVE",ROUND(F1697-F1696,2)),"")</f>
        <v/>
      </c>
    </row>
    <row r="1698" ht="22" customHeight="1">
      <c r="B1698" s="8" t="inlineStr">
        <is>
          <t>R01694</t>
        </is>
      </c>
      <c r="C1698" s="8" t="inlineStr">
        <is>
          <t>MTR-PRC-005</t>
        </is>
      </c>
      <c r="D1698" s="8" t="inlineStr">
        <is>
          <t>Process Hall</t>
        </is>
      </c>
      <c r="E1698" s="8" t="inlineStr">
        <is>
          <t>Process Water Main</t>
        </is>
      </c>
      <c r="F1698" s="8" t="inlineStr">
        <is>
          <t>2024-07-26 08:00</t>
        </is>
      </c>
      <c r="G1698" s="12" t="n">
        <v>46226.53</v>
      </c>
      <c r="H1698" s="8" t="inlineStr">
        <is>
          <t>m3</t>
        </is>
      </c>
      <c r="I1698" s="8" t="inlineStr">
        <is>
          <t>cumulative</t>
        </is>
      </c>
      <c r="J1698" s="8" t="inlineStr">
        <is>
          <t>CD</t>
        </is>
      </c>
      <c r="K1698" s="8" t="inlineStr"/>
      <c r="L1698" s="10">
        <f>IFERROR(IF(F1698&lt;F1697,"NEGATIVE",ROUND(F1698-F1697,2)),"")</f>
        <v/>
      </c>
    </row>
    <row r="1699" ht="22" customHeight="1">
      <c r="B1699" s="5" t="inlineStr">
        <is>
          <t>R01695</t>
        </is>
      </c>
      <c r="C1699" s="5" t="inlineStr">
        <is>
          <t>MTR-PRC-005</t>
        </is>
      </c>
      <c r="D1699" s="5" t="inlineStr">
        <is>
          <t>Process Hall</t>
        </is>
      </c>
      <c r="E1699" s="5" t="inlineStr">
        <is>
          <t>Process Water Main</t>
        </is>
      </c>
      <c r="F1699" s="5" t="inlineStr">
        <is>
          <t>2024-07-27 08:00</t>
        </is>
      </c>
      <c r="G1699" s="11" t="n">
        <v>46249.06</v>
      </c>
      <c r="H1699" s="5" t="inlineStr">
        <is>
          <t>m3</t>
        </is>
      </c>
      <c r="I1699" s="5" t="inlineStr">
        <is>
          <t>cumulative</t>
        </is>
      </c>
      <c r="J1699" s="5" t="inlineStr">
        <is>
          <t>CD</t>
        </is>
      </c>
      <c r="K1699" s="5" t="inlineStr"/>
      <c r="L1699" s="7">
        <f>IFERROR(IF(F1699&lt;F1698,"NEGATIVE",ROUND(F1699-F1698,2)),"")</f>
        <v/>
      </c>
    </row>
    <row r="1700" ht="22" customHeight="1">
      <c r="B1700" s="8" t="inlineStr">
        <is>
          <t>R01696</t>
        </is>
      </c>
      <c r="C1700" s="8" t="inlineStr">
        <is>
          <t>MTR-PRC-005</t>
        </is>
      </c>
      <c r="D1700" s="8" t="inlineStr">
        <is>
          <t>Process Hall</t>
        </is>
      </c>
      <c r="E1700" s="8" t="inlineStr">
        <is>
          <t>Process Water Main</t>
        </is>
      </c>
      <c r="F1700" s="8" t="inlineStr">
        <is>
          <t>2024-07-28 08:00</t>
        </is>
      </c>
      <c r="G1700" s="12" t="n">
        <v>46261.92</v>
      </c>
      <c r="H1700" s="8" t="inlineStr">
        <is>
          <t>m3</t>
        </is>
      </c>
      <c r="I1700" s="8" t="inlineStr">
        <is>
          <t>cumulative</t>
        </is>
      </c>
      <c r="J1700" s="8" t="inlineStr">
        <is>
          <t>EF</t>
        </is>
      </c>
      <c r="K1700" s="8" t="inlineStr"/>
      <c r="L1700" s="10">
        <f>IFERROR(IF(F1700&lt;F1699,"NEGATIVE",ROUND(F1700-F1699,2)),"")</f>
        <v/>
      </c>
    </row>
    <row r="1701" ht="22" customHeight="1">
      <c r="B1701" s="5" t="inlineStr">
        <is>
          <t>R01697</t>
        </is>
      </c>
      <c r="C1701" s="5" t="inlineStr">
        <is>
          <t>MTR-PRC-005</t>
        </is>
      </c>
      <c r="D1701" s="5" t="inlineStr">
        <is>
          <t>Process Hall</t>
        </is>
      </c>
      <c r="E1701" s="5" t="inlineStr">
        <is>
          <t>Process Water Main</t>
        </is>
      </c>
      <c r="F1701" s="5" t="inlineStr">
        <is>
          <t>2024-07-29 08:00</t>
        </is>
      </c>
      <c r="G1701" s="11" t="n">
        <v>46292.82</v>
      </c>
      <c r="H1701" s="5" t="inlineStr">
        <is>
          <t>m3</t>
        </is>
      </c>
      <c r="I1701" s="5" t="inlineStr">
        <is>
          <t>cumulative</t>
        </is>
      </c>
      <c r="J1701" s="5" t="inlineStr">
        <is>
          <t>KL</t>
        </is>
      </c>
      <c r="K1701" s="5" t="inlineStr"/>
      <c r="L1701" s="7">
        <f>IFERROR(IF(F1701&lt;F1700,"NEGATIVE",ROUND(F1701-F1700,2)),"")</f>
        <v/>
      </c>
    </row>
    <row r="1702" ht="22" customHeight="1">
      <c r="B1702" s="8" t="inlineStr">
        <is>
          <t>R01698</t>
        </is>
      </c>
      <c r="C1702" s="8" t="inlineStr">
        <is>
          <t>MTR-PRC-005</t>
        </is>
      </c>
      <c r="D1702" s="8" t="inlineStr">
        <is>
          <t>Process Hall</t>
        </is>
      </c>
      <c r="E1702" s="8" t="inlineStr">
        <is>
          <t>Process Water Main</t>
        </is>
      </c>
      <c r="F1702" s="8" t="inlineStr">
        <is>
          <t>2024-07-30 08:00</t>
        </is>
      </c>
      <c r="G1702" s="12" t="n">
        <v>46316.48</v>
      </c>
      <c r="H1702" s="8" t="inlineStr">
        <is>
          <t>m3</t>
        </is>
      </c>
      <c r="I1702" s="8" t="inlineStr">
        <is>
          <t>cumulative</t>
        </is>
      </c>
      <c r="J1702" s="8" t="inlineStr">
        <is>
          <t>KL</t>
        </is>
      </c>
      <c r="K1702" s="8" t="inlineStr"/>
      <c r="L1702" s="10">
        <f>IFERROR(IF(F1702&lt;F1701,"NEGATIVE",ROUND(F1702-F1701,2)),"")</f>
        <v/>
      </c>
    </row>
    <row r="1703" ht="22" customHeight="1">
      <c r="B1703" s="5" t="inlineStr">
        <is>
          <t>R01699</t>
        </is>
      </c>
      <c r="C1703" s="5" t="inlineStr">
        <is>
          <t>MTR-PRC-005</t>
        </is>
      </c>
      <c r="D1703" s="5" t="inlineStr">
        <is>
          <t>Process Hall</t>
        </is>
      </c>
      <c r="E1703" s="5" t="inlineStr">
        <is>
          <t>Process Water Main</t>
        </is>
      </c>
      <c r="F1703" s="5" t="inlineStr">
        <is>
          <t>2024-07-31 08:00</t>
        </is>
      </c>
      <c r="G1703" s="11" t="n">
        <v>46345.55</v>
      </c>
      <c r="H1703" s="5" t="inlineStr">
        <is>
          <t>m3</t>
        </is>
      </c>
      <c r="I1703" s="5" t="inlineStr">
        <is>
          <t>cumulative</t>
        </is>
      </c>
      <c r="J1703" s="5" t="inlineStr">
        <is>
          <t>IJ</t>
        </is>
      </c>
      <c r="K1703" s="5" t="inlineStr"/>
      <c r="L1703" s="7">
        <f>IFERROR(IF(F1703&lt;F1702,"NEGATIVE",ROUND(F1703-F1702,2)),"")</f>
        <v/>
      </c>
    </row>
    <row r="1704" ht="22" customHeight="1">
      <c r="B1704" s="8" t="inlineStr">
        <is>
          <t>R01700</t>
        </is>
      </c>
      <c r="C1704" s="8" t="inlineStr">
        <is>
          <t>MTR-PRC-005</t>
        </is>
      </c>
      <c r="D1704" s="8" t="inlineStr">
        <is>
          <t>Process Hall</t>
        </is>
      </c>
      <c r="E1704" s="8" t="inlineStr">
        <is>
          <t>Process Water Main</t>
        </is>
      </c>
      <c r="F1704" s="8" t="inlineStr">
        <is>
          <t>2024-08-01 08:00</t>
        </is>
      </c>
      <c r="G1704" s="12" t="n">
        <v>46369.66</v>
      </c>
      <c r="H1704" s="8" t="inlineStr">
        <is>
          <t>m3</t>
        </is>
      </c>
      <c r="I1704" s="8" t="inlineStr">
        <is>
          <t>cumulative</t>
        </is>
      </c>
      <c r="J1704" s="8" t="inlineStr">
        <is>
          <t>IJ</t>
        </is>
      </c>
      <c r="K1704" s="8" t="inlineStr"/>
      <c r="L1704" s="10">
        <f>IFERROR(IF(F1704&lt;F1703,"NEGATIVE",ROUND(F1704-F1703,2)),"")</f>
        <v/>
      </c>
    </row>
    <row r="1705" ht="22" customHeight="1">
      <c r="B1705" s="5" t="inlineStr">
        <is>
          <t>R01701</t>
        </is>
      </c>
      <c r="C1705" s="5" t="inlineStr">
        <is>
          <t>MTR-PRC-005</t>
        </is>
      </c>
      <c r="D1705" s="5" t="inlineStr">
        <is>
          <t>Process Hall</t>
        </is>
      </c>
      <c r="E1705" s="5" t="inlineStr">
        <is>
          <t>Process Water Main</t>
        </is>
      </c>
      <c r="F1705" s="5" t="inlineStr">
        <is>
          <t>2024-08-02 08:00</t>
        </is>
      </c>
      <c r="G1705" s="11" t="n">
        <v>46394.63</v>
      </c>
      <c r="H1705" s="5" t="inlineStr">
        <is>
          <t>m3</t>
        </is>
      </c>
      <c r="I1705" s="5" t="inlineStr">
        <is>
          <t>cumulative</t>
        </is>
      </c>
      <c r="J1705" s="5" t="inlineStr">
        <is>
          <t>AB</t>
        </is>
      </c>
      <c r="K1705" s="5" t="inlineStr"/>
      <c r="L1705" s="7">
        <f>IFERROR(IF(F1705&lt;F1704,"NEGATIVE",ROUND(F1705-F1704,2)),"")</f>
        <v/>
      </c>
    </row>
    <row r="1706" ht="22" customHeight="1">
      <c r="B1706" s="8" t="inlineStr">
        <is>
          <t>R01702</t>
        </is>
      </c>
      <c r="C1706" s="8" t="inlineStr">
        <is>
          <t>MTR-PRC-005</t>
        </is>
      </c>
      <c r="D1706" s="8" t="inlineStr">
        <is>
          <t>Process Hall</t>
        </is>
      </c>
      <c r="E1706" s="8" t="inlineStr">
        <is>
          <t>Process Water Main</t>
        </is>
      </c>
      <c r="F1706" s="8" t="inlineStr">
        <is>
          <t>2024-08-03 08:00</t>
        </is>
      </c>
      <c r="G1706" s="12" t="n">
        <v>46414.01</v>
      </c>
      <c r="H1706" s="8" t="inlineStr">
        <is>
          <t>m3</t>
        </is>
      </c>
      <c r="I1706" s="8" t="inlineStr">
        <is>
          <t>cumulative</t>
        </is>
      </c>
      <c r="J1706" s="8" t="inlineStr">
        <is>
          <t>GH</t>
        </is>
      </c>
      <c r="K1706" s="8" t="inlineStr"/>
      <c r="L1706" s="10">
        <f>IFERROR(IF(F1706&lt;F1705,"NEGATIVE",ROUND(F1706-F1705,2)),"")</f>
        <v/>
      </c>
    </row>
    <row r="1707" ht="22" customHeight="1">
      <c r="B1707" s="5" t="inlineStr">
        <is>
          <t>R01703</t>
        </is>
      </c>
      <c r="C1707" s="5" t="inlineStr">
        <is>
          <t>MTR-PRC-005</t>
        </is>
      </c>
      <c r="D1707" s="5" t="inlineStr">
        <is>
          <t>Process Hall</t>
        </is>
      </c>
      <c r="E1707" s="5" t="inlineStr">
        <is>
          <t>Process Water Main</t>
        </is>
      </c>
      <c r="F1707" s="5" t="inlineStr">
        <is>
          <t>2024-08-04 08:00</t>
        </is>
      </c>
      <c r="G1707" s="11" t="n">
        <v>46429.54</v>
      </c>
      <c r="H1707" s="5" t="inlineStr">
        <is>
          <t>m3</t>
        </is>
      </c>
      <c r="I1707" s="5" t="inlineStr">
        <is>
          <t>cumulative</t>
        </is>
      </c>
      <c r="J1707" s="5" t="inlineStr">
        <is>
          <t>GH</t>
        </is>
      </c>
      <c r="K1707" s="5" t="inlineStr"/>
      <c r="L1707" s="7">
        <f>IFERROR(IF(F1707&lt;F1706,"NEGATIVE",ROUND(F1707-F1706,2)),"")</f>
        <v/>
      </c>
    </row>
    <row r="1708" ht="22" customHeight="1">
      <c r="B1708" s="8" t="inlineStr">
        <is>
          <t>R01704</t>
        </is>
      </c>
      <c r="C1708" s="8" t="inlineStr">
        <is>
          <t>MTR-PRC-005</t>
        </is>
      </c>
      <c r="D1708" s="8" t="inlineStr">
        <is>
          <t>Process Hall</t>
        </is>
      </c>
      <c r="E1708" s="8" t="inlineStr">
        <is>
          <t>Process Water Main</t>
        </is>
      </c>
      <c r="F1708" s="8" t="inlineStr">
        <is>
          <t>2024-08-05 08:00</t>
        </is>
      </c>
      <c r="G1708" s="12" t="n">
        <v>46452.25</v>
      </c>
      <c r="H1708" s="8" t="inlineStr">
        <is>
          <t>m3</t>
        </is>
      </c>
      <c r="I1708" s="8" t="inlineStr">
        <is>
          <t>cumulative</t>
        </is>
      </c>
      <c r="J1708" s="8" t="inlineStr">
        <is>
          <t>CD</t>
        </is>
      </c>
      <c r="K1708" s="8" t="inlineStr"/>
      <c r="L1708" s="10">
        <f>IFERROR(IF(F1708&lt;F1707,"NEGATIVE",ROUND(F1708-F1707,2)),"")</f>
        <v/>
      </c>
    </row>
    <row r="1709" ht="22" customHeight="1">
      <c r="B1709" s="5" t="inlineStr">
        <is>
          <t>R01705</t>
        </is>
      </c>
      <c r="C1709" s="5" t="inlineStr">
        <is>
          <t>MTR-PRC-005</t>
        </is>
      </c>
      <c r="D1709" s="5" t="inlineStr">
        <is>
          <t>Process Hall</t>
        </is>
      </c>
      <c r="E1709" s="5" t="inlineStr">
        <is>
          <t>Process Water Main</t>
        </is>
      </c>
      <c r="F1709" s="5" t="inlineStr">
        <is>
          <t>2024-08-06 08:00</t>
        </is>
      </c>
      <c r="G1709" s="11" t="n">
        <v>46477.47</v>
      </c>
      <c r="H1709" s="5" t="inlineStr">
        <is>
          <t>m3</t>
        </is>
      </c>
      <c r="I1709" s="5" t="inlineStr">
        <is>
          <t>cumulative</t>
        </is>
      </c>
      <c r="J1709" s="5" t="inlineStr">
        <is>
          <t>KL</t>
        </is>
      </c>
      <c r="K1709" s="5" t="inlineStr"/>
      <c r="L1709" s="7">
        <f>IFERROR(IF(F1709&lt;F1708,"NEGATIVE",ROUND(F1709-F1708,2)),"")</f>
        <v/>
      </c>
    </row>
    <row r="1710" ht="22" customHeight="1">
      <c r="B1710" s="8" t="inlineStr">
        <is>
          <t>R01706</t>
        </is>
      </c>
      <c r="C1710" s="8" t="inlineStr">
        <is>
          <t>MTR-PRC-005</t>
        </is>
      </c>
      <c r="D1710" s="8" t="inlineStr">
        <is>
          <t>Process Hall</t>
        </is>
      </c>
      <c r="E1710" s="8" t="inlineStr">
        <is>
          <t>Process Water Main</t>
        </is>
      </c>
      <c r="F1710" s="8" t="inlineStr">
        <is>
          <t>2024-08-07 08:00</t>
        </is>
      </c>
      <c r="G1710" s="12" t="n">
        <v>46502.76</v>
      </c>
      <c r="H1710" s="8" t="inlineStr">
        <is>
          <t>m3</t>
        </is>
      </c>
      <c r="I1710" s="8" t="inlineStr">
        <is>
          <t>cumulative</t>
        </is>
      </c>
      <c r="J1710" s="8" t="inlineStr">
        <is>
          <t>IJ</t>
        </is>
      </c>
      <c r="K1710" s="8" t="inlineStr"/>
      <c r="L1710" s="10">
        <f>IFERROR(IF(F1710&lt;F1709,"NEGATIVE",ROUND(F1710-F1709,2)),"")</f>
        <v/>
      </c>
    </row>
    <row r="1711" ht="22" customHeight="1">
      <c r="B1711" s="5" t="inlineStr">
        <is>
          <t>R01707</t>
        </is>
      </c>
      <c r="C1711" s="5" t="inlineStr">
        <is>
          <t>MTR-PRC-005</t>
        </is>
      </c>
      <c r="D1711" s="5" t="inlineStr">
        <is>
          <t>Process Hall</t>
        </is>
      </c>
      <c r="E1711" s="5" t="inlineStr">
        <is>
          <t>Process Water Main</t>
        </is>
      </c>
      <c r="F1711" s="5" t="inlineStr">
        <is>
          <t>2024-08-08 08:00</t>
        </is>
      </c>
      <c r="G1711" s="11" t="n">
        <v>46529.75</v>
      </c>
      <c r="H1711" s="5" t="inlineStr">
        <is>
          <t>m3</t>
        </is>
      </c>
      <c r="I1711" s="5" t="inlineStr">
        <is>
          <t>cumulative</t>
        </is>
      </c>
      <c r="J1711" s="5" t="inlineStr">
        <is>
          <t>GH</t>
        </is>
      </c>
      <c r="K1711" s="5" t="inlineStr"/>
      <c r="L1711" s="7">
        <f>IFERROR(IF(F1711&lt;F1710,"NEGATIVE",ROUND(F1711-F1710,2)),"")</f>
        <v/>
      </c>
    </row>
    <row r="1712" ht="22" customHeight="1">
      <c r="B1712" s="8" t="inlineStr">
        <is>
          <t>R01708</t>
        </is>
      </c>
      <c r="C1712" s="8" t="inlineStr">
        <is>
          <t>MTR-PRC-005</t>
        </is>
      </c>
      <c r="D1712" s="8" t="inlineStr">
        <is>
          <t>Process Hall</t>
        </is>
      </c>
      <c r="E1712" s="8" t="inlineStr">
        <is>
          <t>Process Water Main</t>
        </is>
      </c>
      <c r="F1712" s="8" t="inlineStr">
        <is>
          <t>2024-08-09 08:00</t>
        </is>
      </c>
      <c r="G1712" s="12" t="n">
        <v>46554.47</v>
      </c>
      <c r="H1712" s="8" t="inlineStr">
        <is>
          <t>m3</t>
        </is>
      </c>
      <c r="I1712" s="8" t="inlineStr">
        <is>
          <t>cumulative</t>
        </is>
      </c>
      <c r="J1712" s="8" t="inlineStr">
        <is>
          <t>GH</t>
        </is>
      </c>
      <c r="K1712" s="8" t="inlineStr"/>
      <c r="L1712" s="10">
        <f>IFERROR(IF(F1712&lt;F1711,"NEGATIVE",ROUND(F1712-F1711,2)),"")</f>
        <v/>
      </c>
    </row>
    <row r="1713" ht="22" customHeight="1">
      <c r="B1713" s="5" t="inlineStr">
        <is>
          <t>R01709</t>
        </is>
      </c>
      <c r="C1713" s="5" t="inlineStr">
        <is>
          <t>MTR-PRC-005</t>
        </is>
      </c>
      <c r="D1713" s="5" t="inlineStr">
        <is>
          <t>Process Hall</t>
        </is>
      </c>
      <c r="E1713" s="5" t="inlineStr">
        <is>
          <t>Process Water Main</t>
        </is>
      </c>
      <c r="F1713" s="5" t="inlineStr">
        <is>
          <t>2024-08-10 08:00</t>
        </is>
      </c>
      <c r="G1713" s="11" t="n">
        <v>46573.41</v>
      </c>
      <c r="H1713" s="5" t="inlineStr">
        <is>
          <t>m3</t>
        </is>
      </c>
      <c r="I1713" s="5" t="inlineStr">
        <is>
          <t>cumulative</t>
        </is>
      </c>
      <c r="J1713" s="5" t="inlineStr">
        <is>
          <t>AB</t>
        </is>
      </c>
      <c r="K1713" s="5" t="inlineStr"/>
      <c r="L1713" s="7">
        <f>IFERROR(IF(F1713&lt;F1712,"NEGATIVE",ROUND(F1713-F1712,2)),"")</f>
        <v/>
      </c>
    </row>
    <row r="1714" ht="22" customHeight="1">
      <c r="B1714" s="8" t="inlineStr">
        <is>
          <t>R01710</t>
        </is>
      </c>
      <c r="C1714" s="8" t="inlineStr">
        <is>
          <t>MTR-PRC-005</t>
        </is>
      </c>
      <c r="D1714" s="8" t="inlineStr">
        <is>
          <t>Process Hall</t>
        </is>
      </c>
      <c r="E1714" s="8" t="inlineStr">
        <is>
          <t>Process Water Main</t>
        </is>
      </c>
      <c r="F1714" s="8" t="inlineStr">
        <is>
          <t>2024-08-11 08:00</t>
        </is>
      </c>
      <c r="G1714" s="12" t="n">
        <v>46588.51</v>
      </c>
      <c r="H1714" s="8" t="inlineStr">
        <is>
          <t>m3</t>
        </is>
      </c>
      <c r="I1714" s="8" t="inlineStr">
        <is>
          <t>cumulative</t>
        </is>
      </c>
      <c r="J1714" s="8" t="inlineStr">
        <is>
          <t>GH</t>
        </is>
      </c>
      <c r="K1714" s="8" t="inlineStr"/>
      <c r="L1714" s="10">
        <f>IFERROR(IF(F1714&lt;F1713,"NEGATIVE",ROUND(F1714-F1713,2)),"")</f>
        <v/>
      </c>
    </row>
    <row r="1715" ht="22" customHeight="1">
      <c r="B1715" s="5" t="inlineStr">
        <is>
          <t>R01711</t>
        </is>
      </c>
      <c r="C1715" s="5" t="inlineStr">
        <is>
          <t>MTR-PRC-005</t>
        </is>
      </c>
      <c r="D1715" s="5" t="inlineStr">
        <is>
          <t>Process Hall</t>
        </is>
      </c>
      <c r="E1715" s="5" t="inlineStr">
        <is>
          <t>Process Water Main</t>
        </is>
      </c>
      <c r="F1715" s="5" t="inlineStr">
        <is>
          <t>2024-08-12 08:00</t>
        </is>
      </c>
      <c r="G1715" s="11" t="n">
        <v>46616.55</v>
      </c>
      <c r="H1715" s="5" t="inlineStr">
        <is>
          <t>m3</t>
        </is>
      </c>
      <c r="I1715" s="5" t="inlineStr">
        <is>
          <t>cumulative</t>
        </is>
      </c>
      <c r="J1715" s="5" t="inlineStr">
        <is>
          <t>CD</t>
        </is>
      </c>
      <c r="K1715" s="5" t="inlineStr"/>
      <c r="L1715" s="7">
        <f>IFERROR(IF(F1715&lt;F1714,"NEGATIVE",ROUND(F1715-F1714,2)),"")</f>
        <v/>
      </c>
    </row>
    <row r="1716" ht="22" customHeight="1">
      <c r="B1716" s="8" t="inlineStr">
        <is>
          <t>R01712</t>
        </is>
      </c>
      <c r="C1716" s="8" t="inlineStr">
        <is>
          <t>MTR-PRC-005</t>
        </is>
      </c>
      <c r="D1716" s="8" t="inlineStr">
        <is>
          <t>Process Hall</t>
        </is>
      </c>
      <c r="E1716" s="8" t="inlineStr">
        <is>
          <t>Process Water Main</t>
        </is>
      </c>
      <c r="F1716" s="8" t="inlineStr">
        <is>
          <t>2024-08-13 08:00</t>
        </is>
      </c>
      <c r="G1716" s="12" t="n">
        <v>46642.01</v>
      </c>
      <c r="H1716" s="8" t="inlineStr">
        <is>
          <t>m3</t>
        </is>
      </c>
      <c r="I1716" s="8" t="inlineStr">
        <is>
          <t>cumulative</t>
        </is>
      </c>
      <c r="J1716" s="8" t="inlineStr">
        <is>
          <t>CD</t>
        </is>
      </c>
      <c r="K1716" s="8" t="inlineStr"/>
      <c r="L1716" s="10">
        <f>IFERROR(IF(F1716&lt;F1715,"NEGATIVE",ROUND(F1716-F1715,2)),"")</f>
        <v/>
      </c>
    </row>
    <row r="1717" ht="22" customHeight="1">
      <c r="B1717" s="5" t="inlineStr">
        <is>
          <t>R01713</t>
        </is>
      </c>
      <c r="C1717" s="5" t="inlineStr">
        <is>
          <t>MTR-PRC-005</t>
        </is>
      </c>
      <c r="D1717" s="5" t="inlineStr">
        <is>
          <t>Process Hall</t>
        </is>
      </c>
      <c r="E1717" s="5" t="inlineStr">
        <is>
          <t>Process Water Main</t>
        </is>
      </c>
      <c r="F1717" s="5" t="inlineStr">
        <is>
          <t>2024-08-14 08:00</t>
        </is>
      </c>
      <c r="G1717" s="11" t="n">
        <v>46667.62</v>
      </c>
      <c r="H1717" s="5" t="inlineStr">
        <is>
          <t>m3</t>
        </is>
      </c>
      <c r="I1717" s="5" t="inlineStr">
        <is>
          <t>cumulative</t>
        </is>
      </c>
      <c r="J1717" s="5" t="inlineStr">
        <is>
          <t>EF</t>
        </is>
      </c>
      <c r="K1717" s="5" t="inlineStr"/>
      <c r="L1717" s="7">
        <f>IFERROR(IF(F1717&lt;F1716,"NEGATIVE",ROUND(F1717-F1716,2)),"")</f>
        <v/>
      </c>
    </row>
    <row r="1718" ht="22" customHeight="1">
      <c r="B1718" s="8" t="inlineStr">
        <is>
          <t>R01714</t>
        </is>
      </c>
      <c r="C1718" s="8" t="inlineStr">
        <is>
          <t>MTR-PRC-005</t>
        </is>
      </c>
      <c r="D1718" s="8" t="inlineStr">
        <is>
          <t>Process Hall</t>
        </is>
      </c>
      <c r="E1718" s="8" t="inlineStr">
        <is>
          <t>Process Water Main</t>
        </is>
      </c>
      <c r="F1718" s="8" t="inlineStr">
        <is>
          <t>2024-08-15 08:00</t>
        </is>
      </c>
      <c r="G1718" s="12" t="n">
        <v>46694.02</v>
      </c>
      <c r="H1718" s="8" t="inlineStr">
        <is>
          <t>m3</t>
        </is>
      </c>
      <c r="I1718" s="8" t="inlineStr">
        <is>
          <t>cumulative</t>
        </is>
      </c>
      <c r="J1718" s="8" t="inlineStr">
        <is>
          <t>CD</t>
        </is>
      </c>
      <c r="K1718" s="8" t="inlineStr"/>
      <c r="L1718" s="10">
        <f>IFERROR(IF(F1718&lt;F1717,"NEGATIVE",ROUND(F1718-F1717,2)),"")</f>
        <v/>
      </c>
    </row>
    <row r="1719" ht="22" customHeight="1">
      <c r="B1719" s="5" t="inlineStr">
        <is>
          <t>R01715</t>
        </is>
      </c>
      <c r="C1719" s="5" t="inlineStr">
        <is>
          <t>MTR-PRC-005</t>
        </is>
      </c>
      <c r="D1719" s="5" t="inlineStr">
        <is>
          <t>Process Hall</t>
        </is>
      </c>
      <c r="E1719" s="5" t="inlineStr">
        <is>
          <t>Process Water Main</t>
        </is>
      </c>
      <c r="F1719" s="5" t="inlineStr">
        <is>
          <t>2024-08-16 08:00</t>
        </is>
      </c>
      <c r="G1719" s="11" t="n">
        <v>46719.51</v>
      </c>
      <c r="H1719" s="5" t="inlineStr">
        <is>
          <t>m3</t>
        </is>
      </c>
      <c r="I1719" s="5" t="inlineStr">
        <is>
          <t>cumulative</t>
        </is>
      </c>
      <c r="J1719" s="5" t="inlineStr">
        <is>
          <t>IJ</t>
        </is>
      </c>
      <c r="K1719" s="5" t="inlineStr"/>
      <c r="L1719" s="7">
        <f>IFERROR(IF(F1719&lt;F1718,"NEGATIVE",ROUND(F1719-F1718,2)),"")</f>
        <v/>
      </c>
    </row>
    <row r="1720" ht="22" customHeight="1">
      <c r="B1720" s="8" t="inlineStr">
        <is>
          <t>R01716</t>
        </is>
      </c>
      <c r="C1720" s="8" t="inlineStr">
        <is>
          <t>MTR-PRC-005</t>
        </is>
      </c>
      <c r="D1720" s="8" t="inlineStr">
        <is>
          <t>Process Hall</t>
        </is>
      </c>
      <c r="E1720" s="8" t="inlineStr">
        <is>
          <t>Process Water Main</t>
        </is>
      </c>
      <c r="F1720" s="8" t="inlineStr">
        <is>
          <t>2024-08-17 08:00</t>
        </is>
      </c>
      <c r="G1720" s="12" t="n">
        <v>46743.15</v>
      </c>
      <c r="H1720" s="8" t="inlineStr">
        <is>
          <t>m3</t>
        </is>
      </c>
      <c r="I1720" s="8" t="inlineStr">
        <is>
          <t>cumulative</t>
        </is>
      </c>
      <c r="J1720" s="8" t="inlineStr">
        <is>
          <t>AB</t>
        </is>
      </c>
      <c r="K1720" s="8" t="inlineStr"/>
      <c r="L1720" s="10">
        <f>IFERROR(IF(F1720&lt;F1719,"NEGATIVE",ROUND(F1720-F1719,2)),"")</f>
        <v/>
      </c>
    </row>
    <row r="1721" ht="22" customHeight="1">
      <c r="B1721" s="5" t="inlineStr">
        <is>
          <t>R01717</t>
        </is>
      </c>
      <c r="C1721" s="5" t="inlineStr">
        <is>
          <t>MTR-PRC-005</t>
        </is>
      </c>
      <c r="D1721" s="5" t="inlineStr">
        <is>
          <t>Process Hall</t>
        </is>
      </c>
      <c r="E1721" s="5" t="inlineStr">
        <is>
          <t>Process Water Main</t>
        </is>
      </c>
      <c r="F1721" s="5" t="inlineStr">
        <is>
          <t>2024-08-18 08:00</t>
        </is>
      </c>
      <c r="G1721" s="11" t="n">
        <v>46755.29</v>
      </c>
      <c r="H1721" s="5" t="inlineStr">
        <is>
          <t>m3</t>
        </is>
      </c>
      <c r="I1721" s="5" t="inlineStr">
        <is>
          <t>cumulative</t>
        </is>
      </c>
      <c r="J1721" s="5" t="inlineStr">
        <is>
          <t>IJ</t>
        </is>
      </c>
      <c r="K1721" s="5" t="inlineStr"/>
      <c r="L1721" s="7">
        <f>IFERROR(IF(F1721&lt;F1720,"NEGATIVE",ROUND(F1721-F1720,2)),"")</f>
        <v/>
      </c>
    </row>
    <row r="1722" ht="22" customHeight="1">
      <c r="B1722" s="8" t="inlineStr">
        <is>
          <t>R01718</t>
        </is>
      </c>
      <c r="C1722" s="8" t="inlineStr">
        <is>
          <t>MTR-PRC-005</t>
        </is>
      </c>
      <c r="D1722" s="8" t="inlineStr">
        <is>
          <t>Process Hall</t>
        </is>
      </c>
      <c r="E1722" s="8" t="inlineStr">
        <is>
          <t>Process Water Main</t>
        </is>
      </c>
      <c r="F1722" s="8" t="inlineStr">
        <is>
          <t>2024-08-19 08:00</t>
        </is>
      </c>
      <c r="G1722" s="12" t="n">
        <v>46782.6</v>
      </c>
      <c r="H1722" s="8" t="inlineStr">
        <is>
          <t>m3</t>
        </is>
      </c>
      <c r="I1722" s="8" t="inlineStr">
        <is>
          <t>cumulative</t>
        </is>
      </c>
      <c r="J1722" s="8" t="inlineStr">
        <is>
          <t>AB</t>
        </is>
      </c>
      <c r="K1722" s="8" t="inlineStr"/>
      <c r="L1722" s="10">
        <f>IFERROR(IF(F1722&lt;F1721,"NEGATIVE",ROUND(F1722-F1721,2)),"")</f>
        <v/>
      </c>
    </row>
    <row r="1723" ht="22" customHeight="1">
      <c r="B1723" s="5" t="inlineStr">
        <is>
          <t>R01719</t>
        </is>
      </c>
      <c r="C1723" s="5" t="inlineStr">
        <is>
          <t>MTR-PRC-005</t>
        </is>
      </c>
      <c r="D1723" s="5" t="inlineStr">
        <is>
          <t>Process Hall</t>
        </is>
      </c>
      <c r="E1723" s="5" t="inlineStr">
        <is>
          <t>Process Water Main</t>
        </is>
      </c>
      <c r="F1723" s="5" t="inlineStr">
        <is>
          <t>2024-08-20 08:00</t>
        </is>
      </c>
      <c r="G1723" s="11" t="n">
        <v>46812.89</v>
      </c>
      <c r="H1723" s="5" t="inlineStr">
        <is>
          <t>m3</t>
        </is>
      </c>
      <c r="I1723" s="5" t="inlineStr">
        <is>
          <t>cumulative</t>
        </is>
      </c>
      <c r="J1723" s="5" t="inlineStr">
        <is>
          <t>EF</t>
        </is>
      </c>
      <c r="K1723" s="5" t="inlineStr"/>
      <c r="L1723" s="7">
        <f>IFERROR(IF(F1723&lt;F1722,"NEGATIVE",ROUND(F1723-F1722,2)),"")</f>
        <v/>
      </c>
    </row>
    <row r="1724" ht="22" customHeight="1">
      <c r="B1724" s="8" t="inlineStr">
        <is>
          <t>R01720</t>
        </is>
      </c>
      <c r="C1724" s="8" t="inlineStr">
        <is>
          <t>MTR-PRC-005</t>
        </is>
      </c>
      <c r="D1724" s="8" t="inlineStr">
        <is>
          <t>Process Hall</t>
        </is>
      </c>
      <c r="E1724" s="8" t="inlineStr">
        <is>
          <t>Process Water Main</t>
        </is>
      </c>
      <c r="F1724" s="8" t="inlineStr">
        <is>
          <t>2024-08-21 08:00</t>
        </is>
      </c>
      <c r="G1724" s="12" t="n">
        <v>46837.23</v>
      </c>
      <c r="H1724" s="8" t="inlineStr">
        <is>
          <t>m3</t>
        </is>
      </c>
      <c r="I1724" s="8" t="inlineStr">
        <is>
          <t>cumulative</t>
        </is>
      </c>
      <c r="J1724" s="8" t="inlineStr">
        <is>
          <t>EF</t>
        </is>
      </c>
      <c r="K1724" s="8" t="inlineStr"/>
      <c r="L1724" s="10">
        <f>IFERROR(IF(F1724&lt;F1723,"NEGATIVE",ROUND(F1724-F1723,2)),"")</f>
        <v/>
      </c>
    </row>
    <row r="1725" ht="22" customHeight="1">
      <c r="B1725" s="5" t="inlineStr">
        <is>
          <t>R01721</t>
        </is>
      </c>
      <c r="C1725" s="5" t="inlineStr">
        <is>
          <t>MTR-PRC-005</t>
        </is>
      </c>
      <c r="D1725" s="5" t="inlineStr">
        <is>
          <t>Process Hall</t>
        </is>
      </c>
      <c r="E1725" s="5" t="inlineStr">
        <is>
          <t>Process Water Main</t>
        </is>
      </c>
      <c r="F1725" s="5" t="inlineStr">
        <is>
          <t>2024-08-22 08:00</t>
        </is>
      </c>
      <c r="G1725" s="11" t="n">
        <v>46860.74</v>
      </c>
      <c r="H1725" s="5" t="inlineStr">
        <is>
          <t>m3</t>
        </is>
      </c>
      <c r="I1725" s="5" t="inlineStr">
        <is>
          <t>cumulative</t>
        </is>
      </c>
      <c r="J1725" s="5" t="inlineStr">
        <is>
          <t>KL</t>
        </is>
      </c>
      <c r="K1725" s="5" t="inlineStr"/>
      <c r="L1725" s="7">
        <f>IFERROR(IF(F1725&lt;F1724,"NEGATIVE",ROUND(F1725-F1724,2)),"")</f>
        <v/>
      </c>
    </row>
    <row r="1726" ht="22" customHeight="1">
      <c r="B1726" s="8" t="inlineStr">
        <is>
          <t>R01722</t>
        </is>
      </c>
      <c r="C1726" s="8" t="inlineStr">
        <is>
          <t>MTR-PRC-005</t>
        </is>
      </c>
      <c r="D1726" s="8" t="inlineStr">
        <is>
          <t>Process Hall</t>
        </is>
      </c>
      <c r="E1726" s="8" t="inlineStr">
        <is>
          <t>Process Water Main</t>
        </is>
      </c>
      <c r="F1726" s="8" t="inlineStr">
        <is>
          <t>2024-08-23 08:00</t>
        </is>
      </c>
      <c r="G1726" s="12" t="n">
        <v>46885.86</v>
      </c>
      <c r="H1726" s="8" t="inlineStr">
        <is>
          <t>m3</t>
        </is>
      </c>
      <c r="I1726" s="8" t="inlineStr">
        <is>
          <t>cumulative</t>
        </is>
      </c>
      <c r="J1726" s="8" t="inlineStr">
        <is>
          <t>EF</t>
        </is>
      </c>
      <c r="K1726" s="8" t="inlineStr"/>
      <c r="L1726" s="10">
        <f>IFERROR(IF(F1726&lt;F1725,"NEGATIVE",ROUND(F1726-F1725,2)),"")</f>
        <v/>
      </c>
    </row>
    <row r="1727" ht="22" customHeight="1">
      <c r="B1727" s="5" t="inlineStr">
        <is>
          <t>R01723</t>
        </is>
      </c>
      <c r="C1727" s="5" t="inlineStr">
        <is>
          <t>MTR-PRC-005</t>
        </is>
      </c>
      <c r="D1727" s="5" t="inlineStr">
        <is>
          <t>Process Hall</t>
        </is>
      </c>
      <c r="E1727" s="5" t="inlineStr">
        <is>
          <t>Process Water Main</t>
        </is>
      </c>
      <c r="F1727" s="5" t="inlineStr">
        <is>
          <t>2024-08-24 08:00</t>
        </is>
      </c>
      <c r="G1727" s="11" t="n">
        <v>46907.7</v>
      </c>
      <c r="H1727" s="5" t="inlineStr">
        <is>
          <t>m3</t>
        </is>
      </c>
      <c r="I1727" s="5" t="inlineStr">
        <is>
          <t>cumulative</t>
        </is>
      </c>
      <c r="J1727" s="5" t="inlineStr">
        <is>
          <t>EF</t>
        </is>
      </c>
      <c r="K1727" s="5" t="inlineStr"/>
      <c r="L1727" s="7">
        <f>IFERROR(IF(F1727&lt;F1726,"NEGATIVE",ROUND(F1727-F1726,2)),"")</f>
        <v/>
      </c>
    </row>
    <row r="1728" ht="22" customHeight="1">
      <c r="B1728" s="8" t="inlineStr">
        <is>
          <t>R01724</t>
        </is>
      </c>
      <c r="C1728" s="8" t="inlineStr">
        <is>
          <t>MTR-PRC-005</t>
        </is>
      </c>
      <c r="D1728" s="8" t="inlineStr">
        <is>
          <t>Process Hall</t>
        </is>
      </c>
      <c r="E1728" s="8" t="inlineStr">
        <is>
          <t>Process Water Main</t>
        </is>
      </c>
      <c r="F1728" s="8" t="inlineStr">
        <is>
          <t>2024-08-25 08:00</t>
        </is>
      </c>
      <c r="G1728" s="12" t="n">
        <v>46922.09</v>
      </c>
      <c r="H1728" s="8" t="inlineStr">
        <is>
          <t>m3</t>
        </is>
      </c>
      <c r="I1728" s="8" t="inlineStr">
        <is>
          <t>cumulative</t>
        </is>
      </c>
      <c r="J1728" s="8" t="inlineStr">
        <is>
          <t>CD</t>
        </is>
      </c>
      <c r="K1728" s="8" t="inlineStr"/>
      <c r="L1728" s="10">
        <f>IFERROR(IF(F1728&lt;F1727,"NEGATIVE",ROUND(F1728-F1727,2)),"")</f>
        <v/>
      </c>
    </row>
    <row r="1729" ht="22" customHeight="1">
      <c r="B1729" s="5" t="inlineStr">
        <is>
          <t>R01725</t>
        </is>
      </c>
      <c r="C1729" s="5" t="inlineStr">
        <is>
          <t>MTR-PRC-005</t>
        </is>
      </c>
      <c r="D1729" s="5" t="inlineStr">
        <is>
          <t>Process Hall</t>
        </is>
      </c>
      <c r="E1729" s="5" t="inlineStr">
        <is>
          <t>Process Water Main</t>
        </is>
      </c>
      <c r="F1729" s="5" t="inlineStr">
        <is>
          <t>2024-08-26 08:00</t>
        </is>
      </c>
      <c r="G1729" s="11" t="n">
        <v>46946.16</v>
      </c>
      <c r="H1729" s="5" t="inlineStr">
        <is>
          <t>m3</t>
        </is>
      </c>
      <c r="I1729" s="5" t="inlineStr">
        <is>
          <t>cumulative</t>
        </is>
      </c>
      <c r="J1729" s="5" t="inlineStr">
        <is>
          <t>EF</t>
        </is>
      </c>
      <c r="K1729" s="5" t="inlineStr"/>
      <c r="L1729" s="7">
        <f>IFERROR(IF(F1729&lt;F1728,"NEGATIVE",ROUND(F1729-F1728,2)),"")</f>
        <v/>
      </c>
    </row>
    <row r="1730" ht="22" customHeight="1">
      <c r="B1730" s="8" t="inlineStr">
        <is>
          <t>R01726</t>
        </is>
      </c>
      <c r="C1730" s="8" t="inlineStr">
        <is>
          <t>MTR-PRC-005</t>
        </is>
      </c>
      <c r="D1730" s="8" t="inlineStr">
        <is>
          <t>Process Hall</t>
        </is>
      </c>
      <c r="E1730" s="8" t="inlineStr">
        <is>
          <t>Process Water Main</t>
        </is>
      </c>
      <c r="F1730" s="8" t="inlineStr">
        <is>
          <t>2024-08-27 08:00</t>
        </is>
      </c>
      <c r="G1730" s="12" t="n">
        <v>46969.65</v>
      </c>
      <c r="H1730" s="8" t="inlineStr">
        <is>
          <t>m3</t>
        </is>
      </c>
      <c r="I1730" s="8" t="inlineStr">
        <is>
          <t>cumulative</t>
        </is>
      </c>
      <c r="J1730" s="8" t="inlineStr">
        <is>
          <t>EF</t>
        </is>
      </c>
      <c r="K1730" s="8" t="inlineStr"/>
      <c r="L1730" s="10">
        <f>IFERROR(IF(F1730&lt;F1729,"NEGATIVE",ROUND(F1730-F1729,2)),"")</f>
        <v/>
      </c>
    </row>
    <row r="1731" ht="22" customHeight="1">
      <c r="B1731" s="5" t="inlineStr">
        <is>
          <t>R01727</t>
        </is>
      </c>
      <c r="C1731" s="5" t="inlineStr">
        <is>
          <t>MTR-PRC-005</t>
        </is>
      </c>
      <c r="D1731" s="5" t="inlineStr">
        <is>
          <t>Process Hall</t>
        </is>
      </c>
      <c r="E1731" s="5" t="inlineStr">
        <is>
          <t>Process Water Main</t>
        </is>
      </c>
      <c r="F1731" s="5" t="inlineStr">
        <is>
          <t>2024-08-28 08:00</t>
        </is>
      </c>
      <c r="G1731" s="11" t="n">
        <v>46994.73</v>
      </c>
      <c r="H1731" s="5" t="inlineStr">
        <is>
          <t>m3</t>
        </is>
      </c>
      <c r="I1731" s="5" t="inlineStr">
        <is>
          <t>cumulative</t>
        </is>
      </c>
      <c r="J1731" s="5" t="inlineStr">
        <is>
          <t>CD</t>
        </is>
      </c>
      <c r="K1731" s="5" t="inlineStr"/>
      <c r="L1731" s="7">
        <f>IFERROR(IF(F1731&lt;F1730,"NEGATIVE",ROUND(F1731-F1730,2)),"")</f>
        <v/>
      </c>
    </row>
    <row r="1732" ht="22" customHeight="1">
      <c r="B1732" s="8" t="inlineStr">
        <is>
          <t>R01728</t>
        </is>
      </c>
      <c r="C1732" s="8" t="inlineStr">
        <is>
          <t>MTR-PRC-005</t>
        </is>
      </c>
      <c r="D1732" s="8" t="inlineStr">
        <is>
          <t>Process Hall</t>
        </is>
      </c>
      <c r="E1732" s="8" t="inlineStr">
        <is>
          <t>Process Water Main</t>
        </is>
      </c>
      <c r="F1732" s="8" t="inlineStr">
        <is>
          <t>2024-08-29 08:00</t>
        </is>
      </c>
      <c r="G1732" s="12" t="n">
        <v>47021.19</v>
      </c>
      <c r="H1732" s="8" t="inlineStr">
        <is>
          <t>m3</t>
        </is>
      </c>
      <c r="I1732" s="8" t="inlineStr">
        <is>
          <t>cumulative</t>
        </is>
      </c>
      <c r="J1732" s="8" t="inlineStr">
        <is>
          <t>IJ</t>
        </is>
      </c>
      <c r="K1732" s="8" t="inlineStr"/>
      <c r="L1732" s="10">
        <f>IFERROR(IF(F1732&lt;F1731,"NEGATIVE",ROUND(F1732-F1731,2)),"")</f>
        <v/>
      </c>
    </row>
    <row r="1733" ht="22" customHeight="1">
      <c r="B1733" s="5" t="inlineStr">
        <is>
          <t>R01729</t>
        </is>
      </c>
      <c r="C1733" s="5" t="inlineStr">
        <is>
          <t>MTR-PRC-005</t>
        </is>
      </c>
      <c r="D1733" s="5" t="inlineStr">
        <is>
          <t>Process Hall</t>
        </is>
      </c>
      <c r="E1733" s="5" t="inlineStr">
        <is>
          <t>Process Water Main</t>
        </is>
      </c>
      <c r="F1733" s="5" t="inlineStr">
        <is>
          <t>2024-08-30 08:00</t>
        </is>
      </c>
      <c r="G1733" s="11" t="n">
        <v>47048.71</v>
      </c>
      <c r="H1733" s="5" t="inlineStr">
        <is>
          <t>m3</t>
        </is>
      </c>
      <c r="I1733" s="5" t="inlineStr">
        <is>
          <t>cumulative</t>
        </is>
      </c>
      <c r="J1733" s="5" t="inlineStr">
        <is>
          <t>EF</t>
        </is>
      </c>
      <c r="K1733" s="5" t="inlineStr"/>
      <c r="L1733" s="7">
        <f>IFERROR(IF(F1733&lt;F1732,"NEGATIVE",ROUND(F1733-F1732,2)),"")</f>
        <v/>
      </c>
    </row>
    <row r="1734" ht="22" customHeight="1">
      <c r="B1734" s="8" t="inlineStr">
        <is>
          <t>R01730</t>
        </is>
      </c>
      <c r="C1734" s="8" t="inlineStr">
        <is>
          <t>MTR-PRC-005</t>
        </is>
      </c>
      <c r="D1734" s="8" t="inlineStr">
        <is>
          <t>Process Hall</t>
        </is>
      </c>
      <c r="E1734" s="8" t="inlineStr">
        <is>
          <t>Process Water Main</t>
        </is>
      </c>
      <c r="F1734" s="8" t="inlineStr">
        <is>
          <t>2024-08-31 08:00</t>
        </is>
      </c>
      <c r="G1734" s="12" t="n">
        <v>47071.57</v>
      </c>
      <c r="H1734" s="8" t="inlineStr">
        <is>
          <t>m3</t>
        </is>
      </c>
      <c r="I1734" s="8" t="inlineStr">
        <is>
          <t>cumulative</t>
        </is>
      </c>
      <c r="J1734" s="8" t="inlineStr">
        <is>
          <t>GH</t>
        </is>
      </c>
      <c r="K1734" s="8" t="inlineStr"/>
      <c r="L1734" s="10">
        <f>IFERROR(IF(F1734&lt;F1733,"NEGATIVE",ROUND(F1734-F1733,2)),"")</f>
        <v/>
      </c>
    </row>
    <row r="1735" ht="22" customHeight="1">
      <c r="B1735" s="5" t="inlineStr">
        <is>
          <t>R01731</t>
        </is>
      </c>
      <c r="C1735" s="5" t="inlineStr">
        <is>
          <t>MTR-PRC-005</t>
        </is>
      </c>
      <c r="D1735" s="5" t="inlineStr">
        <is>
          <t>Process Hall</t>
        </is>
      </c>
      <c r="E1735" s="5" t="inlineStr">
        <is>
          <t>Process Water Main</t>
        </is>
      </c>
      <c r="F1735" s="5" t="inlineStr">
        <is>
          <t>2024-09-01 08:00</t>
        </is>
      </c>
      <c r="G1735" s="11" t="n">
        <v>47085.39</v>
      </c>
      <c r="H1735" s="5" t="inlineStr">
        <is>
          <t>m3</t>
        </is>
      </c>
      <c r="I1735" s="5" t="inlineStr">
        <is>
          <t>cumulative</t>
        </is>
      </c>
      <c r="J1735" s="5" t="inlineStr">
        <is>
          <t>GH</t>
        </is>
      </c>
      <c r="K1735" s="5" t="inlineStr"/>
      <c r="L1735" s="7">
        <f>IFERROR(IF(F1735&lt;F1734,"NEGATIVE",ROUND(F1735-F1734,2)),"")</f>
        <v/>
      </c>
    </row>
    <row r="1736" ht="22" customHeight="1">
      <c r="B1736" s="8" t="inlineStr">
        <is>
          <t>R01732</t>
        </is>
      </c>
      <c r="C1736" s="8" t="inlineStr">
        <is>
          <t>MTR-PRC-005</t>
        </is>
      </c>
      <c r="D1736" s="8" t="inlineStr">
        <is>
          <t>Process Hall</t>
        </is>
      </c>
      <c r="E1736" s="8" t="inlineStr">
        <is>
          <t>Process Water Main</t>
        </is>
      </c>
      <c r="F1736" s="8" t="inlineStr">
        <is>
          <t>2024-09-02 08:00</t>
        </is>
      </c>
      <c r="G1736" s="12" t="n">
        <v>47111.62</v>
      </c>
      <c r="H1736" s="8" t="inlineStr">
        <is>
          <t>m3</t>
        </is>
      </c>
      <c r="I1736" s="8" t="inlineStr">
        <is>
          <t>cumulative</t>
        </is>
      </c>
      <c r="J1736" s="8" t="inlineStr">
        <is>
          <t>GH</t>
        </is>
      </c>
      <c r="K1736" s="8" t="inlineStr"/>
      <c r="L1736" s="10">
        <f>IFERROR(IF(F1736&lt;F1735,"NEGATIVE",ROUND(F1736-F1735,2)),"")</f>
        <v/>
      </c>
    </row>
    <row r="1737" ht="22" customHeight="1">
      <c r="B1737" s="5" t="inlineStr">
        <is>
          <t>R01733</t>
        </is>
      </c>
      <c r="C1737" s="5" t="inlineStr">
        <is>
          <t>MTR-PRC-005</t>
        </is>
      </c>
      <c r="D1737" s="5" t="inlineStr">
        <is>
          <t>Process Hall</t>
        </is>
      </c>
      <c r="E1737" s="5" t="inlineStr">
        <is>
          <t>Process Water Main</t>
        </is>
      </c>
      <c r="F1737" s="5" t="inlineStr">
        <is>
          <t>2024-09-03 08:00</t>
        </is>
      </c>
      <c r="G1737" s="11" t="n">
        <v>47137.02</v>
      </c>
      <c r="H1737" s="5" t="inlineStr">
        <is>
          <t>m3</t>
        </is>
      </c>
      <c r="I1737" s="5" t="inlineStr">
        <is>
          <t>cumulative</t>
        </is>
      </c>
      <c r="J1737" s="5" t="inlineStr">
        <is>
          <t>AB</t>
        </is>
      </c>
      <c r="K1737" s="5" t="inlineStr"/>
      <c r="L1737" s="7">
        <f>IFERROR(IF(F1737&lt;F1736,"NEGATIVE",ROUND(F1737-F1736,2)),"")</f>
        <v/>
      </c>
    </row>
    <row r="1738" ht="22" customHeight="1">
      <c r="B1738" s="8" t="inlineStr">
        <is>
          <t>R01734</t>
        </is>
      </c>
      <c r="C1738" s="8" t="inlineStr">
        <is>
          <t>MTR-PRC-005</t>
        </is>
      </c>
      <c r="D1738" s="8" t="inlineStr">
        <is>
          <t>Process Hall</t>
        </is>
      </c>
      <c r="E1738" s="8" t="inlineStr">
        <is>
          <t>Process Water Main</t>
        </is>
      </c>
      <c r="F1738" s="8" t="inlineStr">
        <is>
          <t>2024-09-04 08:00</t>
        </is>
      </c>
      <c r="G1738" s="12" t="n">
        <v>47163.79</v>
      </c>
      <c r="H1738" s="8" t="inlineStr">
        <is>
          <t>m3</t>
        </is>
      </c>
      <c r="I1738" s="8" t="inlineStr">
        <is>
          <t>cumulative</t>
        </is>
      </c>
      <c r="J1738" s="8" t="inlineStr">
        <is>
          <t>CD</t>
        </is>
      </c>
      <c r="K1738" s="8" t="inlineStr"/>
      <c r="L1738" s="10">
        <f>IFERROR(IF(F1738&lt;F1737,"NEGATIVE",ROUND(F1738-F1737,2)),"")</f>
        <v/>
      </c>
    </row>
    <row r="1739" ht="22" customHeight="1">
      <c r="B1739" s="5" t="inlineStr">
        <is>
          <t>R01735</t>
        </is>
      </c>
      <c r="C1739" s="5" t="inlineStr">
        <is>
          <t>MTR-PRC-005</t>
        </is>
      </c>
      <c r="D1739" s="5" t="inlineStr">
        <is>
          <t>Process Hall</t>
        </is>
      </c>
      <c r="E1739" s="5" t="inlineStr">
        <is>
          <t>Process Water Main</t>
        </is>
      </c>
      <c r="F1739" s="5" t="inlineStr">
        <is>
          <t>2024-09-05 08:00</t>
        </is>
      </c>
      <c r="G1739" s="11" t="n">
        <v>47187.86</v>
      </c>
      <c r="H1739" s="5" t="inlineStr">
        <is>
          <t>m3</t>
        </is>
      </c>
      <c r="I1739" s="5" t="inlineStr">
        <is>
          <t>cumulative</t>
        </is>
      </c>
      <c r="J1739" s="5" t="inlineStr">
        <is>
          <t>IJ</t>
        </is>
      </c>
      <c r="K1739" s="5" t="inlineStr"/>
      <c r="L1739" s="7">
        <f>IFERROR(IF(F1739&lt;F1738,"NEGATIVE",ROUND(F1739-F1738,2)),"")</f>
        <v/>
      </c>
    </row>
    <row r="1740" ht="22" customHeight="1">
      <c r="B1740" s="8" t="inlineStr">
        <is>
          <t>R01736</t>
        </is>
      </c>
      <c r="C1740" s="8" t="inlineStr">
        <is>
          <t>MTR-PRC-005</t>
        </is>
      </c>
      <c r="D1740" s="8" t="inlineStr">
        <is>
          <t>Process Hall</t>
        </is>
      </c>
      <c r="E1740" s="8" t="inlineStr">
        <is>
          <t>Process Water Main</t>
        </is>
      </c>
      <c r="F1740" s="8" t="inlineStr">
        <is>
          <t>2024-09-06 08:00</t>
        </is>
      </c>
      <c r="G1740" s="12" t="n">
        <v>47215.3</v>
      </c>
      <c r="H1740" s="8" t="inlineStr">
        <is>
          <t>m3</t>
        </is>
      </c>
      <c r="I1740" s="8" t="inlineStr">
        <is>
          <t>cumulative</t>
        </is>
      </c>
      <c r="J1740" s="8" t="inlineStr">
        <is>
          <t>CD</t>
        </is>
      </c>
      <c r="K1740" s="8" t="inlineStr"/>
      <c r="L1740" s="10">
        <f>IFERROR(IF(F1740&lt;F1739,"NEGATIVE",ROUND(F1740-F1739,2)),"")</f>
        <v/>
      </c>
    </row>
    <row r="1741" ht="22" customHeight="1">
      <c r="B1741" s="5" t="inlineStr">
        <is>
          <t>R01737</t>
        </is>
      </c>
      <c r="C1741" s="5" t="inlineStr">
        <is>
          <t>MTR-PRC-005</t>
        </is>
      </c>
      <c r="D1741" s="5" t="inlineStr">
        <is>
          <t>Process Hall</t>
        </is>
      </c>
      <c r="E1741" s="5" t="inlineStr">
        <is>
          <t>Process Water Main</t>
        </is>
      </c>
      <c r="F1741" s="5" t="inlineStr">
        <is>
          <t>2024-09-07 08:00</t>
        </is>
      </c>
      <c r="G1741" s="11" t="n">
        <v>47237.05</v>
      </c>
      <c r="H1741" s="5" t="inlineStr">
        <is>
          <t>m3</t>
        </is>
      </c>
      <c r="I1741" s="5" t="inlineStr">
        <is>
          <t>cumulative</t>
        </is>
      </c>
      <c r="J1741" s="5" t="inlineStr">
        <is>
          <t>GH</t>
        </is>
      </c>
      <c r="K1741" s="5" t="inlineStr"/>
      <c r="L1741" s="7">
        <f>IFERROR(IF(F1741&lt;F1740,"NEGATIVE",ROUND(F1741-F1740,2)),"")</f>
        <v/>
      </c>
    </row>
    <row r="1742" ht="22" customHeight="1">
      <c r="B1742" s="8" t="inlineStr">
        <is>
          <t>R01738</t>
        </is>
      </c>
      <c r="C1742" s="8" t="inlineStr">
        <is>
          <t>MTR-PRC-005</t>
        </is>
      </c>
      <c r="D1742" s="8" t="inlineStr">
        <is>
          <t>Process Hall</t>
        </is>
      </c>
      <c r="E1742" s="8" t="inlineStr">
        <is>
          <t>Process Water Main</t>
        </is>
      </c>
      <c r="F1742" s="8" t="inlineStr">
        <is>
          <t>2024-09-08 08:00</t>
        </is>
      </c>
      <c r="G1742" s="12" t="n">
        <v>47249.9</v>
      </c>
      <c r="H1742" s="8" t="inlineStr">
        <is>
          <t>m3</t>
        </is>
      </c>
      <c r="I1742" s="8" t="inlineStr">
        <is>
          <t>cumulative</t>
        </is>
      </c>
      <c r="J1742" s="8" t="inlineStr">
        <is>
          <t>AB</t>
        </is>
      </c>
      <c r="K1742" s="8" t="inlineStr"/>
      <c r="L1742" s="10">
        <f>IFERROR(IF(F1742&lt;F1741,"NEGATIVE",ROUND(F1742-F1741,2)),"")</f>
        <v/>
      </c>
    </row>
    <row r="1743" ht="22" customHeight="1">
      <c r="B1743" s="5" t="inlineStr">
        <is>
          <t>R01739</t>
        </is>
      </c>
      <c r="C1743" s="5" t="inlineStr">
        <is>
          <t>MTR-PRC-005</t>
        </is>
      </c>
      <c r="D1743" s="5" t="inlineStr">
        <is>
          <t>Process Hall</t>
        </is>
      </c>
      <c r="E1743" s="5" t="inlineStr">
        <is>
          <t>Process Water Main</t>
        </is>
      </c>
      <c r="F1743" s="5" t="inlineStr">
        <is>
          <t>2024-09-09 08:00</t>
        </is>
      </c>
      <c r="G1743" s="11" t="n">
        <v>47273.58</v>
      </c>
      <c r="H1743" s="5" t="inlineStr">
        <is>
          <t>m3</t>
        </is>
      </c>
      <c r="I1743" s="5" t="inlineStr">
        <is>
          <t>cumulative</t>
        </is>
      </c>
      <c r="J1743" s="5" t="inlineStr">
        <is>
          <t>GH</t>
        </is>
      </c>
      <c r="K1743" s="5" t="inlineStr"/>
      <c r="L1743" s="7">
        <f>IFERROR(IF(F1743&lt;F1742,"NEGATIVE",ROUND(F1743-F1742,2)),"")</f>
        <v/>
      </c>
    </row>
    <row r="1744" ht="22" customHeight="1">
      <c r="B1744" s="8" t="inlineStr">
        <is>
          <t>R01740</t>
        </is>
      </c>
      <c r="C1744" s="8" t="inlineStr">
        <is>
          <t>MTR-PRC-005</t>
        </is>
      </c>
      <c r="D1744" s="8" t="inlineStr">
        <is>
          <t>Process Hall</t>
        </is>
      </c>
      <c r="E1744" s="8" t="inlineStr">
        <is>
          <t>Process Water Main</t>
        </is>
      </c>
      <c r="F1744" s="8" t="inlineStr">
        <is>
          <t>2024-09-10 08:00</t>
        </is>
      </c>
      <c r="G1744" s="12" t="n">
        <v>47301.49</v>
      </c>
      <c r="H1744" s="8" t="inlineStr">
        <is>
          <t>m3</t>
        </is>
      </c>
      <c r="I1744" s="8" t="inlineStr">
        <is>
          <t>cumulative</t>
        </is>
      </c>
      <c r="J1744" s="8" t="inlineStr">
        <is>
          <t>AB</t>
        </is>
      </c>
      <c r="K1744" s="8" t="inlineStr"/>
      <c r="L1744" s="10">
        <f>IFERROR(IF(F1744&lt;F1743,"NEGATIVE",ROUND(F1744-F1743,2)),"")</f>
        <v/>
      </c>
    </row>
    <row r="1745" ht="22" customHeight="1">
      <c r="B1745" s="5" t="inlineStr">
        <is>
          <t>R01741</t>
        </is>
      </c>
      <c r="C1745" s="5" t="inlineStr">
        <is>
          <t>MTR-PRC-005</t>
        </is>
      </c>
      <c r="D1745" s="5" t="inlineStr">
        <is>
          <t>Process Hall</t>
        </is>
      </c>
      <c r="E1745" s="5" t="inlineStr">
        <is>
          <t>Process Water Main</t>
        </is>
      </c>
      <c r="F1745" s="5" t="inlineStr">
        <is>
          <t>2024-09-11 08:00</t>
        </is>
      </c>
      <c r="G1745" s="11" t="n">
        <v>47330.54</v>
      </c>
      <c r="H1745" s="5" t="inlineStr">
        <is>
          <t>m3</t>
        </is>
      </c>
      <c r="I1745" s="5" t="inlineStr">
        <is>
          <t>cumulative</t>
        </is>
      </c>
      <c r="J1745" s="5" t="inlineStr">
        <is>
          <t>KL</t>
        </is>
      </c>
      <c r="K1745" s="5" t="inlineStr"/>
      <c r="L1745" s="7">
        <f>IFERROR(IF(F1745&lt;F1744,"NEGATIVE",ROUND(F1745-F1744,2)),"")</f>
        <v/>
      </c>
    </row>
    <row r="1746" ht="22" customHeight="1">
      <c r="B1746" s="8" t="inlineStr">
        <is>
          <t>R01742</t>
        </is>
      </c>
      <c r="C1746" s="8" t="inlineStr">
        <is>
          <t>MTR-PRC-005</t>
        </is>
      </c>
      <c r="D1746" s="8" t="inlineStr">
        <is>
          <t>Process Hall</t>
        </is>
      </c>
      <c r="E1746" s="8" t="inlineStr">
        <is>
          <t>Process Water Main</t>
        </is>
      </c>
      <c r="F1746" s="8" t="inlineStr">
        <is>
          <t>2024-09-12 08:00</t>
        </is>
      </c>
      <c r="G1746" s="12" t="n">
        <v>47357.39</v>
      </c>
      <c r="H1746" s="8" t="inlineStr">
        <is>
          <t>m3</t>
        </is>
      </c>
      <c r="I1746" s="8" t="inlineStr">
        <is>
          <t>cumulative</t>
        </is>
      </c>
      <c r="J1746" s="8" t="inlineStr">
        <is>
          <t>KL</t>
        </is>
      </c>
      <c r="K1746" s="8" t="inlineStr"/>
      <c r="L1746" s="10">
        <f>IFERROR(IF(F1746&lt;F1745,"NEGATIVE",ROUND(F1746-F1745,2)),"")</f>
        <v/>
      </c>
    </row>
    <row r="1747" ht="22" customHeight="1">
      <c r="B1747" s="5" t="inlineStr">
        <is>
          <t>R01743</t>
        </is>
      </c>
      <c r="C1747" s="5" t="inlineStr">
        <is>
          <t>MTR-PRC-005</t>
        </is>
      </c>
      <c r="D1747" s="5" t="inlineStr">
        <is>
          <t>Process Hall</t>
        </is>
      </c>
      <c r="E1747" s="5" t="inlineStr">
        <is>
          <t>Process Water Main</t>
        </is>
      </c>
      <c r="F1747" s="5" t="inlineStr">
        <is>
          <t>2024-09-13 08:00</t>
        </is>
      </c>
      <c r="G1747" s="11" t="n">
        <v>47383.41</v>
      </c>
      <c r="H1747" s="5" t="inlineStr">
        <is>
          <t>m3</t>
        </is>
      </c>
      <c r="I1747" s="5" t="inlineStr">
        <is>
          <t>cumulative</t>
        </is>
      </c>
      <c r="J1747" s="5" t="inlineStr">
        <is>
          <t>GH</t>
        </is>
      </c>
      <c r="K1747" s="5" t="inlineStr"/>
      <c r="L1747" s="7">
        <f>IFERROR(IF(F1747&lt;F1746,"NEGATIVE",ROUND(F1747-F1746,2)),"")</f>
        <v/>
      </c>
    </row>
    <row r="1748" ht="22" customHeight="1">
      <c r="B1748" s="8" t="inlineStr">
        <is>
          <t>R01744</t>
        </is>
      </c>
      <c r="C1748" s="8" t="inlineStr">
        <is>
          <t>MTR-PRC-005</t>
        </is>
      </c>
      <c r="D1748" s="8" t="inlineStr">
        <is>
          <t>Process Hall</t>
        </is>
      </c>
      <c r="E1748" s="8" t="inlineStr">
        <is>
          <t>Process Water Main</t>
        </is>
      </c>
      <c r="F1748" s="8" t="inlineStr">
        <is>
          <t>2024-09-14 08:00</t>
        </is>
      </c>
      <c r="G1748" s="12" t="n">
        <v>47401.77</v>
      </c>
      <c r="H1748" s="8" t="inlineStr">
        <is>
          <t>m3</t>
        </is>
      </c>
      <c r="I1748" s="8" t="inlineStr">
        <is>
          <t>cumulative</t>
        </is>
      </c>
      <c r="J1748" s="8" t="inlineStr">
        <is>
          <t>AB</t>
        </is>
      </c>
      <c r="K1748" s="8" t="inlineStr"/>
      <c r="L1748" s="10">
        <f>IFERROR(IF(F1748&lt;F1747,"NEGATIVE",ROUND(F1748-F1747,2)),"")</f>
        <v/>
      </c>
    </row>
    <row r="1749" ht="22" customHeight="1">
      <c r="B1749" s="5" t="inlineStr">
        <is>
          <t>R01745</t>
        </is>
      </c>
      <c r="C1749" s="5" t="inlineStr">
        <is>
          <t>MTR-PRC-005</t>
        </is>
      </c>
      <c r="D1749" s="5" t="inlineStr">
        <is>
          <t>Process Hall</t>
        </is>
      </c>
      <c r="E1749" s="5" t="inlineStr">
        <is>
          <t>Process Water Main</t>
        </is>
      </c>
      <c r="F1749" s="5" t="inlineStr">
        <is>
          <t>2024-09-15 08:00</t>
        </is>
      </c>
      <c r="G1749" s="11" t="n">
        <v>47415.58</v>
      </c>
      <c r="H1749" s="5" t="inlineStr">
        <is>
          <t>m3</t>
        </is>
      </c>
      <c r="I1749" s="5" t="inlineStr">
        <is>
          <t>cumulative</t>
        </is>
      </c>
      <c r="J1749" s="5" t="inlineStr">
        <is>
          <t>IJ</t>
        </is>
      </c>
      <c r="K1749" s="5" t="inlineStr"/>
      <c r="L1749" s="7">
        <f>IFERROR(IF(F1749&lt;F1748,"NEGATIVE",ROUND(F1749-F1748,2)),"")</f>
        <v/>
      </c>
    </row>
    <row r="1750" ht="22" customHeight="1">
      <c r="B1750" s="8" t="inlineStr">
        <is>
          <t>R01746</t>
        </is>
      </c>
      <c r="C1750" s="8" t="inlineStr">
        <is>
          <t>MTR-PRC-005</t>
        </is>
      </c>
      <c r="D1750" s="8" t="inlineStr">
        <is>
          <t>Process Hall</t>
        </is>
      </c>
      <c r="E1750" s="8" t="inlineStr">
        <is>
          <t>Process Water Main</t>
        </is>
      </c>
      <c r="F1750" s="8" t="inlineStr">
        <is>
          <t>2024-09-16 08:00</t>
        </is>
      </c>
      <c r="G1750" s="12" t="n">
        <v>47438.24</v>
      </c>
      <c r="H1750" s="8" t="inlineStr">
        <is>
          <t>m3</t>
        </is>
      </c>
      <c r="I1750" s="8" t="inlineStr">
        <is>
          <t>cumulative</t>
        </is>
      </c>
      <c r="J1750" s="8" t="inlineStr">
        <is>
          <t>AB</t>
        </is>
      </c>
      <c r="K1750" s="8" t="inlineStr"/>
      <c r="L1750" s="10">
        <f>IFERROR(IF(F1750&lt;F1749,"NEGATIVE",ROUND(F1750-F1749,2)),"")</f>
        <v/>
      </c>
    </row>
    <row r="1751" ht="22" customHeight="1">
      <c r="B1751" s="5" t="inlineStr">
        <is>
          <t>R01747</t>
        </is>
      </c>
      <c r="C1751" s="5" t="inlineStr">
        <is>
          <t>MTR-PRC-005</t>
        </is>
      </c>
      <c r="D1751" s="5" t="inlineStr">
        <is>
          <t>Process Hall</t>
        </is>
      </c>
      <c r="E1751" s="5" t="inlineStr">
        <is>
          <t>Process Water Main</t>
        </is>
      </c>
      <c r="F1751" s="5" t="inlineStr">
        <is>
          <t>2024-09-17 08:00</t>
        </is>
      </c>
      <c r="G1751" s="11" t="n">
        <v>47460.89</v>
      </c>
      <c r="H1751" s="5" t="inlineStr">
        <is>
          <t>m3</t>
        </is>
      </c>
      <c r="I1751" s="5" t="inlineStr">
        <is>
          <t>cumulative</t>
        </is>
      </c>
      <c r="J1751" s="5" t="inlineStr">
        <is>
          <t>IJ</t>
        </is>
      </c>
      <c r="K1751" s="5" t="inlineStr"/>
      <c r="L1751" s="7">
        <f>IFERROR(IF(F1751&lt;F1750,"NEGATIVE",ROUND(F1751-F1750,2)),"")</f>
        <v/>
      </c>
    </row>
    <row r="1752" ht="22" customHeight="1">
      <c r="B1752" s="8" t="inlineStr">
        <is>
          <t>R01748</t>
        </is>
      </c>
      <c r="C1752" s="8" t="inlineStr">
        <is>
          <t>MTR-PRC-005</t>
        </is>
      </c>
      <c r="D1752" s="8" t="inlineStr">
        <is>
          <t>Process Hall</t>
        </is>
      </c>
      <c r="E1752" s="8" t="inlineStr">
        <is>
          <t>Process Water Main</t>
        </is>
      </c>
      <c r="F1752" s="8" t="inlineStr">
        <is>
          <t>2024-09-18 08:00</t>
        </is>
      </c>
      <c r="G1752" s="12" t="n">
        <v>47484.35</v>
      </c>
      <c r="H1752" s="8" t="inlineStr">
        <is>
          <t>m3</t>
        </is>
      </c>
      <c r="I1752" s="8" t="inlineStr">
        <is>
          <t>cumulative</t>
        </is>
      </c>
      <c r="J1752" s="8" t="inlineStr">
        <is>
          <t>GH</t>
        </is>
      </c>
      <c r="K1752" s="8" t="inlineStr"/>
      <c r="L1752" s="10">
        <f>IFERROR(IF(F1752&lt;F1751,"NEGATIVE",ROUND(F1752-F1751,2)),"")</f>
        <v/>
      </c>
    </row>
    <row r="1753" ht="22" customHeight="1">
      <c r="B1753" s="5" t="inlineStr">
        <is>
          <t>R01749</t>
        </is>
      </c>
      <c r="C1753" s="5" t="inlineStr">
        <is>
          <t>MTR-PRC-005</t>
        </is>
      </c>
      <c r="D1753" s="5" t="inlineStr">
        <is>
          <t>Process Hall</t>
        </is>
      </c>
      <c r="E1753" s="5" t="inlineStr">
        <is>
          <t>Process Water Main</t>
        </is>
      </c>
      <c r="F1753" s="5" t="inlineStr">
        <is>
          <t>2024-09-19 08:00</t>
        </is>
      </c>
      <c r="G1753" s="11" t="n">
        <v>47513.24</v>
      </c>
      <c r="H1753" s="5" t="inlineStr">
        <is>
          <t>m3</t>
        </is>
      </c>
      <c r="I1753" s="5" t="inlineStr">
        <is>
          <t>cumulative</t>
        </is>
      </c>
      <c r="J1753" s="5" t="inlineStr">
        <is>
          <t>AB</t>
        </is>
      </c>
      <c r="K1753" s="5" t="inlineStr"/>
      <c r="L1753" s="7">
        <f>IFERROR(IF(F1753&lt;F1752,"NEGATIVE",ROUND(F1753-F1752,2)),"")</f>
        <v/>
      </c>
    </row>
    <row r="1754" ht="22" customHeight="1">
      <c r="B1754" s="8" t="inlineStr">
        <is>
          <t>R01750</t>
        </is>
      </c>
      <c r="C1754" s="8" t="inlineStr">
        <is>
          <t>MTR-PRC-005</t>
        </is>
      </c>
      <c r="D1754" s="8" t="inlineStr">
        <is>
          <t>Process Hall</t>
        </is>
      </c>
      <c r="E1754" s="8" t="inlineStr">
        <is>
          <t>Process Water Main</t>
        </is>
      </c>
      <c r="F1754" s="8" t="inlineStr">
        <is>
          <t>2024-09-20 08:00</t>
        </is>
      </c>
      <c r="G1754" s="12" t="n">
        <v>47535.36</v>
      </c>
      <c r="H1754" s="8" t="inlineStr">
        <is>
          <t>m3</t>
        </is>
      </c>
      <c r="I1754" s="8" t="inlineStr">
        <is>
          <t>cumulative</t>
        </is>
      </c>
      <c r="J1754" s="8" t="inlineStr">
        <is>
          <t>AB</t>
        </is>
      </c>
      <c r="K1754" s="8" t="inlineStr"/>
      <c r="L1754" s="10">
        <f>IFERROR(IF(F1754&lt;F1753,"NEGATIVE",ROUND(F1754-F1753,2)),"")</f>
        <v/>
      </c>
    </row>
    <row r="1755" ht="22" customHeight="1">
      <c r="B1755" s="5" t="inlineStr">
        <is>
          <t>R01751</t>
        </is>
      </c>
      <c r="C1755" s="5" t="inlineStr">
        <is>
          <t>MTR-PRC-005</t>
        </is>
      </c>
      <c r="D1755" s="5" t="inlineStr">
        <is>
          <t>Process Hall</t>
        </is>
      </c>
      <c r="E1755" s="5" t="inlineStr">
        <is>
          <t>Process Water Main</t>
        </is>
      </c>
      <c r="F1755" s="5" t="inlineStr">
        <is>
          <t>2024-09-21 08:00</t>
        </is>
      </c>
      <c r="G1755" s="11" t="n">
        <v>47555.82</v>
      </c>
      <c r="H1755" s="5" t="inlineStr">
        <is>
          <t>m3</t>
        </is>
      </c>
      <c r="I1755" s="5" t="inlineStr">
        <is>
          <t>cumulative</t>
        </is>
      </c>
      <c r="J1755" s="5" t="inlineStr">
        <is>
          <t>GH</t>
        </is>
      </c>
      <c r="K1755" s="5" t="inlineStr"/>
      <c r="L1755" s="7">
        <f>IFERROR(IF(F1755&lt;F1754,"NEGATIVE",ROUND(F1755-F1754,2)),"")</f>
        <v/>
      </c>
    </row>
    <row r="1756" ht="22" customHeight="1">
      <c r="B1756" s="8" t="inlineStr">
        <is>
          <t>R01752</t>
        </is>
      </c>
      <c r="C1756" s="8" t="inlineStr">
        <is>
          <t>MTR-PRC-005</t>
        </is>
      </c>
      <c r="D1756" s="8" t="inlineStr">
        <is>
          <t>Process Hall</t>
        </is>
      </c>
      <c r="E1756" s="8" t="inlineStr">
        <is>
          <t>Process Water Main</t>
        </is>
      </c>
      <c r="F1756" s="8" t="inlineStr">
        <is>
          <t>2024-09-22 08:00</t>
        </is>
      </c>
      <c r="G1756" s="12" t="n">
        <v>47569.52</v>
      </c>
      <c r="H1756" s="8" t="inlineStr">
        <is>
          <t>m3</t>
        </is>
      </c>
      <c r="I1756" s="8" t="inlineStr">
        <is>
          <t>cumulative</t>
        </is>
      </c>
      <c r="J1756" s="8" t="inlineStr">
        <is>
          <t>GH</t>
        </is>
      </c>
      <c r="K1756" s="8" t="inlineStr"/>
      <c r="L1756" s="10">
        <f>IFERROR(IF(F1756&lt;F1755,"NEGATIVE",ROUND(F1756-F1755,2)),"")</f>
        <v/>
      </c>
    </row>
    <row r="1757" ht="22" customHeight="1">
      <c r="B1757" s="5" t="inlineStr">
        <is>
          <t>R01753</t>
        </is>
      </c>
      <c r="C1757" s="5" t="inlineStr">
        <is>
          <t>MTR-PRC-005</t>
        </is>
      </c>
      <c r="D1757" s="5" t="inlineStr">
        <is>
          <t>Process Hall</t>
        </is>
      </c>
      <c r="E1757" s="5" t="inlineStr">
        <is>
          <t>Process Water Main</t>
        </is>
      </c>
      <c r="F1757" s="5" t="inlineStr">
        <is>
          <t>2024-09-23 08:00</t>
        </is>
      </c>
      <c r="G1757" s="11" t="n">
        <v>47598.69</v>
      </c>
      <c r="H1757" s="5" t="inlineStr">
        <is>
          <t>m3</t>
        </is>
      </c>
      <c r="I1757" s="5" t="inlineStr">
        <is>
          <t>cumulative</t>
        </is>
      </c>
      <c r="J1757" s="5" t="inlineStr">
        <is>
          <t>AB</t>
        </is>
      </c>
      <c r="K1757" s="5" t="inlineStr"/>
      <c r="L1757" s="7">
        <f>IFERROR(IF(F1757&lt;F1756,"NEGATIVE",ROUND(F1757-F1756,2)),"")</f>
        <v/>
      </c>
    </row>
    <row r="1758" ht="22" customHeight="1">
      <c r="B1758" s="8" t="inlineStr">
        <is>
          <t>R01754</t>
        </is>
      </c>
      <c r="C1758" s="8" t="inlineStr">
        <is>
          <t>MTR-PRC-005</t>
        </is>
      </c>
      <c r="D1758" s="8" t="inlineStr">
        <is>
          <t>Process Hall</t>
        </is>
      </c>
      <c r="E1758" s="8" t="inlineStr">
        <is>
          <t>Process Water Main</t>
        </is>
      </c>
      <c r="F1758" s="8" t="inlineStr">
        <is>
          <t>2024-09-24 08:00</t>
        </is>
      </c>
      <c r="G1758" s="12" t="n">
        <v>47620.77</v>
      </c>
      <c r="H1758" s="8" t="inlineStr">
        <is>
          <t>m3</t>
        </is>
      </c>
      <c r="I1758" s="8" t="inlineStr">
        <is>
          <t>cumulative</t>
        </is>
      </c>
      <c r="J1758" s="8" t="inlineStr">
        <is>
          <t>GH</t>
        </is>
      </c>
      <c r="K1758" s="8" t="inlineStr"/>
      <c r="L1758" s="10">
        <f>IFERROR(IF(F1758&lt;F1757,"NEGATIVE",ROUND(F1758-F1757,2)),"")</f>
        <v/>
      </c>
    </row>
    <row r="1759" ht="22" customHeight="1">
      <c r="B1759" s="5" t="inlineStr">
        <is>
          <t>R01755</t>
        </is>
      </c>
      <c r="C1759" s="5" t="inlineStr">
        <is>
          <t>MTR-PRC-005</t>
        </is>
      </c>
      <c r="D1759" s="5" t="inlineStr">
        <is>
          <t>Process Hall</t>
        </is>
      </c>
      <c r="E1759" s="5" t="inlineStr">
        <is>
          <t>Process Water Main</t>
        </is>
      </c>
      <c r="F1759" s="5" t="inlineStr">
        <is>
          <t>2024-09-25 08:00</t>
        </is>
      </c>
      <c r="G1759" s="11" t="n">
        <v>47648.75</v>
      </c>
      <c r="H1759" s="5" t="inlineStr">
        <is>
          <t>m3</t>
        </is>
      </c>
      <c r="I1759" s="5" t="inlineStr">
        <is>
          <t>cumulative</t>
        </is>
      </c>
      <c r="J1759" s="5" t="inlineStr">
        <is>
          <t>AB</t>
        </is>
      </c>
      <c r="K1759" s="5" t="inlineStr"/>
      <c r="L1759" s="7">
        <f>IFERROR(IF(F1759&lt;F1758,"NEGATIVE",ROUND(F1759-F1758,2)),"")</f>
        <v/>
      </c>
    </row>
    <row r="1760" ht="22" customHeight="1">
      <c r="B1760" s="8" t="inlineStr">
        <is>
          <t>R01756</t>
        </is>
      </c>
      <c r="C1760" s="8" t="inlineStr">
        <is>
          <t>MTR-PRC-005</t>
        </is>
      </c>
      <c r="D1760" s="8" t="inlineStr">
        <is>
          <t>Process Hall</t>
        </is>
      </c>
      <c r="E1760" s="8" t="inlineStr">
        <is>
          <t>Process Water Main</t>
        </is>
      </c>
      <c r="F1760" s="8" t="inlineStr">
        <is>
          <t>2024-09-26 08:00</t>
        </is>
      </c>
      <c r="G1760" s="12" t="n">
        <v>47671.17</v>
      </c>
      <c r="H1760" s="8" t="inlineStr">
        <is>
          <t>m3</t>
        </is>
      </c>
      <c r="I1760" s="8" t="inlineStr">
        <is>
          <t>cumulative</t>
        </is>
      </c>
      <c r="J1760" s="8" t="inlineStr">
        <is>
          <t>IJ</t>
        </is>
      </c>
      <c r="K1760" s="8" t="inlineStr"/>
      <c r="L1760" s="10">
        <f>IFERROR(IF(F1760&lt;F1759,"NEGATIVE",ROUND(F1760-F1759,2)),"")</f>
        <v/>
      </c>
    </row>
    <row r="1761" ht="22" customHeight="1">
      <c r="B1761" s="5" t="inlineStr">
        <is>
          <t>R01757</t>
        </is>
      </c>
      <c r="C1761" s="5" t="inlineStr">
        <is>
          <t>MTR-PRC-005</t>
        </is>
      </c>
      <c r="D1761" s="5" t="inlineStr">
        <is>
          <t>Process Hall</t>
        </is>
      </c>
      <c r="E1761" s="5" t="inlineStr">
        <is>
          <t>Process Water Main</t>
        </is>
      </c>
      <c r="F1761" s="5" t="inlineStr">
        <is>
          <t>2024-09-27 08:00</t>
        </is>
      </c>
      <c r="G1761" s="11" t="n">
        <v>47693.5</v>
      </c>
      <c r="H1761" s="5" t="inlineStr">
        <is>
          <t>m3</t>
        </is>
      </c>
      <c r="I1761" s="5" t="inlineStr">
        <is>
          <t>cumulative</t>
        </is>
      </c>
      <c r="J1761" s="5" t="inlineStr">
        <is>
          <t>AB</t>
        </is>
      </c>
      <c r="K1761" s="5" t="inlineStr"/>
      <c r="L1761" s="7">
        <f>IFERROR(IF(F1761&lt;F1760,"NEGATIVE",ROUND(F1761-F1760,2)),"")</f>
        <v/>
      </c>
    </row>
    <row r="1762" ht="22" customHeight="1">
      <c r="B1762" s="8" t="inlineStr">
        <is>
          <t>R01758</t>
        </is>
      </c>
      <c r="C1762" s="8" t="inlineStr">
        <is>
          <t>MTR-PRC-005</t>
        </is>
      </c>
      <c r="D1762" s="8" t="inlineStr">
        <is>
          <t>Process Hall</t>
        </is>
      </c>
      <c r="E1762" s="8" t="inlineStr">
        <is>
          <t>Process Water Main</t>
        </is>
      </c>
      <c r="F1762" s="8" t="inlineStr">
        <is>
          <t>2024-09-28 08:00</t>
        </is>
      </c>
      <c r="G1762" s="12" t="n">
        <v>47712.71</v>
      </c>
      <c r="H1762" s="8" t="inlineStr">
        <is>
          <t>m3</t>
        </is>
      </c>
      <c r="I1762" s="8" t="inlineStr">
        <is>
          <t>cumulative</t>
        </is>
      </c>
      <c r="J1762" s="8" t="inlineStr">
        <is>
          <t>CD</t>
        </is>
      </c>
      <c r="K1762" s="8" t="inlineStr"/>
      <c r="L1762" s="10">
        <f>IFERROR(IF(F1762&lt;F1761,"NEGATIVE",ROUND(F1762-F1761,2)),"")</f>
        <v/>
      </c>
    </row>
    <row r="1763" ht="22" customHeight="1">
      <c r="B1763" s="5" t="inlineStr">
        <is>
          <t>R01759</t>
        </is>
      </c>
      <c r="C1763" s="5" t="inlineStr">
        <is>
          <t>MTR-PRC-005</t>
        </is>
      </c>
      <c r="D1763" s="5" t="inlineStr">
        <is>
          <t>Process Hall</t>
        </is>
      </c>
      <c r="E1763" s="5" t="inlineStr">
        <is>
          <t>Process Water Main</t>
        </is>
      </c>
      <c r="F1763" s="5" t="inlineStr">
        <is>
          <t>2024-09-29 08:00</t>
        </is>
      </c>
      <c r="G1763" s="11" t="n">
        <v>47728.22</v>
      </c>
      <c r="H1763" s="5" t="inlineStr">
        <is>
          <t>m3</t>
        </is>
      </c>
      <c r="I1763" s="5" t="inlineStr">
        <is>
          <t>cumulative</t>
        </is>
      </c>
      <c r="J1763" s="5" t="inlineStr">
        <is>
          <t>GH</t>
        </is>
      </c>
      <c r="K1763" s="5" t="inlineStr"/>
      <c r="L1763" s="7">
        <f>IFERROR(IF(F1763&lt;F1762,"NEGATIVE",ROUND(F1763-F1762,2)),"")</f>
        <v/>
      </c>
    </row>
    <row r="1764" ht="22" customHeight="1">
      <c r="B1764" s="8" t="inlineStr">
        <is>
          <t>R01760</t>
        </is>
      </c>
      <c r="C1764" s="8" t="inlineStr">
        <is>
          <t>MTR-PRC-005</t>
        </is>
      </c>
      <c r="D1764" s="8" t="inlineStr">
        <is>
          <t>Process Hall</t>
        </is>
      </c>
      <c r="E1764" s="8" t="inlineStr">
        <is>
          <t>Process Water Main</t>
        </is>
      </c>
      <c r="F1764" s="8" t="inlineStr">
        <is>
          <t>2024-09-30 08:00</t>
        </is>
      </c>
      <c r="G1764" s="12" t="n">
        <v>47756.3</v>
      </c>
      <c r="H1764" s="8" t="inlineStr">
        <is>
          <t>m3</t>
        </is>
      </c>
      <c r="I1764" s="8" t="inlineStr">
        <is>
          <t>cumulative</t>
        </is>
      </c>
      <c r="J1764" s="8" t="inlineStr">
        <is>
          <t>KL</t>
        </is>
      </c>
      <c r="K1764" s="8" t="inlineStr"/>
      <c r="L1764" s="10">
        <f>IFERROR(IF(F1764&lt;F1763,"NEGATIVE",ROUND(F1764-F1763,2)),"")</f>
        <v/>
      </c>
    </row>
    <row r="1765" ht="22" customHeight="1">
      <c r="B1765" s="5" t="inlineStr">
        <is>
          <t>R01761</t>
        </is>
      </c>
      <c r="C1765" s="5" t="inlineStr">
        <is>
          <t>MTR-PRC-005</t>
        </is>
      </c>
      <c r="D1765" s="5" t="inlineStr">
        <is>
          <t>Process Hall</t>
        </is>
      </c>
      <c r="E1765" s="5" t="inlineStr">
        <is>
          <t>Process Water Main</t>
        </is>
      </c>
      <c r="F1765" s="5" t="inlineStr">
        <is>
          <t>2024-10-01 08:00</t>
        </is>
      </c>
      <c r="G1765" s="11" t="n">
        <v>47778.84</v>
      </c>
      <c r="H1765" s="5" t="inlineStr">
        <is>
          <t>m3</t>
        </is>
      </c>
      <c r="I1765" s="5" t="inlineStr">
        <is>
          <t>cumulative</t>
        </is>
      </c>
      <c r="J1765" s="5" t="inlineStr">
        <is>
          <t>GH</t>
        </is>
      </c>
      <c r="K1765" s="5" t="inlineStr"/>
      <c r="L1765" s="7">
        <f>IFERROR(IF(F1765&lt;F1764,"NEGATIVE",ROUND(F1765-F1764,2)),"")</f>
        <v/>
      </c>
    </row>
    <row r="1766" ht="22" customHeight="1">
      <c r="B1766" s="8" t="inlineStr">
        <is>
          <t>R01762</t>
        </is>
      </c>
      <c r="C1766" s="8" t="inlineStr">
        <is>
          <t>MTR-PRC-005</t>
        </is>
      </c>
      <c r="D1766" s="8" t="inlineStr">
        <is>
          <t>Process Hall</t>
        </is>
      </c>
      <c r="E1766" s="8" t="inlineStr">
        <is>
          <t>Process Water Main</t>
        </is>
      </c>
      <c r="F1766" s="8" t="inlineStr">
        <is>
          <t>2024-10-02 08:00</t>
        </is>
      </c>
      <c r="G1766" s="12" t="n">
        <v>47805.74</v>
      </c>
      <c r="H1766" s="8" t="inlineStr">
        <is>
          <t>m3</t>
        </is>
      </c>
      <c r="I1766" s="8" t="inlineStr">
        <is>
          <t>cumulative</t>
        </is>
      </c>
      <c r="J1766" s="8" t="inlineStr">
        <is>
          <t>AB</t>
        </is>
      </c>
      <c r="K1766" s="8" t="inlineStr"/>
      <c r="L1766" s="10">
        <f>IFERROR(IF(F1766&lt;F1765,"NEGATIVE",ROUND(F1766-F1765,2)),"")</f>
        <v/>
      </c>
    </row>
    <row r="1767" ht="22" customHeight="1">
      <c r="B1767" s="5" t="inlineStr">
        <is>
          <t>R01763</t>
        </is>
      </c>
      <c r="C1767" s="5" t="inlineStr">
        <is>
          <t>MTR-PRC-005</t>
        </is>
      </c>
      <c r="D1767" s="5" t="inlineStr">
        <is>
          <t>Process Hall</t>
        </is>
      </c>
      <c r="E1767" s="5" t="inlineStr">
        <is>
          <t>Process Water Main</t>
        </is>
      </c>
      <c r="F1767" s="5" t="inlineStr">
        <is>
          <t>2024-10-03 08:00</t>
        </is>
      </c>
      <c r="G1767" s="11" t="n">
        <v>47833.92</v>
      </c>
      <c r="H1767" s="5" t="inlineStr">
        <is>
          <t>m3</t>
        </is>
      </c>
      <c r="I1767" s="5" t="inlineStr">
        <is>
          <t>cumulative</t>
        </is>
      </c>
      <c r="J1767" s="5" t="inlineStr">
        <is>
          <t>IJ</t>
        </is>
      </c>
      <c r="K1767" s="5" t="inlineStr"/>
      <c r="L1767" s="7">
        <f>IFERROR(IF(F1767&lt;F1766,"NEGATIVE",ROUND(F1767-F1766,2)),"")</f>
        <v/>
      </c>
    </row>
    <row r="1768" ht="22" customHeight="1">
      <c r="B1768" s="8" t="inlineStr">
        <is>
          <t>R01764</t>
        </is>
      </c>
      <c r="C1768" s="8" t="inlineStr">
        <is>
          <t>MTR-PRC-005</t>
        </is>
      </c>
      <c r="D1768" s="8" t="inlineStr">
        <is>
          <t>Process Hall</t>
        </is>
      </c>
      <c r="E1768" s="8" t="inlineStr">
        <is>
          <t>Process Water Main</t>
        </is>
      </c>
      <c r="F1768" s="8" t="inlineStr">
        <is>
          <t>2024-10-04 08:00</t>
        </is>
      </c>
      <c r="G1768" s="12" t="n">
        <v>47859.79</v>
      </c>
      <c r="H1768" s="8" t="inlineStr">
        <is>
          <t>m3</t>
        </is>
      </c>
      <c r="I1768" s="8" t="inlineStr">
        <is>
          <t>cumulative</t>
        </is>
      </c>
      <c r="J1768" s="8" t="inlineStr">
        <is>
          <t>AB</t>
        </is>
      </c>
      <c r="K1768" s="8" t="inlineStr"/>
      <c r="L1768" s="10">
        <f>IFERROR(IF(F1768&lt;F1767,"NEGATIVE",ROUND(F1768-F1767,2)),"")</f>
        <v/>
      </c>
    </row>
    <row r="1769" ht="22" customHeight="1">
      <c r="B1769" s="5" t="inlineStr">
        <is>
          <t>R01765</t>
        </is>
      </c>
      <c r="C1769" s="5" t="inlineStr">
        <is>
          <t>MTR-PRC-005</t>
        </is>
      </c>
      <c r="D1769" s="5" t="inlineStr">
        <is>
          <t>Process Hall</t>
        </is>
      </c>
      <c r="E1769" s="5" t="inlineStr">
        <is>
          <t>Process Water Main</t>
        </is>
      </c>
      <c r="F1769" s="5" t="inlineStr">
        <is>
          <t>2024-10-05 08:00</t>
        </is>
      </c>
      <c r="G1769" s="11" t="n">
        <v>47878.78</v>
      </c>
      <c r="H1769" s="5" t="inlineStr">
        <is>
          <t>m3</t>
        </is>
      </c>
      <c r="I1769" s="5" t="inlineStr">
        <is>
          <t>cumulative</t>
        </is>
      </c>
      <c r="J1769" s="5" t="inlineStr">
        <is>
          <t>AB</t>
        </is>
      </c>
      <c r="K1769" s="5" t="inlineStr"/>
      <c r="L1769" s="7">
        <f>IFERROR(IF(F1769&lt;F1768,"NEGATIVE",ROUND(F1769-F1768,2)),"")</f>
        <v/>
      </c>
    </row>
    <row r="1770" ht="22" customHeight="1">
      <c r="B1770" s="8" t="inlineStr">
        <is>
          <t>R01766</t>
        </is>
      </c>
      <c r="C1770" s="8" t="inlineStr">
        <is>
          <t>MTR-PRC-005</t>
        </is>
      </c>
      <c r="D1770" s="8" t="inlineStr">
        <is>
          <t>Process Hall</t>
        </is>
      </c>
      <c r="E1770" s="8" t="inlineStr">
        <is>
          <t>Process Water Main</t>
        </is>
      </c>
      <c r="F1770" s="8" t="inlineStr">
        <is>
          <t>2024-10-06 08:00</t>
        </is>
      </c>
      <c r="G1770" s="12" t="n">
        <v>47892.11</v>
      </c>
      <c r="H1770" s="8" t="inlineStr">
        <is>
          <t>m3</t>
        </is>
      </c>
      <c r="I1770" s="8" t="inlineStr">
        <is>
          <t>cumulative</t>
        </is>
      </c>
      <c r="J1770" s="8" t="inlineStr">
        <is>
          <t>CD</t>
        </is>
      </c>
      <c r="K1770" s="8" t="inlineStr"/>
      <c r="L1770" s="10">
        <f>IFERROR(IF(F1770&lt;F1769,"NEGATIVE",ROUND(F1770-F1769,2)),"")</f>
        <v/>
      </c>
    </row>
    <row r="1771" ht="22" customHeight="1">
      <c r="B1771" s="5" t="inlineStr">
        <is>
          <t>R01767</t>
        </is>
      </c>
      <c r="C1771" s="5" t="inlineStr">
        <is>
          <t>MTR-PRC-005</t>
        </is>
      </c>
      <c r="D1771" s="5" t="inlineStr">
        <is>
          <t>Process Hall</t>
        </is>
      </c>
      <c r="E1771" s="5" t="inlineStr">
        <is>
          <t>Process Water Main</t>
        </is>
      </c>
      <c r="F1771" s="5" t="inlineStr">
        <is>
          <t>2024-10-07 08:00</t>
        </is>
      </c>
      <c r="G1771" s="11" t="n">
        <v>47915.14</v>
      </c>
      <c r="H1771" s="5" t="inlineStr">
        <is>
          <t>m3</t>
        </is>
      </c>
      <c r="I1771" s="5" t="inlineStr">
        <is>
          <t>cumulative</t>
        </is>
      </c>
      <c r="J1771" s="5" t="inlineStr">
        <is>
          <t>EF</t>
        </is>
      </c>
      <c r="K1771" s="5" t="inlineStr"/>
      <c r="L1771" s="7">
        <f>IFERROR(IF(F1771&lt;F1770,"NEGATIVE",ROUND(F1771-F1770,2)),"")</f>
        <v/>
      </c>
    </row>
    <row r="1772" ht="22" customHeight="1">
      <c r="B1772" s="8" t="inlineStr">
        <is>
          <t>R01768</t>
        </is>
      </c>
      <c r="C1772" s="8" t="inlineStr">
        <is>
          <t>MTR-PRC-005</t>
        </is>
      </c>
      <c r="D1772" s="8" t="inlineStr">
        <is>
          <t>Process Hall</t>
        </is>
      </c>
      <c r="E1772" s="8" t="inlineStr">
        <is>
          <t>Process Water Main</t>
        </is>
      </c>
      <c r="F1772" s="8" t="inlineStr">
        <is>
          <t>2024-10-08 08:00</t>
        </is>
      </c>
      <c r="G1772" s="12" t="n">
        <v>47936.78</v>
      </c>
      <c r="H1772" s="8" t="inlineStr">
        <is>
          <t>m3</t>
        </is>
      </c>
      <c r="I1772" s="8" t="inlineStr">
        <is>
          <t>cumulative</t>
        </is>
      </c>
      <c r="J1772" s="8" t="inlineStr">
        <is>
          <t>GH</t>
        </is>
      </c>
      <c r="K1772" s="8" t="inlineStr"/>
      <c r="L1772" s="10">
        <f>IFERROR(IF(F1772&lt;F1771,"NEGATIVE",ROUND(F1772-F1771,2)),"")</f>
        <v/>
      </c>
    </row>
    <row r="1773" ht="22" customHeight="1">
      <c r="B1773" s="5" t="inlineStr">
        <is>
          <t>R01769</t>
        </is>
      </c>
      <c r="C1773" s="5" t="inlineStr">
        <is>
          <t>MTR-PRC-005</t>
        </is>
      </c>
      <c r="D1773" s="5" t="inlineStr">
        <is>
          <t>Process Hall</t>
        </is>
      </c>
      <c r="E1773" s="5" t="inlineStr">
        <is>
          <t>Process Water Main</t>
        </is>
      </c>
      <c r="F1773" s="5" t="inlineStr">
        <is>
          <t>2024-10-09 08:00</t>
        </is>
      </c>
      <c r="G1773" s="11" t="n">
        <v>47964.45</v>
      </c>
      <c r="H1773" s="5" t="inlineStr">
        <is>
          <t>m3</t>
        </is>
      </c>
      <c r="I1773" s="5" t="inlineStr">
        <is>
          <t>cumulative</t>
        </is>
      </c>
      <c r="J1773" s="5" t="inlineStr">
        <is>
          <t>CD</t>
        </is>
      </c>
      <c r="K1773" s="5" t="inlineStr"/>
      <c r="L1773" s="7">
        <f>IFERROR(IF(F1773&lt;F1772,"NEGATIVE",ROUND(F1773-F1772,2)),"")</f>
        <v/>
      </c>
    </row>
    <row r="1774" ht="22" customHeight="1">
      <c r="B1774" s="8" t="inlineStr">
        <is>
          <t>R01770</t>
        </is>
      </c>
      <c r="C1774" s="8" t="inlineStr">
        <is>
          <t>MTR-PRC-005</t>
        </is>
      </c>
      <c r="D1774" s="8" t="inlineStr">
        <is>
          <t>Process Hall</t>
        </is>
      </c>
      <c r="E1774" s="8" t="inlineStr">
        <is>
          <t>Process Water Main</t>
        </is>
      </c>
      <c r="F1774" s="8" t="inlineStr">
        <is>
          <t>2024-10-10 08:00</t>
        </is>
      </c>
      <c r="G1774" s="12" t="n">
        <v>47986.02</v>
      </c>
      <c r="H1774" s="8" t="inlineStr">
        <is>
          <t>m3</t>
        </is>
      </c>
      <c r="I1774" s="8" t="inlineStr">
        <is>
          <t>cumulative</t>
        </is>
      </c>
      <c r="J1774" s="8" t="inlineStr">
        <is>
          <t>AB</t>
        </is>
      </c>
      <c r="K1774" s="8" t="inlineStr"/>
      <c r="L1774" s="10">
        <f>IFERROR(IF(F1774&lt;F1773,"NEGATIVE",ROUND(F1774-F1773,2)),"")</f>
        <v/>
      </c>
    </row>
    <row r="1775" ht="22" customHeight="1">
      <c r="B1775" s="5" t="inlineStr">
        <is>
          <t>R01771</t>
        </is>
      </c>
      <c r="C1775" s="5" t="inlineStr">
        <is>
          <t>MTR-PRC-005</t>
        </is>
      </c>
      <c r="D1775" s="5" t="inlineStr">
        <is>
          <t>Process Hall</t>
        </is>
      </c>
      <c r="E1775" s="5" t="inlineStr">
        <is>
          <t>Process Water Main</t>
        </is>
      </c>
      <c r="F1775" s="5" t="inlineStr">
        <is>
          <t>2024-10-11 08:00</t>
        </is>
      </c>
      <c r="G1775" s="11" t="n">
        <v>48010.69</v>
      </c>
      <c r="H1775" s="5" t="inlineStr">
        <is>
          <t>m3</t>
        </is>
      </c>
      <c r="I1775" s="5" t="inlineStr">
        <is>
          <t>cumulative</t>
        </is>
      </c>
      <c r="J1775" s="5" t="inlineStr">
        <is>
          <t>KL</t>
        </is>
      </c>
      <c r="K1775" s="5" t="inlineStr"/>
      <c r="L1775" s="7">
        <f>IFERROR(IF(F1775&lt;F1774,"NEGATIVE",ROUND(F1775-F1774,2)),"")</f>
        <v/>
      </c>
    </row>
    <row r="1776" ht="22" customHeight="1">
      <c r="B1776" s="8" t="inlineStr">
        <is>
          <t>R01772</t>
        </is>
      </c>
      <c r="C1776" s="8" t="inlineStr">
        <is>
          <t>MTR-PRC-005</t>
        </is>
      </c>
      <c r="D1776" s="8" t="inlineStr">
        <is>
          <t>Process Hall</t>
        </is>
      </c>
      <c r="E1776" s="8" t="inlineStr">
        <is>
          <t>Process Water Main</t>
        </is>
      </c>
      <c r="F1776" s="8" t="inlineStr">
        <is>
          <t>2024-10-12 08:00</t>
        </is>
      </c>
      <c r="G1776" s="12" t="n">
        <v>48028.23</v>
      </c>
      <c r="H1776" s="8" t="inlineStr">
        <is>
          <t>m3</t>
        </is>
      </c>
      <c r="I1776" s="8" t="inlineStr">
        <is>
          <t>cumulative</t>
        </is>
      </c>
      <c r="J1776" s="8" t="inlineStr">
        <is>
          <t>IJ</t>
        </is>
      </c>
      <c r="K1776" s="8" t="inlineStr"/>
      <c r="L1776" s="10">
        <f>IFERROR(IF(F1776&lt;F1775,"NEGATIVE",ROUND(F1776-F1775,2)),"")</f>
        <v/>
      </c>
    </row>
    <row r="1777" ht="22" customHeight="1">
      <c r="B1777" s="5" t="inlineStr">
        <is>
          <t>R01773</t>
        </is>
      </c>
      <c r="C1777" s="5" t="inlineStr">
        <is>
          <t>MTR-PRC-005</t>
        </is>
      </c>
      <c r="D1777" s="5" t="inlineStr">
        <is>
          <t>Process Hall</t>
        </is>
      </c>
      <c r="E1777" s="5" t="inlineStr">
        <is>
          <t>Process Water Main</t>
        </is>
      </c>
      <c r="F1777" s="5" t="inlineStr">
        <is>
          <t>2024-10-13 08:00</t>
        </is>
      </c>
      <c r="G1777" s="11" t="n">
        <v>48040.23</v>
      </c>
      <c r="H1777" s="5" t="inlineStr">
        <is>
          <t>m3</t>
        </is>
      </c>
      <c r="I1777" s="5" t="inlineStr">
        <is>
          <t>cumulative</t>
        </is>
      </c>
      <c r="J1777" s="5" t="inlineStr">
        <is>
          <t>IJ</t>
        </is>
      </c>
      <c r="K1777" s="5" t="inlineStr"/>
      <c r="L1777" s="7">
        <f>IFERROR(IF(F1777&lt;F1776,"NEGATIVE",ROUND(F1777-F1776,2)),"")</f>
        <v/>
      </c>
    </row>
    <row r="1778" ht="22" customHeight="1">
      <c r="B1778" s="8" t="inlineStr">
        <is>
          <t>R01774</t>
        </is>
      </c>
      <c r="C1778" s="8" t="inlineStr">
        <is>
          <t>MTR-PRC-005</t>
        </is>
      </c>
      <c r="D1778" s="8" t="inlineStr">
        <is>
          <t>Process Hall</t>
        </is>
      </c>
      <c r="E1778" s="8" t="inlineStr">
        <is>
          <t>Process Water Main</t>
        </is>
      </c>
      <c r="F1778" s="8" t="inlineStr">
        <is>
          <t>2024-10-14 08:00</t>
        </is>
      </c>
      <c r="G1778" s="12" t="n">
        <v>48065.43</v>
      </c>
      <c r="H1778" s="8" t="inlineStr">
        <is>
          <t>m3</t>
        </is>
      </c>
      <c r="I1778" s="8" t="inlineStr">
        <is>
          <t>cumulative</t>
        </is>
      </c>
      <c r="J1778" s="8" t="inlineStr">
        <is>
          <t>GH</t>
        </is>
      </c>
      <c r="K1778" s="8" t="inlineStr"/>
      <c r="L1778" s="10">
        <f>IFERROR(IF(F1778&lt;F1777,"NEGATIVE",ROUND(F1778-F1777,2)),"")</f>
        <v/>
      </c>
    </row>
    <row r="1779" ht="22" customHeight="1">
      <c r="B1779" s="5" t="inlineStr">
        <is>
          <t>R01775</t>
        </is>
      </c>
      <c r="C1779" s="5" t="inlineStr">
        <is>
          <t>MTR-PRC-005</t>
        </is>
      </c>
      <c r="D1779" s="5" t="inlineStr">
        <is>
          <t>Process Hall</t>
        </is>
      </c>
      <c r="E1779" s="5" t="inlineStr">
        <is>
          <t>Process Water Main</t>
        </is>
      </c>
      <c r="F1779" s="5" t="inlineStr">
        <is>
          <t>2024-10-15 08:00</t>
        </is>
      </c>
      <c r="G1779" s="11" t="n">
        <v>48094.38</v>
      </c>
      <c r="H1779" s="5" t="inlineStr">
        <is>
          <t>m3</t>
        </is>
      </c>
      <c r="I1779" s="5" t="inlineStr">
        <is>
          <t>cumulative</t>
        </is>
      </c>
      <c r="J1779" s="5" t="inlineStr">
        <is>
          <t>CD</t>
        </is>
      </c>
      <c r="K1779" s="5" t="inlineStr"/>
      <c r="L1779" s="7">
        <f>IFERROR(IF(F1779&lt;F1778,"NEGATIVE",ROUND(F1779-F1778,2)),"")</f>
        <v/>
      </c>
    </row>
    <row r="1780" ht="22" customHeight="1">
      <c r="B1780" s="8" t="inlineStr">
        <is>
          <t>R01776</t>
        </is>
      </c>
      <c r="C1780" s="8" t="inlineStr">
        <is>
          <t>MTR-PRC-005</t>
        </is>
      </c>
      <c r="D1780" s="8" t="inlineStr">
        <is>
          <t>Process Hall</t>
        </is>
      </c>
      <c r="E1780" s="8" t="inlineStr">
        <is>
          <t>Process Water Main</t>
        </is>
      </c>
      <c r="F1780" s="8" t="inlineStr">
        <is>
          <t>2024-10-16 08:00</t>
        </is>
      </c>
      <c r="G1780" s="12" t="n">
        <v>48118.46</v>
      </c>
      <c r="H1780" s="8" t="inlineStr">
        <is>
          <t>m3</t>
        </is>
      </c>
      <c r="I1780" s="8" t="inlineStr">
        <is>
          <t>cumulative</t>
        </is>
      </c>
      <c r="J1780" s="8" t="inlineStr">
        <is>
          <t>CD</t>
        </is>
      </c>
      <c r="K1780" s="8" t="inlineStr"/>
      <c r="L1780" s="10">
        <f>IFERROR(IF(F1780&lt;F1779,"NEGATIVE",ROUND(F1780-F1779,2)),"")</f>
        <v/>
      </c>
    </row>
    <row r="1781" ht="22" customHeight="1">
      <c r="B1781" s="5" t="inlineStr">
        <is>
          <t>R01777</t>
        </is>
      </c>
      <c r="C1781" s="5" t="inlineStr">
        <is>
          <t>MTR-PRC-005</t>
        </is>
      </c>
      <c r="D1781" s="5" t="inlineStr">
        <is>
          <t>Process Hall</t>
        </is>
      </c>
      <c r="E1781" s="5" t="inlineStr">
        <is>
          <t>Process Water Main</t>
        </is>
      </c>
      <c r="F1781" s="5" t="inlineStr">
        <is>
          <t>2024-10-17 08:00</t>
        </is>
      </c>
      <c r="G1781" s="11" t="n">
        <v>48144.12</v>
      </c>
      <c r="H1781" s="5" t="inlineStr">
        <is>
          <t>m3</t>
        </is>
      </c>
      <c r="I1781" s="5" t="inlineStr">
        <is>
          <t>cumulative</t>
        </is>
      </c>
      <c r="J1781" s="5" t="inlineStr">
        <is>
          <t>IJ</t>
        </is>
      </c>
      <c r="K1781" s="5" t="inlineStr"/>
      <c r="L1781" s="7">
        <f>IFERROR(IF(F1781&lt;F1780,"NEGATIVE",ROUND(F1781-F1780,2)),"")</f>
        <v/>
      </c>
    </row>
    <row r="1782" ht="22" customHeight="1">
      <c r="B1782" s="8" t="inlineStr">
        <is>
          <t>R01778</t>
        </is>
      </c>
      <c r="C1782" s="8" t="inlineStr">
        <is>
          <t>MTR-PRC-005</t>
        </is>
      </c>
      <c r="D1782" s="8" t="inlineStr">
        <is>
          <t>Process Hall</t>
        </is>
      </c>
      <c r="E1782" s="8" t="inlineStr">
        <is>
          <t>Process Water Main</t>
        </is>
      </c>
      <c r="F1782" s="8" t="inlineStr">
        <is>
          <t>2024-10-18 08:00</t>
        </is>
      </c>
      <c r="G1782" s="12" t="n">
        <v>48169.13</v>
      </c>
      <c r="H1782" s="8" t="inlineStr">
        <is>
          <t>m3</t>
        </is>
      </c>
      <c r="I1782" s="8" t="inlineStr">
        <is>
          <t>cumulative</t>
        </is>
      </c>
      <c r="J1782" s="8" t="inlineStr">
        <is>
          <t>EF</t>
        </is>
      </c>
      <c r="K1782" s="8" t="inlineStr"/>
      <c r="L1782" s="10">
        <f>IFERROR(IF(F1782&lt;F1781,"NEGATIVE",ROUND(F1782-F1781,2)),"")</f>
        <v/>
      </c>
    </row>
    <row r="1783" ht="22" customHeight="1">
      <c r="B1783" s="5" t="inlineStr">
        <is>
          <t>R01779</t>
        </is>
      </c>
      <c r="C1783" s="5" t="inlineStr">
        <is>
          <t>MTR-PRC-005</t>
        </is>
      </c>
      <c r="D1783" s="5" t="inlineStr">
        <is>
          <t>Process Hall</t>
        </is>
      </c>
      <c r="E1783" s="5" t="inlineStr">
        <is>
          <t>Process Water Main</t>
        </is>
      </c>
      <c r="F1783" s="5" t="inlineStr">
        <is>
          <t>2024-10-19 08:00</t>
        </is>
      </c>
      <c r="G1783" s="11" t="n">
        <v>48191.19</v>
      </c>
      <c r="H1783" s="5" t="inlineStr">
        <is>
          <t>m3</t>
        </is>
      </c>
      <c r="I1783" s="5" t="inlineStr">
        <is>
          <t>cumulative</t>
        </is>
      </c>
      <c r="J1783" s="5" t="inlineStr">
        <is>
          <t>IJ</t>
        </is>
      </c>
      <c r="K1783" s="5" t="inlineStr"/>
      <c r="L1783" s="7">
        <f>IFERROR(IF(F1783&lt;F1782,"NEGATIVE",ROUND(F1783-F1782,2)),"")</f>
        <v/>
      </c>
    </row>
    <row r="1784" ht="22" customHeight="1">
      <c r="B1784" s="8" t="inlineStr">
        <is>
          <t>R01780</t>
        </is>
      </c>
      <c r="C1784" s="8" t="inlineStr">
        <is>
          <t>MTR-PRC-005</t>
        </is>
      </c>
      <c r="D1784" s="8" t="inlineStr">
        <is>
          <t>Process Hall</t>
        </is>
      </c>
      <c r="E1784" s="8" t="inlineStr">
        <is>
          <t>Process Water Main</t>
        </is>
      </c>
      <c r="F1784" s="8" t="inlineStr">
        <is>
          <t>2024-10-20 08:00</t>
        </is>
      </c>
      <c r="G1784" s="12" t="n">
        <v>48205.3</v>
      </c>
      <c r="H1784" s="8" t="inlineStr">
        <is>
          <t>m3</t>
        </is>
      </c>
      <c r="I1784" s="8" t="inlineStr">
        <is>
          <t>cumulative</t>
        </is>
      </c>
      <c r="J1784" s="8" t="inlineStr">
        <is>
          <t>GH</t>
        </is>
      </c>
      <c r="K1784" s="8" t="inlineStr"/>
      <c r="L1784" s="10">
        <f>IFERROR(IF(F1784&lt;F1783,"NEGATIVE",ROUND(F1784-F1783,2)),"")</f>
        <v/>
      </c>
    </row>
    <row r="1785" ht="22" customHeight="1">
      <c r="B1785" s="5" t="inlineStr">
        <is>
          <t>R01781</t>
        </is>
      </c>
      <c r="C1785" s="5" t="inlineStr">
        <is>
          <t>MTR-PRC-005</t>
        </is>
      </c>
      <c r="D1785" s="5" t="inlineStr">
        <is>
          <t>Process Hall</t>
        </is>
      </c>
      <c r="E1785" s="5" t="inlineStr">
        <is>
          <t>Process Water Main</t>
        </is>
      </c>
      <c r="F1785" s="5" t="inlineStr">
        <is>
          <t>2024-10-21 08:00</t>
        </is>
      </c>
      <c r="G1785" s="11" t="n">
        <v>48231.73</v>
      </c>
      <c r="H1785" s="5" t="inlineStr">
        <is>
          <t>m3</t>
        </is>
      </c>
      <c r="I1785" s="5" t="inlineStr">
        <is>
          <t>cumulative</t>
        </is>
      </c>
      <c r="J1785" s="5" t="inlineStr">
        <is>
          <t>CD</t>
        </is>
      </c>
      <c r="K1785" s="5" t="inlineStr"/>
      <c r="L1785" s="7">
        <f>IFERROR(IF(F1785&lt;F1784,"NEGATIVE",ROUND(F1785-F1784,2)),"")</f>
        <v/>
      </c>
    </row>
    <row r="1786" ht="22" customHeight="1">
      <c r="B1786" s="8" t="inlineStr">
        <is>
          <t>R01782</t>
        </is>
      </c>
      <c r="C1786" s="8" t="inlineStr">
        <is>
          <t>MTR-PRC-005</t>
        </is>
      </c>
      <c r="D1786" s="8" t="inlineStr">
        <is>
          <t>Process Hall</t>
        </is>
      </c>
      <c r="E1786" s="8" t="inlineStr">
        <is>
          <t>Process Water Main</t>
        </is>
      </c>
      <c r="F1786" s="8" t="inlineStr">
        <is>
          <t>2024-10-22 08:00</t>
        </is>
      </c>
      <c r="G1786" s="12" t="n">
        <v>48253.38</v>
      </c>
      <c r="H1786" s="8" t="inlineStr">
        <is>
          <t>m3</t>
        </is>
      </c>
      <c r="I1786" s="8" t="inlineStr">
        <is>
          <t>cumulative</t>
        </is>
      </c>
      <c r="J1786" s="8" t="inlineStr">
        <is>
          <t>IJ</t>
        </is>
      </c>
      <c r="K1786" s="8" t="inlineStr"/>
      <c r="L1786" s="10">
        <f>IFERROR(IF(F1786&lt;F1785,"NEGATIVE",ROUND(F1786-F1785,2)),"")</f>
        <v/>
      </c>
    </row>
    <row r="1787" ht="22" customHeight="1">
      <c r="B1787" s="5" t="inlineStr">
        <is>
          <t>R01783</t>
        </is>
      </c>
      <c r="C1787" s="5" t="inlineStr">
        <is>
          <t>MTR-PRC-005</t>
        </is>
      </c>
      <c r="D1787" s="5" t="inlineStr">
        <is>
          <t>Process Hall</t>
        </is>
      </c>
      <c r="E1787" s="5" t="inlineStr">
        <is>
          <t>Process Water Main</t>
        </is>
      </c>
      <c r="F1787" s="5" t="inlineStr">
        <is>
          <t>2024-10-23 08:00</t>
        </is>
      </c>
      <c r="G1787" s="11" t="n">
        <v>48282.2</v>
      </c>
      <c r="H1787" s="5" t="inlineStr">
        <is>
          <t>m3</t>
        </is>
      </c>
      <c r="I1787" s="5" t="inlineStr">
        <is>
          <t>cumulative</t>
        </is>
      </c>
      <c r="J1787" s="5" t="inlineStr">
        <is>
          <t>CD</t>
        </is>
      </c>
      <c r="K1787" s="5" t="inlineStr"/>
      <c r="L1787" s="7">
        <f>IFERROR(IF(F1787&lt;F1786,"NEGATIVE",ROUND(F1787-F1786,2)),"")</f>
        <v/>
      </c>
    </row>
    <row r="1788" ht="22" customHeight="1">
      <c r="B1788" s="8" t="inlineStr">
        <is>
          <t>R01784</t>
        </is>
      </c>
      <c r="C1788" s="8" t="inlineStr">
        <is>
          <t>MTR-PRC-005</t>
        </is>
      </c>
      <c r="D1788" s="8" t="inlineStr">
        <is>
          <t>Process Hall</t>
        </is>
      </c>
      <c r="E1788" s="8" t="inlineStr">
        <is>
          <t>Process Water Main</t>
        </is>
      </c>
      <c r="F1788" s="8" t="inlineStr">
        <is>
          <t>2024-10-24 08:00</t>
        </is>
      </c>
      <c r="G1788" s="12" t="n">
        <v>48304.11</v>
      </c>
      <c r="H1788" s="8" t="inlineStr">
        <is>
          <t>m3</t>
        </is>
      </c>
      <c r="I1788" s="8" t="inlineStr">
        <is>
          <t>cumulative</t>
        </is>
      </c>
      <c r="J1788" s="8" t="inlineStr">
        <is>
          <t>EF</t>
        </is>
      </c>
      <c r="K1788" s="8" t="inlineStr"/>
      <c r="L1788" s="10">
        <f>IFERROR(IF(F1788&lt;F1787,"NEGATIVE",ROUND(F1788-F1787,2)),"")</f>
        <v/>
      </c>
    </row>
    <row r="1789" ht="22" customHeight="1">
      <c r="B1789" s="5" t="inlineStr">
        <is>
          <t>R01785</t>
        </is>
      </c>
      <c r="C1789" s="5" t="inlineStr">
        <is>
          <t>MTR-PRC-005</t>
        </is>
      </c>
      <c r="D1789" s="5" t="inlineStr">
        <is>
          <t>Process Hall</t>
        </is>
      </c>
      <c r="E1789" s="5" t="inlineStr">
        <is>
          <t>Process Water Main</t>
        </is>
      </c>
      <c r="F1789" s="5" t="inlineStr">
        <is>
          <t>2024-10-25 08:00</t>
        </is>
      </c>
      <c r="G1789" s="11" t="n">
        <v>48328.17</v>
      </c>
      <c r="H1789" s="5" t="inlineStr">
        <is>
          <t>m3</t>
        </is>
      </c>
      <c r="I1789" s="5" t="inlineStr">
        <is>
          <t>cumulative</t>
        </is>
      </c>
      <c r="J1789" s="5" t="inlineStr">
        <is>
          <t>GH</t>
        </is>
      </c>
      <c r="K1789" s="5" t="inlineStr"/>
      <c r="L1789" s="7">
        <f>IFERROR(IF(F1789&lt;F1788,"NEGATIVE",ROUND(F1789-F1788,2)),"")</f>
        <v/>
      </c>
    </row>
    <row r="1790" ht="22" customHeight="1">
      <c r="B1790" s="8" t="inlineStr">
        <is>
          <t>R01786</t>
        </is>
      </c>
      <c r="C1790" s="8" t="inlineStr">
        <is>
          <t>MTR-PRC-005</t>
        </is>
      </c>
      <c r="D1790" s="8" t="inlineStr">
        <is>
          <t>Process Hall</t>
        </is>
      </c>
      <c r="E1790" s="8" t="inlineStr">
        <is>
          <t>Process Water Main</t>
        </is>
      </c>
      <c r="F1790" s="8" t="inlineStr">
        <is>
          <t>2024-10-26 08:00</t>
        </is>
      </c>
      <c r="G1790" s="12" t="n">
        <v>48347.3</v>
      </c>
      <c r="H1790" s="8" t="inlineStr">
        <is>
          <t>m3</t>
        </is>
      </c>
      <c r="I1790" s="8" t="inlineStr">
        <is>
          <t>cumulative</t>
        </is>
      </c>
      <c r="J1790" s="8" t="inlineStr">
        <is>
          <t>EF</t>
        </is>
      </c>
      <c r="K1790" s="8" t="inlineStr"/>
      <c r="L1790" s="10">
        <f>IFERROR(IF(F1790&lt;F1789,"NEGATIVE",ROUND(F1790-F1789,2)),"")</f>
        <v/>
      </c>
    </row>
    <row r="1791" ht="22" customHeight="1">
      <c r="B1791" s="5" t="inlineStr">
        <is>
          <t>R01787</t>
        </is>
      </c>
      <c r="C1791" s="5" t="inlineStr">
        <is>
          <t>MTR-PRC-005</t>
        </is>
      </c>
      <c r="D1791" s="5" t="inlineStr">
        <is>
          <t>Process Hall</t>
        </is>
      </c>
      <c r="E1791" s="5" t="inlineStr">
        <is>
          <t>Process Water Main</t>
        </is>
      </c>
      <c r="F1791" s="5" t="inlineStr">
        <is>
          <t>2024-10-27 08:00</t>
        </is>
      </c>
      <c r="G1791" s="11" t="n">
        <v>48359.85</v>
      </c>
      <c r="H1791" s="5" t="inlineStr">
        <is>
          <t>m3</t>
        </is>
      </c>
      <c r="I1791" s="5" t="inlineStr">
        <is>
          <t>cumulative</t>
        </is>
      </c>
      <c r="J1791" s="5" t="inlineStr">
        <is>
          <t>IJ</t>
        </is>
      </c>
      <c r="K1791" s="5" t="inlineStr"/>
      <c r="L1791" s="7">
        <f>IFERROR(IF(F1791&lt;F1790,"NEGATIVE",ROUND(F1791-F1790,2)),"")</f>
        <v/>
      </c>
    </row>
    <row r="1792" ht="22" customHeight="1">
      <c r="B1792" s="8" t="inlineStr">
        <is>
          <t>R01788</t>
        </is>
      </c>
      <c r="C1792" s="8" t="inlineStr">
        <is>
          <t>MTR-PRC-005</t>
        </is>
      </c>
      <c r="D1792" s="8" t="inlineStr">
        <is>
          <t>Process Hall</t>
        </is>
      </c>
      <c r="E1792" s="8" t="inlineStr">
        <is>
          <t>Process Water Main</t>
        </is>
      </c>
      <c r="F1792" s="8" t="inlineStr">
        <is>
          <t>2024-10-28 08:00</t>
        </is>
      </c>
      <c r="G1792" s="12" t="n">
        <v>48384.34</v>
      </c>
      <c r="H1792" s="8" t="inlineStr">
        <is>
          <t>m3</t>
        </is>
      </c>
      <c r="I1792" s="8" t="inlineStr">
        <is>
          <t>cumulative</t>
        </is>
      </c>
      <c r="J1792" s="8" t="inlineStr">
        <is>
          <t>IJ</t>
        </is>
      </c>
      <c r="K1792" s="8" t="inlineStr"/>
      <c r="L1792" s="10">
        <f>IFERROR(IF(F1792&lt;F1791,"NEGATIVE",ROUND(F1792-F1791,2)),"")</f>
        <v/>
      </c>
    </row>
    <row r="1793" ht="22" customHeight="1">
      <c r="B1793" s="5" t="inlineStr">
        <is>
          <t>R01789</t>
        </is>
      </c>
      <c r="C1793" s="5" t="inlineStr">
        <is>
          <t>MTR-PRC-005</t>
        </is>
      </c>
      <c r="D1793" s="5" t="inlineStr">
        <is>
          <t>Process Hall</t>
        </is>
      </c>
      <c r="E1793" s="5" t="inlineStr">
        <is>
          <t>Process Water Main</t>
        </is>
      </c>
      <c r="F1793" s="5" t="inlineStr">
        <is>
          <t>2024-10-29 08:00</t>
        </is>
      </c>
      <c r="G1793" s="11" t="n">
        <v>48406.9</v>
      </c>
      <c r="H1793" s="5" t="inlineStr">
        <is>
          <t>m3</t>
        </is>
      </c>
      <c r="I1793" s="5" t="inlineStr">
        <is>
          <t>cumulative</t>
        </is>
      </c>
      <c r="J1793" s="5" t="inlineStr">
        <is>
          <t>EF</t>
        </is>
      </c>
      <c r="K1793" s="5" t="inlineStr"/>
      <c r="L1793" s="7">
        <f>IFERROR(IF(F1793&lt;F1792,"NEGATIVE",ROUND(F1793-F1792,2)),"")</f>
        <v/>
      </c>
    </row>
    <row r="1794" ht="22" customHeight="1">
      <c r="B1794" s="8" t="inlineStr">
        <is>
          <t>R01790</t>
        </is>
      </c>
      <c r="C1794" s="8" t="inlineStr">
        <is>
          <t>MTR-PRC-005</t>
        </is>
      </c>
      <c r="D1794" s="8" t="inlineStr">
        <is>
          <t>Process Hall</t>
        </is>
      </c>
      <c r="E1794" s="8" t="inlineStr">
        <is>
          <t>Process Water Main</t>
        </is>
      </c>
      <c r="F1794" s="8" t="inlineStr">
        <is>
          <t>2024-10-30 08:00</t>
        </is>
      </c>
      <c r="G1794" s="12" t="n">
        <v>48430.51</v>
      </c>
      <c r="H1794" s="8" t="inlineStr">
        <is>
          <t>m3</t>
        </is>
      </c>
      <c r="I1794" s="8" t="inlineStr">
        <is>
          <t>cumulative</t>
        </is>
      </c>
      <c r="J1794" s="8" t="inlineStr">
        <is>
          <t>AB</t>
        </is>
      </c>
      <c r="K1794" s="8" t="inlineStr"/>
      <c r="L1794" s="10">
        <f>IFERROR(IF(F1794&lt;F1793,"NEGATIVE",ROUND(F1794-F1793,2)),"")</f>
        <v/>
      </c>
    </row>
    <row r="1795" ht="22" customHeight="1">
      <c r="B1795" s="5" t="inlineStr">
        <is>
          <t>R01791</t>
        </is>
      </c>
      <c r="C1795" s="5" t="inlineStr">
        <is>
          <t>MTR-PRC-005</t>
        </is>
      </c>
      <c r="D1795" s="5" t="inlineStr">
        <is>
          <t>Process Hall</t>
        </is>
      </c>
      <c r="E1795" s="5" t="inlineStr">
        <is>
          <t>Process Water Main</t>
        </is>
      </c>
      <c r="F1795" s="5" t="inlineStr">
        <is>
          <t>2024-10-31 08:00</t>
        </is>
      </c>
      <c r="G1795" s="11" t="n">
        <v>48454.71</v>
      </c>
      <c r="H1795" s="5" t="inlineStr">
        <is>
          <t>m3</t>
        </is>
      </c>
      <c r="I1795" s="5" t="inlineStr">
        <is>
          <t>cumulative</t>
        </is>
      </c>
      <c r="J1795" s="5" t="inlineStr">
        <is>
          <t>GH</t>
        </is>
      </c>
      <c r="K1795" s="5" t="inlineStr"/>
      <c r="L1795" s="7">
        <f>IFERROR(IF(F1795&lt;F1794,"NEGATIVE",ROUND(F1795-F1794,2)),"")</f>
        <v/>
      </c>
    </row>
    <row r="1796" ht="22" customHeight="1">
      <c r="B1796" s="8" t="inlineStr">
        <is>
          <t>R01792</t>
        </is>
      </c>
      <c r="C1796" s="8" t="inlineStr">
        <is>
          <t>MTR-PRC-005</t>
        </is>
      </c>
      <c r="D1796" s="8" t="inlineStr">
        <is>
          <t>Process Hall</t>
        </is>
      </c>
      <c r="E1796" s="8" t="inlineStr">
        <is>
          <t>Process Water Main</t>
        </is>
      </c>
      <c r="F1796" s="8" t="inlineStr">
        <is>
          <t>2024-11-01 08:00</t>
        </is>
      </c>
      <c r="G1796" s="12" t="n">
        <v>48480.43</v>
      </c>
      <c r="H1796" s="8" t="inlineStr">
        <is>
          <t>m3</t>
        </is>
      </c>
      <c r="I1796" s="8" t="inlineStr">
        <is>
          <t>cumulative</t>
        </is>
      </c>
      <c r="J1796" s="8" t="inlineStr">
        <is>
          <t>AB</t>
        </is>
      </c>
      <c r="K1796" s="8" t="inlineStr"/>
      <c r="L1796" s="10">
        <f>IFERROR(IF(F1796&lt;F1795,"NEGATIVE",ROUND(F1796-F1795,2)),"")</f>
        <v/>
      </c>
    </row>
    <row r="1797" ht="22" customHeight="1">
      <c r="B1797" s="5" t="inlineStr">
        <is>
          <t>R01793</t>
        </is>
      </c>
      <c r="C1797" s="5" t="inlineStr">
        <is>
          <t>MTR-PRC-005</t>
        </is>
      </c>
      <c r="D1797" s="5" t="inlineStr">
        <is>
          <t>Process Hall</t>
        </is>
      </c>
      <c r="E1797" s="5" t="inlineStr">
        <is>
          <t>Process Water Main</t>
        </is>
      </c>
      <c r="F1797" s="5" t="inlineStr">
        <is>
          <t>2024-11-02 08:00</t>
        </is>
      </c>
      <c r="G1797" s="11" t="n">
        <v>48501.36</v>
      </c>
      <c r="H1797" s="5" t="inlineStr">
        <is>
          <t>m3</t>
        </is>
      </c>
      <c r="I1797" s="5" t="inlineStr">
        <is>
          <t>cumulative</t>
        </is>
      </c>
      <c r="J1797" s="5" t="inlineStr">
        <is>
          <t>GH</t>
        </is>
      </c>
      <c r="K1797" s="5" t="inlineStr"/>
      <c r="L1797" s="7">
        <f>IFERROR(IF(F1797&lt;F1796,"NEGATIVE",ROUND(F1797-F1796,2)),"")</f>
        <v/>
      </c>
    </row>
    <row r="1798" ht="22" customHeight="1">
      <c r="B1798" s="8" t="inlineStr">
        <is>
          <t>R01794</t>
        </is>
      </c>
      <c r="C1798" s="8" t="inlineStr">
        <is>
          <t>MTR-PRC-005</t>
        </is>
      </c>
      <c r="D1798" s="8" t="inlineStr">
        <is>
          <t>Process Hall</t>
        </is>
      </c>
      <c r="E1798" s="8" t="inlineStr">
        <is>
          <t>Process Water Main</t>
        </is>
      </c>
      <c r="F1798" s="8" t="inlineStr">
        <is>
          <t>2024-11-03 08:00</t>
        </is>
      </c>
      <c r="G1798" s="12" t="n">
        <v>48514.87</v>
      </c>
      <c r="H1798" s="8" t="inlineStr">
        <is>
          <t>m3</t>
        </is>
      </c>
      <c r="I1798" s="8" t="inlineStr">
        <is>
          <t>cumulative</t>
        </is>
      </c>
      <c r="J1798" s="8" t="inlineStr">
        <is>
          <t>IJ</t>
        </is>
      </c>
      <c r="K1798" s="8" t="inlineStr"/>
      <c r="L1798" s="10">
        <f>IFERROR(IF(F1798&lt;F1797,"NEGATIVE",ROUND(F1798-F1797,2)),"")</f>
        <v/>
      </c>
    </row>
    <row r="1799" ht="22" customHeight="1">
      <c r="B1799" s="5" t="inlineStr">
        <is>
          <t>R01795</t>
        </is>
      </c>
      <c r="C1799" s="5" t="inlineStr">
        <is>
          <t>MTR-PRC-005</t>
        </is>
      </c>
      <c r="D1799" s="5" t="inlineStr">
        <is>
          <t>Process Hall</t>
        </is>
      </c>
      <c r="E1799" s="5" t="inlineStr">
        <is>
          <t>Process Water Main</t>
        </is>
      </c>
      <c r="F1799" s="5" t="inlineStr">
        <is>
          <t>2024-11-04 08:00</t>
        </is>
      </c>
      <c r="G1799" s="11" t="n">
        <v>48538.88</v>
      </c>
      <c r="H1799" s="5" t="inlineStr">
        <is>
          <t>m3</t>
        </is>
      </c>
      <c r="I1799" s="5" t="inlineStr">
        <is>
          <t>cumulative</t>
        </is>
      </c>
      <c r="J1799" s="5" t="inlineStr">
        <is>
          <t>KL</t>
        </is>
      </c>
      <c r="K1799" s="5" t="inlineStr"/>
      <c r="L1799" s="7">
        <f>IFERROR(IF(F1799&lt;F1798,"NEGATIVE",ROUND(F1799-F1798,2)),"")</f>
        <v/>
      </c>
    </row>
    <row r="1800" ht="22" customHeight="1">
      <c r="B1800" s="8" t="inlineStr">
        <is>
          <t>R01796</t>
        </is>
      </c>
      <c r="C1800" s="8" t="inlineStr">
        <is>
          <t>MTR-PRC-005</t>
        </is>
      </c>
      <c r="D1800" s="8" t="inlineStr">
        <is>
          <t>Process Hall</t>
        </is>
      </c>
      <c r="E1800" s="8" t="inlineStr">
        <is>
          <t>Process Water Main</t>
        </is>
      </c>
      <c r="F1800" s="8" t="inlineStr">
        <is>
          <t>2024-11-05 08:00</t>
        </is>
      </c>
      <c r="G1800" s="12" t="n">
        <v>48565.99</v>
      </c>
      <c r="H1800" s="8" t="inlineStr">
        <is>
          <t>m3</t>
        </is>
      </c>
      <c r="I1800" s="8" t="inlineStr">
        <is>
          <t>cumulative</t>
        </is>
      </c>
      <c r="J1800" s="8" t="inlineStr">
        <is>
          <t>IJ</t>
        </is>
      </c>
      <c r="K1800" s="8" t="inlineStr"/>
      <c r="L1800" s="10">
        <f>IFERROR(IF(F1800&lt;F1799,"NEGATIVE",ROUND(F1800-F1799,2)),"")</f>
        <v/>
      </c>
    </row>
    <row r="1801" ht="22" customHeight="1">
      <c r="B1801" s="5" t="inlineStr">
        <is>
          <t>R01797</t>
        </is>
      </c>
      <c r="C1801" s="5" t="inlineStr">
        <is>
          <t>MTR-PRC-005</t>
        </is>
      </c>
      <c r="D1801" s="5" t="inlineStr">
        <is>
          <t>Process Hall</t>
        </is>
      </c>
      <c r="E1801" s="5" t="inlineStr">
        <is>
          <t>Process Water Main</t>
        </is>
      </c>
      <c r="F1801" s="5" t="inlineStr">
        <is>
          <t>2024-11-06 08:00</t>
        </is>
      </c>
      <c r="G1801" s="11" t="n">
        <v>48591.08</v>
      </c>
      <c r="H1801" s="5" t="inlineStr">
        <is>
          <t>m3</t>
        </is>
      </c>
      <c r="I1801" s="5" t="inlineStr">
        <is>
          <t>cumulative</t>
        </is>
      </c>
      <c r="J1801" s="5" t="inlineStr">
        <is>
          <t>AB</t>
        </is>
      </c>
      <c r="K1801" s="5" t="inlineStr"/>
      <c r="L1801" s="7">
        <f>IFERROR(IF(F1801&lt;F1800,"NEGATIVE",ROUND(F1801-F1800,2)),"")</f>
        <v/>
      </c>
    </row>
    <row r="1802" ht="22" customHeight="1">
      <c r="B1802" s="8" t="inlineStr">
        <is>
          <t>R01798</t>
        </is>
      </c>
      <c r="C1802" s="8" t="inlineStr">
        <is>
          <t>MTR-PRC-005</t>
        </is>
      </c>
      <c r="D1802" s="8" t="inlineStr">
        <is>
          <t>Process Hall</t>
        </is>
      </c>
      <c r="E1802" s="8" t="inlineStr">
        <is>
          <t>Process Water Main</t>
        </is>
      </c>
      <c r="F1802" s="8" t="inlineStr">
        <is>
          <t>2024-11-07 08:00</t>
        </is>
      </c>
      <c r="G1802" s="12" t="n">
        <v>48616.1</v>
      </c>
      <c r="H1802" s="8" t="inlineStr">
        <is>
          <t>m3</t>
        </is>
      </c>
      <c r="I1802" s="8" t="inlineStr">
        <is>
          <t>cumulative</t>
        </is>
      </c>
      <c r="J1802" s="8" t="inlineStr">
        <is>
          <t>GH</t>
        </is>
      </c>
      <c r="K1802" s="8" t="inlineStr"/>
      <c r="L1802" s="10">
        <f>IFERROR(IF(F1802&lt;F1801,"NEGATIVE",ROUND(F1802-F1801,2)),"")</f>
        <v/>
      </c>
    </row>
    <row r="1803" ht="22" customHeight="1">
      <c r="B1803" s="5" t="inlineStr">
        <is>
          <t>R01799</t>
        </is>
      </c>
      <c r="C1803" s="5" t="inlineStr">
        <is>
          <t>MTR-PRC-005</t>
        </is>
      </c>
      <c r="D1803" s="5" t="inlineStr">
        <is>
          <t>Process Hall</t>
        </is>
      </c>
      <c r="E1803" s="5" t="inlineStr">
        <is>
          <t>Process Water Main</t>
        </is>
      </c>
      <c r="F1803" s="5" t="inlineStr">
        <is>
          <t>2024-11-08 08:00</t>
        </is>
      </c>
      <c r="G1803" s="11" t="n">
        <v>48641.99</v>
      </c>
      <c r="H1803" s="5" t="inlineStr">
        <is>
          <t>m3</t>
        </is>
      </c>
      <c r="I1803" s="5" t="inlineStr">
        <is>
          <t>cumulative</t>
        </is>
      </c>
      <c r="J1803" s="5" t="inlineStr">
        <is>
          <t>AB</t>
        </is>
      </c>
      <c r="K1803" s="5" t="inlineStr"/>
      <c r="L1803" s="7">
        <f>IFERROR(IF(F1803&lt;F1802,"NEGATIVE",ROUND(F1803-F1802,2)),"")</f>
        <v/>
      </c>
    </row>
    <row r="1804" ht="22" customHeight="1">
      <c r="B1804" s="8" t="inlineStr">
        <is>
          <t>R01800</t>
        </is>
      </c>
      <c r="C1804" s="8" t="inlineStr">
        <is>
          <t>MTR-PRC-005</t>
        </is>
      </c>
      <c r="D1804" s="8" t="inlineStr">
        <is>
          <t>Process Hall</t>
        </is>
      </c>
      <c r="E1804" s="8" t="inlineStr">
        <is>
          <t>Process Water Main</t>
        </is>
      </c>
      <c r="F1804" s="8" t="inlineStr">
        <is>
          <t>2024-11-09 08:00</t>
        </is>
      </c>
      <c r="G1804" s="12" t="n">
        <v>48659.42</v>
      </c>
      <c r="H1804" s="8" t="inlineStr">
        <is>
          <t>m3</t>
        </is>
      </c>
      <c r="I1804" s="8" t="inlineStr">
        <is>
          <t>cumulative</t>
        </is>
      </c>
      <c r="J1804" s="8" t="inlineStr">
        <is>
          <t>CD</t>
        </is>
      </c>
      <c r="K1804" s="8" t="inlineStr"/>
      <c r="L1804" s="10">
        <f>IFERROR(IF(F1804&lt;F1803,"NEGATIVE",ROUND(F1804-F1803,2)),"")</f>
        <v/>
      </c>
    </row>
    <row r="1805" ht="22" customHeight="1">
      <c r="B1805" s="5" t="inlineStr">
        <is>
          <t>R01801</t>
        </is>
      </c>
      <c r="C1805" s="5" t="inlineStr">
        <is>
          <t>MTR-PRC-005</t>
        </is>
      </c>
      <c r="D1805" s="5" t="inlineStr">
        <is>
          <t>Process Hall</t>
        </is>
      </c>
      <c r="E1805" s="5" t="inlineStr">
        <is>
          <t>Process Water Main</t>
        </is>
      </c>
      <c r="F1805" s="5" t="inlineStr">
        <is>
          <t>2024-11-10 08:00</t>
        </is>
      </c>
      <c r="G1805" s="11" t="n">
        <v>48673.84</v>
      </c>
      <c r="H1805" s="5" t="inlineStr">
        <is>
          <t>m3</t>
        </is>
      </c>
      <c r="I1805" s="5" t="inlineStr">
        <is>
          <t>cumulative</t>
        </is>
      </c>
      <c r="J1805" s="5" t="inlineStr">
        <is>
          <t>GH</t>
        </is>
      </c>
      <c r="K1805" s="5" t="inlineStr"/>
      <c r="L1805" s="7">
        <f>IFERROR(IF(F1805&lt;F1804,"NEGATIVE",ROUND(F1805-F1804,2)),"")</f>
        <v/>
      </c>
    </row>
    <row r="1806" ht="22" customHeight="1">
      <c r="B1806" s="8" t="inlineStr">
        <is>
          <t>R01802</t>
        </is>
      </c>
      <c r="C1806" s="8" t="inlineStr">
        <is>
          <t>MTR-PRC-005</t>
        </is>
      </c>
      <c r="D1806" s="8" t="inlineStr">
        <is>
          <t>Process Hall</t>
        </is>
      </c>
      <c r="E1806" s="8" t="inlineStr">
        <is>
          <t>Process Water Main</t>
        </is>
      </c>
      <c r="F1806" s="8" t="inlineStr">
        <is>
          <t>2024-11-11 08:00</t>
        </is>
      </c>
      <c r="G1806" s="12" t="n">
        <v>48700.39</v>
      </c>
      <c r="H1806" s="8" t="inlineStr">
        <is>
          <t>m3</t>
        </is>
      </c>
      <c r="I1806" s="8" t="inlineStr">
        <is>
          <t>cumulative</t>
        </is>
      </c>
      <c r="J1806" s="8" t="inlineStr">
        <is>
          <t>IJ</t>
        </is>
      </c>
      <c r="K1806" s="8" t="inlineStr"/>
      <c r="L1806" s="10">
        <f>IFERROR(IF(F1806&lt;F1805,"NEGATIVE",ROUND(F1806-F1805,2)),"")</f>
        <v/>
      </c>
    </row>
    <row r="1807" ht="22" customHeight="1">
      <c r="B1807" s="5" t="inlineStr">
        <is>
          <t>R01803</t>
        </is>
      </c>
      <c r="C1807" s="5" t="inlineStr">
        <is>
          <t>MTR-PRC-005</t>
        </is>
      </c>
      <c r="D1807" s="5" t="inlineStr">
        <is>
          <t>Process Hall</t>
        </is>
      </c>
      <c r="E1807" s="5" t="inlineStr">
        <is>
          <t>Process Water Main</t>
        </is>
      </c>
      <c r="F1807" s="5" t="inlineStr">
        <is>
          <t>2024-11-12 08:00</t>
        </is>
      </c>
      <c r="G1807" s="11" t="n">
        <v>48722.67</v>
      </c>
      <c r="H1807" s="5" t="inlineStr">
        <is>
          <t>m3</t>
        </is>
      </c>
      <c r="I1807" s="5" t="inlineStr">
        <is>
          <t>cumulative</t>
        </is>
      </c>
      <c r="J1807" s="5" t="inlineStr">
        <is>
          <t>EF</t>
        </is>
      </c>
      <c r="K1807" s="5" t="inlineStr"/>
      <c r="L1807" s="7">
        <f>IFERROR(IF(F1807&lt;F1806,"NEGATIVE",ROUND(F1807-F1806,2)),"")</f>
        <v/>
      </c>
    </row>
    <row r="1808" ht="22" customHeight="1">
      <c r="B1808" s="8" t="inlineStr">
        <is>
          <t>R01804</t>
        </is>
      </c>
      <c r="C1808" s="8" t="inlineStr">
        <is>
          <t>MTR-PRC-005</t>
        </is>
      </c>
      <c r="D1808" s="8" t="inlineStr">
        <is>
          <t>Process Hall</t>
        </is>
      </c>
      <c r="E1808" s="8" t="inlineStr">
        <is>
          <t>Process Water Main</t>
        </is>
      </c>
      <c r="F1808" s="8" t="inlineStr">
        <is>
          <t>2024-11-13 08:00</t>
        </is>
      </c>
      <c r="G1808" s="12" t="n">
        <v>48747.79</v>
      </c>
      <c r="H1808" s="8" t="inlineStr">
        <is>
          <t>m3</t>
        </is>
      </c>
      <c r="I1808" s="8" t="inlineStr">
        <is>
          <t>cumulative</t>
        </is>
      </c>
      <c r="J1808" s="8" t="inlineStr">
        <is>
          <t>EF</t>
        </is>
      </c>
      <c r="K1808" s="8" t="inlineStr"/>
      <c r="L1808" s="10">
        <f>IFERROR(IF(F1808&lt;F1807,"NEGATIVE",ROUND(F1808-F1807,2)),"")</f>
        <v/>
      </c>
    </row>
    <row r="1809" ht="22" customHeight="1">
      <c r="B1809" s="5" t="inlineStr">
        <is>
          <t>R01805</t>
        </is>
      </c>
      <c r="C1809" s="5" t="inlineStr">
        <is>
          <t>MTR-PRC-005</t>
        </is>
      </c>
      <c r="D1809" s="5" t="inlineStr">
        <is>
          <t>Process Hall</t>
        </is>
      </c>
      <c r="E1809" s="5" t="inlineStr">
        <is>
          <t>Process Water Main</t>
        </is>
      </c>
      <c r="F1809" s="5" t="inlineStr">
        <is>
          <t>2024-11-14 08:00</t>
        </is>
      </c>
      <c r="G1809" s="11" t="n">
        <v>48774.9</v>
      </c>
      <c r="H1809" s="5" t="inlineStr">
        <is>
          <t>m3</t>
        </is>
      </c>
      <c r="I1809" s="5" t="inlineStr">
        <is>
          <t>cumulative</t>
        </is>
      </c>
      <c r="J1809" s="5" t="inlineStr">
        <is>
          <t>KL</t>
        </is>
      </c>
      <c r="K1809" s="5" t="inlineStr"/>
      <c r="L1809" s="7">
        <f>IFERROR(IF(F1809&lt;F1808,"NEGATIVE",ROUND(F1809-F1808,2)),"")</f>
        <v/>
      </c>
    </row>
    <row r="1810" ht="22" customHeight="1">
      <c r="B1810" s="8" t="inlineStr">
        <is>
          <t>R01806</t>
        </is>
      </c>
      <c r="C1810" s="8" t="inlineStr">
        <is>
          <t>MTR-PRC-005</t>
        </is>
      </c>
      <c r="D1810" s="8" t="inlineStr">
        <is>
          <t>Process Hall</t>
        </is>
      </c>
      <c r="E1810" s="8" t="inlineStr">
        <is>
          <t>Process Water Main</t>
        </is>
      </c>
      <c r="F1810" s="8" t="inlineStr">
        <is>
          <t>2024-11-15 08:00</t>
        </is>
      </c>
      <c r="G1810" s="12" t="n">
        <v>48801.6</v>
      </c>
      <c r="H1810" s="8" t="inlineStr">
        <is>
          <t>m3</t>
        </is>
      </c>
      <c r="I1810" s="8" t="inlineStr">
        <is>
          <t>cumulative</t>
        </is>
      </c>
      <c r="J1810" s="8" t="inlineStr">
        <is>
          <t>CD</t>
        </is>
      </c>
      <c r="K1810" s="8" t="inlineStr"/>
      <c r="L1810" s="10">
        <f>IFERROR(IF(F1810&lt;F1809,"NEGATIVE",ROUND(F1810-F1809,2)),"")</f>
        <v/>
      </c>
    </row>
    <row r="1811" ht="22" customHeight="1">
      <c r="B1811" s="5" t="inlineStr">
        <is>
          <t>R01807</t>
        </is>
      </c>
      <c r="C1811" s="5" t="inlineStr">
        <is>
          <t>MTR-PRC-005</t>
        </is>
      </c>
      <c r="D1811" s="5" t="inlineStr">
        <is>
          <t>Process Hall</t>
        </is>
      </c>
      <c r="E1811" s="5" t="inlineStr">
        <is>
          <t>Process Water Main</t>
        </is>
      </c>
      <c r="F1811" s="5" t="inlineStr">
        <is>
          <t>2024-11-16 08:00</t>
        </is>
      </c>
      <c r="G1811" s="11" t="n">
        <v>48821.22</v>
      </c>
      <c r="H1811" s="5" t="inlineStr">
        <is>
          <t>m3</t>
        </is>
      </c>
      <c r="I1811" s="5" t="inlineStr">
        <is>
          <t>cumulative</t>
        </is>
      </c>
      <c r="J1811" s="5" t="inlineStr">
        <is>
          <t>KL</t>
        </is>
      </c>
      <c r="K1811" s="5" t="inlineStr"/>
      <c r="L1811" s="7">
        <f>IFERROR(IF(F1811&lt;F1810,"NEGATIVE",ROUND(F1811-F1810,2)),"")</f>
        <v/>
      </c>
    </row>
    <row r="1812" ht="22" customHeight="1">
      <c r="B1812" s="8" t="inlineStr">
        <is>
          <t>R01808</t>
        </is>
      </c>
      <c r="C1812" s="8" t="inlineStr">
        <is>
          <t>MTR-PRC-005</t>
        </is>
      </c>
      <c r="D1812" s="8" t="inlineStr">
        <is>
          <t>Process Hall</t>
        </is>
      </c>
      <c r="E1812" s="8" t="inlineStr">
        <is>
          <t>Process Water Main</t>
        </is>
      </c>
      <c r="F1812" s="8" t="inlineStr">
        <is>
          <t>2024-11-17 08:00</t>
        </is>
      </c>
      <c r="G1812" s="12" t="n">
        <v>48834.47</v>
      </c>
      <c r="H1812" s="8" t="inlineStr">
        <is>
          <t>m3</t>
        </is>
      </c>
      <c r="I1812" s="8" t="inlineStr">
        <is>
          <t>cumulative</t>
        </is>
      </c>
      <c r="J1812" s="8" t="inlineStr">
        <is>
          <t>EF</t>
        </is>
      </c>
      <c r="K1812" s="8" t="inlineStr"/>
      <c r="L1812" s="10">
        <f>IFERROR(IF(F1812&lt;F1811,"NEGATIVE",ROUND(F1812-F1811,2)),"")</f>
        <v/>
      </c>
    </row>
    <row r="1813" ht="22" customHeight="1">
      <c r="B1813" s="5" t="inlineStr">
        <is>
          <t>R01809</t>
        </is>
      </c>
      <c r="C1813" s="5" t="inlineStr">
        <is>
          <t>MTR-PRC-005</t>
        </is>
      </c>
      <c r="D1813" s="5" t="inlineStr">
        <is>
          <t>Process Hall</t>
        </is>
      </c>
      <c r="E1813" s="5" t="inlineStr">
        <is>
          <t>Process Water Main</t>
        </is>
      </c>
      <c r="F1813" s="5" t="inlineStr">
        <is>
          <t>2024-11-18 08:00</t>
        </is>
      </c>
      <c r="G1813" s="11" t="n">
        <v>48857.48</v>
      </c>
      <c r="H1813" s="5" t="inlineStr">
        <is>
          <t>m3</t>
        </is>
      </c>
      <c r="I1813" s="5" t="inlineStr">
        <is>
          <t>cumulative</t>
        </is>
      </c>
      <c r="J1813" s="5" t="inlineStr">
        <is>
          <t>CD</t>
        </is>
      </c>
      <c r="K1813" s="5" t="inlineStr"/>
      <c r="L1813" s="7">
        <f>IFERROR(IF(F1813&lt;F1812,"NEGATIVE",ROUND(F1813-F1812,2)),"")</f>
        <v/>
      </c>
    </row>
    <row r="1814" ht="22" customHeight="1">
      <c r="B1814" s="8" t="inlineStr">
        <is>
          <t>R01810</t>
        </is>
      </c>
      <c r="C1814" s="8" t="inlineStr">
        <is>
          <t>MTR-PRC-005</t>
        </is>
      </c>
      <c r="D1814" s="8" t="inlineStr">
        <is>
          <t>Process Hall</t>
        </is>
      </c>
      <c r="E1814" s="8" t="inlineStr">
        <is>
          <t>Process Water Main</t>
        </is>
      </c>
      <c r="F1814" s="8" t="inlineStr">
        <is>
          <t>2024-11-19 08:00</t>
        </is>
      </c>
      <c r="G1814" s="12" t="n">
        <v>48885.62</v>
      </c>
      <c r="H1814" s="8" t="inlineStr">
        <is>
          <t>m3</t>
        </is>
      </c>
      <c r="I1814" s="8" t="inlineStr">
        <is>
          <t>cumulative</t>
        </is>
      </c>
      <c r="J1814" s="8" t="inlineStr">
        <is>
          <t>EF</t>
        </is>
      </c>
      <c r="K1814" s="8" t="inlineStr"/>
      <c r="L1814" s="10">
        <f>IFERROR(IF(F1814&lt;F1813,"NEGATIVE",ROUND(F1814-F1813,2)),"")</f>
        <v/>
      </c>
    </row>
    <row r="1815" ht="22" customHeight="1">
      <c r="B1815" s="5" t="inlineStr">
        <is>
          <t>R01811</t>
        </is>
      </c>
      <c r="C1815" s="5" t="inlineStr">
        <is>
          <t>MTR-PRC-005</t>
        </is>
      </c>
      <c r="D1815" s="5" t="inlineStr">
        <is>
          <t>Process Hall</t>
        </is>
      </c>
      <c r="E1815" s="5" t="inlineStr">
        <is>
          <t>Process Water Main</t>
        </is>
      </c>
      <c r="F1815" s="5" t="inlineStr">
        <is>
          <t>2024-11-20 08:00</t>
        </is>
      </c>
      <c r="G1815" s="11" t="n">
        <v>48911.47</v>
      </c>
      <c r="H1815" s="5" t="inlineStr">
        <is>
          <t>m3</t>
        </is>
      </c>
      <c r="I1815" s="5" t="inlineStr">
        <is>
          <t>cumulative</t>
        </is>
      </c>
      <c r="J1815" s="5" t="inlineStr">
        <is>
          <t>KL</t>
        </is>
      </c>
      <c r="K1815" s="5" t="inlineStr"/>
      <c r="L1815" s="7">
        <f>IFERROR(IF(F1815&lt;F1814,"NEGATIVE",ROUND(F1815-F1814,2)),"")</f>
        <v/>
      </c>
    </row>
    <row r="1816" ht="22" customHeight="1">
      <c r="B1816" s="8" t="inlineStr">
        <is>
          <t>R01812</t>
        </is>
      </c>
      <c r="C1816" s="8" t="inlineStr">
        <is>
          <t>MTR-PRC-005</t>
        </is>
      </c>
      <c r="D1816" s="8" t="inlineStr">
        <is>
          <t>Process Hall</t>
        </is>
      </c>
      <c r="E1816" s="8" t="inlineStr">
        <is>
          <t>Process Water Main</t>
        </is>
      </c>
      <c r="F1816" s="8" t="inlineStr">
        <is>
          <t>2024-11-21 08:00</t>
        </is>
      </c>
      <c r="G1816" s="12" t="n">
        <v>48933.22</v>
      </c>
      <c r="H1816" s="8" t="inlineStr">
        <is>
          <t>m3</t>
        </is>
      </c>
      <c r="I1816" s="8" t="inlineStr">
        <is>
          <t>cumulative</t>
        </is>
      </c>
      <c r="J1816" s="8" t="inlineStr">
        <is>
          <t>EF</t>
        </is>
      </c>
      <c r="K1816" s="8" t="inlineStr"/>
      <c r="L1816" s="10">
        <f>IFERROR(IF(F1816&lt;F1815,"NEGATIVE",ROUND(F1816-F1815,2)),"")</f>
        <v/>
      </c>
    </row>
    <row r="1817" ht="22" customHeight="1">
      <c r="B1817" s="5" t="inlineStr">
        <is>
          <t>R01813</t>
        </is>
      </c>
      <c r="C1817" s="5" t="inlineStr">
        <is>
          <t>MTR-PRC-005</t>
        </is>
      </c>
      <c r="D1817" s="5" t="inlineStr">
        <is>
          <t>Process Hall</t>
        </is>
      </c>
      <c r="E1817" s="5" t="inlineStr">
        <is>
          <t>Process Water Main</t>
        </is>
      </c>
      <c r="F1817" s="5" t="inlineStr">
        <is>
          <t>2024-11-22 08:00</t>
        </is>
      </c>
      <c r="G1817" s="11" t="n">
        <v>48960.43</v>
      </c>
      <c r="H1817" s="5" t="inlineStr">
        <is>
          <t>m3</t>
        </is>
      </c>
      <c r="I1817" s="5" t="inlineStr">
        <is>
          <t>cumulative</t>
        </is>
      </c>
      <c r="J1817" s="5" t="inlineStr">
        <is>
          <t>GH</t>
        </is>
      </c>
      <c r="K1817" s="5" t="inlineStr"/>
      <c r="L1817" s="7">
        <f>IFERROR(IF(F1817&lt;F1816,"NEGATIVE",ROUND(F1817-F1816,2)),"")</f>
        <v/>
      </c>
    </row>
    <row r="1818" ht="22" customHeight="1">
      <c r="B1818" s="8" t="inlineStr">
        <is>
          <t>R01814</t>
        </is>
      </c>
      <c r="C1818" s="8" t="inlineStr">
        <is>
          <t>MTR-PRC-005</t>
        </is>
      </c>
      <c r="D1818" s="8" t="inlineStr">
        <is>
          <t>Process Hall</t>
        </is>
      </c>
      <c r="E1818" s="8" t="inlineStr">
        <is>
          <t>Process Water Main</t>
        </is>
      </c>
      <c r="F1818" s="8" t="inlineStr">
        <is>
          <t>2024-11-23 08:00</t>
        </is>
      </c>
      <c r="G1818" s="12" t="n">
        <v>48977.7</v>
      </c>
      <c r="H1818" s="8" t="inlineStr">
        <is>
          <t>m3</t>
        </is>
      </c>
      <c r="I1818" s="8" t="inlineStr">
        <is>
          <t>cumulative</t>
        </is>
      </c>
      <c r="J1818" s="8" t="inlineStr">
        <is>
          <t>CD</t>
        </is>
      </c>
      <c r="K1818" s="8" t="inlineStr"/>
      <c r="L1818" s="10">
        <f>IFERROR(IF(F1818&lt;F1817,"NEGATIVE",ROUND(F1818-F1817,2)),"")</f>
        <v/>
      </c>
    </row>
    <row r="1819" ht="22" customHeight="1">
      <c r="B1819" s="5" t="inlineStr">
        <is>
          <t>R01815</t>
        </is>
      </c>
      <c r="C1819" s="5" t="inlineStr">
        <is>
          <t>MTR-PRC-005</t>
        </is>
      </c>
      <c r="D1819" s="5" t="inlineStr">
        <is>
          <t>Process Hall</t>
        </is>
      </c>
      <c r="E1819" s="5" t="inlineStr">
        <is>
          <t>Process Water Main</t>
        </is>
      </c>
      <c r="F1819" s="5" t="inlineStr">
        <is>
          <t>2024-11-24 08:00</t>
        </is>
      </c>
      <c r="G1819" s="11" t="n">
        <v>48992.04</v>
      </c>
      <c r="H1819" s="5" t="inlineStr">
        <is>
          <t>m3</t>
        </is>
      </c>
      <c r="I1819" s="5" t="inlineStr">
        <is>
          <t>cumulative</t>
        </is>
      </c>
      <c r="J1819" s="5" t="inlineStr">
        <is>
          <t>GH</t>
        </is>
      </c>
      <c r="K1819" s="5" t="inlineStr"/>
      <c r="L1819" s="7">
        <f>IFERROR(IF(F1819&lt;F1818,"NEGATIVE",ROUND(F1819-F1818,2)),"")</f>
        <v/>
      </c>
    </row>
    <row r="1820" ht="22" customHeight="1">
      <c r="B1820" s="8" t="inlineStr">
        <is>
          <t>R01816</t>
        </is>
      </c>
      <c r="C1820" s="8" t="inlineStr">
        <is>
          <t>MTR-PRC-005</t>
        </is>
      </c>
      <c r="D1820" s="8" t="inlineStr">
        <is>
          <t>Process Hall</t>
        </is>
      </c>
      <c r="E1820" s="8" t="inlineStr">
        <is>
          <t>Process Water Main</t>
        </is>
      </c>
      <c r="F1820" s="8" t="inlineStr">
        <is>
          <t>2024-11-25 08:00</t>
        </is>
      </c>
      <c r="G1820" s="12" t="n">
        <v>49016.17</v>
      </c>
      <c r="H1820" s="8" t="inlineStr">
        <is>
          <t>m3</t>
        </is>
      </c>
      <c r="I1820" s="8" t="inlineStr">
        <is>
          <t>cumulative</t>
        </is>
      </c>
      <c r="J1820" s="8" t="inlineStr">
        <is>
          <t>CD</t>
        </is>
      </c>
      <c r="K1820" s="8" t="inlineStr"/>
      <c r="L1820" s="10">
        <f>IFERROR(IF(F1820&lt;F1819,"NEGATIVE",ROUND(F1820-F1819,2)),"")</f>
        <v/>
      </c>
    </row>
    <row r="1821" ht="22" customHeight="1">
      <c r="B1821" s="5" t="inlineStr">
        <is>
          <t>R01817</t>
        </is>
      </c>
      <c r="C1821" s="5" t="inlineStr">
        <is>
          <t>MTR-PRC-005</t>
        </is>
      </c>
      <c r="D1821" s="5" t="inlineStr">
        <is>
          <t>Process Hall</t>
        </is>
      </c>
      <c r="E1821" s="5" t="inlineStr">
        <is>
          <t>Process Water Main</t>
        </is>
      </c>
      <c r="F1821" s="5" t="inlineStr">
        <is>
          <t>2024-11-26 08:00</t>
        </is>
      </c>
      <c r="G1821" s="11" t="n">
        <v>49040.13</v>
      </c>
      <c r="H1821" s="5" t="inlineStr">
        <is>
          <t>m3</t>
        </is>
      </c>
      <c r="I1821" s="5" t="inlineStr">
        <is>
          <t>cumulative</t>
        </is>
      </c>
      <c r="J1821" s="5" t="inlineStr">
        <is>
          <t>GH</t>
        </is>
      </c>
      <c r="K1821" s="5" t="inlineStr"/>
      <c r="L1821" s="7">
        <f>IFERROR(IF(F1821&lt;F1820,"NEGATIVE",ROUND(F1821-F1820,2)),"")</f>
        <v/>
      </c>
    </row>
    <row r="1822" ht="22" customHeight="1">
      <c r="B1822" s="8" t="inlineStr">
        <is>
          <t>R01818</t>
        </is>
      </c>
      <c r="C1822" s="8" t="inlineStr">
        <is>
          <t>MTR-PRC-005</t>
        </is>
      </c>
      <c r="D1822" s="8" t="inlineStr">
        <is>
          <t>Process Hall</t>
        </is>
      </c>
      <c r="E1822" s="8" t="inlineStr">
        <is>
          <t>Process Water Main</t>
        </is>
      </c>
      <c r="F1822" s="8" t="inlineStr">
        <is>
          <t>2024-11-27 08:00</t>
        </is>
      </c>
      <c r="G1822" s="12" t="n">
        <v>49060.97</v>
      </c>
      <c r="H1822" s="8" t="inlineStr">
        <is>
          <t>m3</t>
        </is>
      </c>
      <c r="I1822" s="8" t="inlineStr">
        <is>
          <t>cumulative</t>
        </is>
      </c>
      <c r="J1822" s="8" t="inlineStr">
        <is>
          <t>KL</t>
        </is>
      </c>
      <c r="K1822" s="8" t="inlineStr"/>
      <c r="L1822" s="10">
        <f>IFERROR(IF(F1822&lt;F1821,"NEGATIVE",ROUND(F1822-F1821,2)),"")</f>
        <v/>
      </c>
    </row>
    <row r="1823" ht="22" customHeight="1">
      <c r="B1823" s="5" t="inlineStr">
        <is>
          <t>R01819</t>
        </is>
      </c>
      <c r="C1823" s="5" t="inlineStr">
        <is>
          <t>MTR-PRC-005</t>
        </is>
      </c>
      <c r="D1823" s="5" t="inlineStr">
        <is>
          <t>Process Hall</t>
        </is>
      </c>
      <c r="E1823" s="5" t="inlineStr">
        <is>
          <t>Process Water Main</t>
        </is>
      </c>
      <c r="F1823" s="5" t="inlineStr">
        <is>
          <t>2024-11-28 08:00</t>
        </is>
      </c>
      <c r="G1823" s="11" t="n">
        <v>49083.97</v>
      </c>
      <c r="H1823" s="5" t="inlineStr">
        <is>
          <t>m3</t>
        </is>
      </c>
      <c r="I1823" s="5" t="inlineStr">
        <is>
          <t>cumulative</t>
        </is>
      </c>
      <c r="J1823" s="5" t="inlineStr">
        <is>
          <t>EF</t>
        </is>
      </c>
      <c r="K1823" s="5" t="inlineStr"/>
      <c r="L1823" s="7">
        <f>IFERROR(IF(F1823&lt;F1822,"NEGATIVE",ROUND(F1823-F1822,2)),"")</f>
        <v/>
      </c>
    </row>
    <row r="1824" ht="22" customHeight="1">
      <c r="B1824" s="8" t="inlineStr">
        <is>
          <t>R01820</t>
        </is>
      </c>
      <c r="C1824" s="8" t="inlineStr">
        <is>
          <t>MTR-PRC-005</t>
        </is>
      </c>
      <c r="D1824" s="8" t="inlineStr">
        <is>
          <t>Process Hall</t>
        </is>
      </c>
      <c r="E1824" s="8" t="inlineStr">
        <is>
          <t>Process Water Main</t>
        </is>
      </c>
      <c r="F1824" s="8" t="inlineStr">
        <is>
          <t>2024-11-29 08:00</t>
        </is>
      </c>
      <c r="G1824" s="12" t="n">
        <v>49107.42</v>
      </c>
      <c r="H1824" s="8" t="inlineStr">
        <is>
          <t>m3</t>
        </is>
      </c>
      <c r="I1824" s="8" t="inlineStr">
        <is>
          <t>cumulative</t>
        </is>
      </c>
      <c r="J1824" s="8" t="inlineStr">
        <is>
          <t>CD</t>
        </is>
      </c>
      <c r="K1824" s="8" t="inlineStr"/>
      <c r="L1824" s="10">
        <f>IFERROR(IF(F1824&lt;F1823,"NEGATIVE",ROUND(F1824-F1823,2)),"")</f>
        <v/>
      </c>
    </row>
    <row r="1825" ht="22" customHeight="1">
      <c r="B1825" s="5" t="inlineStr">
        <is>
          <t>R01821</t>
        </is>
      </c>
      <c r="C1825" s="5" t="inlineStr">
        <is>
          <t>MTR-PRC-005</t>
        </is>
      </c>
      <c r="D1825" s="5" t="inlineStr">
        <is>
          <t>Process Hall</t>
        </is>
      </c>
      <c r="E1825" s="5" t="inlineStr">
        <is>
          <t>Process Water Main</t>
        </is>
      </c>
      <c r="F1825" s="5" t="inlineStr">
        <is>
          <t>2024-11-30 08:00</t>
        </is>
      </c>
      <c r="G1825" s="11" t="n">
        <v>49125</v>
      </c>
      <c r="H1825" s="5" t="inlineStr">
        <is>
          <t>m3</t>
        </is>
      </c>
      <c r="I1825" s="5" t="inlineStr">
        <is>
          <t>cumulative</t>
        </is>
      </c>
      <c r="J1825" s="5" t="inlineStr">
        <is>
          <t>KL</t>
        </is>
      </c>
      <c r="K1825" s="5" t="inlineStr"/>
      <c r="L1825" s="7">
        <f>IFERROR(IF(F1825&lt;F1824,"NEGATIVE",ROUND(F1825-F1824,2)),"")</f>
        <v/>
      </c>
    </row>
    <row r="1826" ht="22" customHeight="1">
      <c r="B1826" s="8" t="inlineStr">
        <is>
          <t>R01822</t>
        </is>
      </c>
      <c r="C1826" s="8" t="inlineStr">
        <is>
          <t>MTR-PRC-005</t>
        </is>
      </c>
      <c r="D1826" s="8" t="inlineStr">
        <is>
          <t>Process Hall</t>
        </is>
      </c>
      <c r="E1826" s="8" t="inlineStr">
        <is>
          <t>Process Water Main</t>
        </is>
      </c>
      <c r="F1826" s="8" t="inlineStr">
        <is>
          <t>2024-12-01 08:00</t>
        </is>
      </c>
      <c r="G1826" s="12" t="n">
        <v>49136</v>
      </c>
      <c r="H1826" s="8" t="inlineStr">
        <is>
          <t>m3</t>
        </is>
      </c>
      <c r="I1826" s="8" t="inlineStr">
        <is>
          <t>cumulative</t>
        </is>
      </c>
      <c r="J1826" s="8" t="inlineStr">
        <is>
          <t>AB</t>
        </is>
      </c>
      <c r="K1826" s="8" t="inlineStr"/>
      <c r="L1826" s="10">
        <f>IFERROR(IF(F1826&lt;F1825,"NEGATIVE",ROUND(F1826-F1825,2)),"")</f>
        <v/>
      </c>
    </row>
    <row r="1827" ht="22" customHeight="1">
      <c r="B1827" s="5" t="inlineStr">
        <is>
          <t>R01823</t>
        </is>
      </c>
      <c r="C1827" s="5" t="inlineStr">
        <is>
          <t>MTR-PRC-005</t>
        </is>
      </c>
      <c r="D1827" s="5" t="inlineStr">
        <is>
          <t>Process Hall</t>
        </is>
      </c>
      <c r="E1827" s="5" t="inlineStr">
        <is>
          <t>Process Water Main</t>
        </is>
      </c>
      <c r="F1827" s="5" t="inlineStr">
        <is>
          <t>2024-12-02 08:00</t>
        </is>
      </c>
      <c r="G1827" s="11" t="n">
        <v>49160.72</v>
      </c>
      <c r="H1827" s="5" t="inlineStr">
        <is>
          <t>m3</t>
        </is>
      </c>
      <c r="I1827" s="5" t="inlineStr">
        <is>
          <t>cumulative</t>
        </is>
      </c>
      <c r="J1827" s="5" t="inlineStr">
        <is>
          <t>EF</t>
        </is>
      </c>
      <c r="K1827" s="5" t="inlineStr"/>
      <c r="L1827" s="7">
        <f>IFERROR(IF(F1827&lt;F1826,"NEGATIVE",ROUND(F1827-F1826,2)),"")</f>
        <v/>
      </c>
    </row>
    <row r="1828" ht="22" customHeight="1">
      <c r="B1828" s="8" t="inlineStr">
        <is>
          <t>R01824</t>
        </is>
      </c>
      <c r="C1828" s="8" t="inlineStr">
        <is>
          <t>MTR-PRC-005</t>
        </is>
      </c>
      <c r="D1828" s="8" t="inlineStr">
        <is>
          <t>Process Hall</t>
        </is>
      </c>
      <c r="E1828" s="8" t="inlineStr">
        <is>
          <t>Process Water Main</t>
        </is>
      </c>
      <c r="F1828" s="8" t="inlineStr">
        <is>
          <t>2024-12-03 08:00</t>
        </is>
      </c>
      <c r="G1828" s="12" t="n">
        <v>49181.78</v>
      </c>
      <c r="H1828" s="8" t="inlineStr">
        <is>
          <t>m3</t>
        </is>
      </c>
      <c r="I1828" s="8" t="inlineStr">
        <is>
          <t>cumulative</t>
        </is>
      </c>
      <c r="J1828" s="8" t="inlineStr">
        <is>
          <t>AB</t>
        </is>
      </c>
      <c r="K1828" s="8" t="inlineStr"/>
      <c r="L1828" s="10">
        <f>IFERROR(IF(F1828&lt;F1827,"NEGATIVE",ROUND(F1828-F1827,2)),"")</f>
        <v/>
      </c>
    </row>
    <row r="1829" ht="22" customHeight="1">
      <c r="B1829" s="5" t="inlineStr">
        <is>
          <t>R01825</t>
        </is>
      </c>
      <c r="C1829" s="5" t="inlineStr">
        <is>
          <t>MTR-PRC-005</t>
        </is>
      </c>
      <c r="D1829" s="5" t="inlineStr">
        <is>
          <t>Process Hall</t>
        </is>
      </c>
      <c r="E1829" s="5" t="inlineStr">
        <is>
          <t>Process Water Main</t>
        </is>
      </c>
      <c r="F1829" s="5" t="inlineStr">
        <is>
          <t>2024-12-04 08:00</t>
        </is>
      </c>
      <c r="G1829" s="11" t="n">
        <v>49203.15</v>
      </c>
      <c r="H1829" s="5" t="inlineStr">
        <is>
          <t>m3</t>
        </is>
      </c>
      <c r="I1829" s="5" t="inlineStr">
        <is>
          <t>cumulative</t>
        </is>
      </c>
      <c r="J1829" s="5" t="inlineStr">
        <is>
          <t>IJ</t>
        </is>
      </c>
      <c r="K1829" s="5" t="inlineStr"/>
      <c r="L1829" s="7">
        <f>IFERROR(IF(F1829&lt;F1828,"NEGATIVE",ROUND(F1829-F1828,2)),"")</f>
        <v/>
      </c>
    </row>
    <row r="1830" ht="22" customHeight="1">
      <c r="B1830" s="8" t="inlineStr">
        <is>
          <t>R01826</t>
        </is>
      </c>
      <c r="C1830" s="8" t="inlineStr">
        <is>
          <t>MTR-PRC-005</t>
        </is>
      </c>
      <c r="D1830" s="8" t="inlineStr">
        <is>
          <t>Process Hall</t>
        </is>
      </c>
      <c r="E1830" s="8" t="inlineStr">
        <is>
          <t>Process Water Main</t>
        </is>
      </c>
      <c r="F1830" s="8" t="inlineStr">
        <is>
          <t>2024-12-05 08:00</t>
        </is>
      </c>
      <c r="G1830" s="12" t="n">
        <v>49228.15</v>
      </c>
      <c r="H1830" s="8" t="inlineStr">
        <is>
          <t>m3</t>
        </is>
      </c>
      <c r="I1830" s="8" t="inlineStr">
        <is>
          <t>cumulative</t>
        </is>
      </c>
      <c r="J1830" s="8" t="inlineStr">
        <is>
          <t>CD</t>
        </is>
      </c>
      <c r="K1830" s="8" t="inlineStr"/>
      <c r="L1830" s="10">
        <f>IFERROR(IF(F1830&lt;F1829,"NEGATIVE",ROUND(F1830-F1829,2)),"")</f>
        <v/>
      </c>
    </row>
    <row r="1831" ht="22" customHeight="1">
      <c r="B1831" s="5" t="inlineStr">
        <is>
          <t>R01827</t>
        </is>
      </c>
      <c r="C1831" s="5" t="inlineStr">
        <is>
          <t>MTR-PRC-005</t>
        </is>
      </c>
      <c r="D1831" s="5" t="inlineStr">
        <is>
          <t>Process Hall</t>
        </is>
      </c>
      <c r="E1831" s="5" t="inlineStr">
        <is>
          <t>Process Water Main</t>
        </is>
      </c>
      <c r="F1831" s="5" t="inlineStr">
        <is>
          <t>2024-12-06 08:00</t>
        </is>
      </c>
      <c r="G1831" s="11" t="n">
        <v>49250.26</v>
      </c>
      <c r="H1831" s="5" t="inlineStr">
        <is>
          <t>m3</t>
        </is>
      </c>
      <c r="I1831" s="5" t="inlineStr">
        <is>
          <t>cumulative</t>
        </is>
      </c>
      <c r="J1831" s="5" t="inlineStr">
        <is>
          <t>AB</t>
        </is>
      </c>
      <c r="K1831" s="5" t="inlineStr"/>
      <c r="L1831" s="7">
        <f>IFERROR(IF(F1831&lt;F1830,"NEGATIVE",ROUND(F1831-F1830,2)),"")</f>
        <v/>
      </c>
    </row>
    <row r="1832" ht="22" customHeight="1">
      <c r="B1832" s="8" t="inlineStr">
        <is>
          <t>R01828</t>
        </is>
      </c>
      <c r="C1832" s="8" t="inlineStr">
        <is>
          <t>MTR-PRC-005</t>
        </is>
      </c>
      <c r="D1832" s="8" t="inlineStr">
        <is>
          <t>Process Hall</t>
        </is>
      </c>
      <c r="E1832" s="8" t="inlineStr">
        <is>
          <t>Process Water Main</t>
        </is>
      </c>
      <c r="F1832" s="8" t="inlineStr">
        <is>
          <t>2024-12-07 08:00</t>
        </is>
      </c>
      <c r="G1832" s="12" t="n">
        <v>49266.69</v>
      </c>
      <c r="H1832" s="8" t="inlineStr">
        <is>
          <t>m3</t>
        </is>
      </c>
      <c r="I1832" s="8" t="inlineStr">
        <is>
          <t>cumulative</t>
        </is>
      </c>
      <c r="J1832" s="8" t="inlineStr">
        <is>
          <t>CD</t>
        </is>
      </c>
      <c r="K1832" s="8" t="inlineStr"/>
      <c r="L1832" s="10">
        <f>IFERROR(IF(F1832&lt;F1831,"NEGATIVE",ROUND(F1832-F1831,2)),"")</f>
        <v/>
      </c>
    </row>
    <row r="1833" ht="22" customHeight="1">
      <c r="B1833" s="5" t="inlineStr">
        <is>
          <t>R01829</t>
        </is>
      </c>
      <c r="C1833" s="5" t="inlineStr">
        <is>
          <t>MTR-PRC-005</t>
        </is>
      </c>
      <c r="D1833" s="5" t="inlineStr">
        <is>
          <t>Process Hall</t>
        </is>
      </c>
      <c r="E1833" s="5" t="inlineStr">
        <is>
          <t>Process Water Main</t>
        </is>
      </c>
      <c r="F1833" s="5" t="inlineStr">
        <is>
          <t>2024-12-08 08:00</t>
        </is>
      </c>
      <c r="G1833" s="11" t="n">
        <v>49277.97</v>
      </c>
      <c r="H1833" s="5" t="inlineStr">
        <is>
          <t>m3</t>
        </is>
      </c>
      <c r="I1833" s="5" t="inlineStr">
        <is>
          <t>cumulative</t>
        </is>
      </c>
      <c r="J1833" s="5" t="inlineStr">
        <is>
          <t>GH</t>
        </is>
      </c>
      <c r="K1833" s="5" t="inlineStr"/>
      <c r="L1833" s="7">
        <f>IFERROR(IF(F1833&lt;F1832,"NEGATIVE",ROUND(F1833-F1832,2)),"")</f>
        <v/>
      </c>
    </row>
    <row r="1834" ht="22" customHeight="1">
      <c r="B1834" s="8" t="inlineStr">
        <is>
          <t>R01830</t>
        </is>
      </c>
      <c r="C1834" s="8" t="inlineStr">
        <is>
          <t>MTR-PRC-005</t>
        </is>
      </c>
      <c r="D1834" s="8" t="inlineStr">
        <is>
          <t>Process Hall</t>
        </is>
      </c>
      <c r="E1834" s="8" t="inlineStr">
        <is>
          <t>Process Water Main</t>
        </is>
      </c>
      <c r="F1834" s="8" t="inlineStr">
        <is>
          <t>2024-12-09 08:00</t>
        </is>
      </c>
      <c r="G1834" s="12" t="n">
        <v>49299</v>
      </c>
      <c r="H1834" s="8" t="inlineStr">
        <is>
          <t>m3</t>
        </is>
      </c>
      <c r="I1834" s="8" t="inlineStr">
        <is>
          <t>cumulative</t>
        </is>
      </c>
      <c r="J1834" s="8" t="inlineStr">
        <is>
          <t>KL</t>
        </is>
      </c>
      <c r="K1834" s="8" t="inlineStr"/>
      <c r="L1834" s="10">
        <f>IFERROR(IF(F1834&lt;F1833,"NEGATIVE",ROUND(F1834-F1833,2)),"")</f>
        <v/>
      </c>
    </row>
    <row r="1835" ht="22" customHeight="1">
      <c r="B1835" s="5" t="inlineStr">
        <is>
          <t>R01831</t>
        </is>
      </c>
      <c r="C1835" s="5" t="inlineStr">
        <is>
          <t>MTR-PRC-005</t>
        </is>
      </c>
      <c r="D1835" s="5" t="inlineStr">
        <is>
          <t>Process Hall</t>
        </is>
      </c>
      <c r="E1835" s="5" t="inlineStr">
        <is>
          <t>Process Water Main</t>
        </is>
      </c>
      <c r="F1835" s="5" t="inlineStr">
        <is>
          <t>2024-12-10 08:00</t>
        </is>
      </c>
      <c r="G1835" s="11" t="n">
        <v>49323.59</v>
      </c>
      <c r="H1835" s="5" t="inlineStr">
        <is>
          <t>m3</t>
        </is>
      </c>
      <c r="I1835" s="5" t="inlineStr">
        <is>
          <t>cumulative</t>
        </is>
      </c>
      <c r="J1835" s="5" t="inlineStr">
        <is>
          <t>KL</t>
        </is>
      </c>
      <c r="K1835" s="5" t="inlineStr"/>
      <c r="L1835" s="7">
        <f>IFERROR(IF(F1835&lt;F1834,"NEGATIVE",ROUND(F1835-F1834,2)),"")</f>
        <v/>
      </c>
    </row>
    <row r="1836" ht="22" customHeight="1">
      <c r="B1836" s="8" t="inlineStr">
        <is>
          <t>R01832</t>
        </is>
      </c>
      <c r="C1836" s="8" t="inlineStr">
        <is>
          <t>MTR-PRC-005</t>
        </is>
      </c>
      <c r="D1836" s="8" t="inlineStr">
        <is>
          <t>Process Hall</t>
        </is>
      </c>
      <c r="E1836" s="8" t="inlineStr">
        <is>
          <t>Process Water Main</t>
        </is>
      </c>
      <c r="F1836" s="8" t="inlineStr">
        <is>
          <t>2024-12-11 08:00</t>
        </is>
      </c>
      <c r="G1836" s="12" t="n">
        <v>49345.68</v>
      </c>
      <c r="H1836" s="8" t="inlineStr">
        <is>
          <t>m3</t>
        </is>
      </c>
      <c r="I1836" s="8" t="inlineStr">
        <is>
          <t>cumulative</t>
        </is>
      </c>
      <c r="J1836" s="8" t="inlineStr">
        <is>
          <t>EF</t>
        </is>
      </c>
      <c r="K1836" s="8" t="inlineStr"/>
      <c r="L1836" s="10">
        <f>IFERROR(IF(F1836&lt;F1835,"NEGATIVE",ROUND(F1836-F1835,2)),"")</f>
        <v/>
      </c>
    </row>
    <row r="1837" ht="22" customHeight="1">
      <c r="B1837" s="5" t="inlineStr">
        <is>
          <t>R01833</t>
        </is>
      </c>
      <c r="C1837" s="5" t="inlineStr">
        <is>
          <t>MTR-PRC-005</t>
        </is>
      </c>
      <c r="D1837" s="5" t="inlineStr">
        <is>
          <t>Process Hall</t>
        </is>
      </c>
      <c r="E1837" s="5" t="inlineStr">
        <is>
          <t>Process Water Main</t>
        </is>
      </c>
      <c r="F1837" s="5" t="inlineStr">
        <is>
          <t>2024-12-12 08:00</t>
        </is>
      </c>
      <c r="G1837" s="11" t="n">
        <v>49369.64</v>
      </c>
      <c r="H1837" s="5" t="inlineStr">
        <is>
          <t>m3</t>
        </is>
      </c>
      <c r="I1837" s="5" t="inlineStr">
        <is>
          <t>cumulative</t>
        </is>
      </c>
      <c r="J1837" s="5" t="inlineStr">
        <is>
          <t>KL</t>
        </is>
      </c>
      <c r="K1837" s="5" t="inlineStr"/>
      <c r="L1837" s="7">
        <f>IFERROR(IF(F1837&lt;F1836,"NEGATIVE",ROUND(F1837-F1836,2)),"")</f>
        <v/>
      </c>
    </row>
    <row r="1838" ht="22" customHeight="1">
      <c r="B1838" s="8" t="inlineStr">
        <is>
          <t>R01834</t>
        </is>
      </c>
      <c r="C1838" s="8" t="inlineStr">
        <is>
          <t>MTR-PRC-005</t>
        </is>
      </c>
      <c r="D1838" s="8" t="inlineStr">
        <is>
          <t>Process Hall</t>
        </is>
      </c>
      <c r="E1838" s="8" t="inlineStr">
        <is>
          <t>Process Water Main</t>
        </is>
      </c>
      <c r="F1838" s="8" t="inlineStr">
        <is>
          <t>2024-12-13 08:00</t>
        </is>
      </c>
      <c r="G1838" s="12" t="n">
        <v>49396.23</v>
      </c>
      <c r="H1838" s="8" t="inlineStr">
        <is>
          <t>m3</t>
        </is>
      </c>
      <c r="I1838" s="8" t="inlineStr">
        <is>
          <t>cumulative</t>
        </is>
      </c>
      <c r="J1838" s="8" t="inlineStr">
        <is>
          <t>IJ</t>
        </is>
      </c>
      <c r="K1838" s="8" t="inlineStr"/>
      <c r="L1838" s="10">
        <f>IFERROR(IF(F1838&lt;F1837,"NEGATIVE",ROUND(F1838-F1837,2)),"")</f>
        <v/>
      </c>
    </row>
    <row r="1839" ht="22" customHeight="1">
      <c r="B1839" s="5" t="inlineStr">
        <is>
          <t>R01835</t>
        </is>
      </c>
      <c r="C1839" s="5" t="inlineStr">
        <is>
          <t>MTR-PRC-005</t>
        </is>
      </c>
      <c r="D1839" s="5" t="inlineStr">
        <is>
          <t>Process Hall</t>
        </is>
      </c>
      <c r="E1839" s="5" t="inlineStr">
        <is>
          <t>Process Water Main</t>
        </is>
      </c>
      <c r="F1839" s="5" t="inlineStr">
        <is>
          <t>2024-12-14 08:00</t>
        </is>
      </c>
      <c r="G1839" s="11" t="n">
        <v>49413.99</v>
      </c>
      <c r="H1839" s="5" t="inlineStr">
        <is>
          <t>m3</t>
        </is>
      </c>
      <c r="I1839" s="5" t="inlineStr">
        <is>
          <t>cumulative</t>
        </is>
      </c>
      <c r="J1839" s="5" t="inlineStr">
        <is>
          <t>EF</t>
        </is>
      </c>
      <c r="K1839" s="5" t="inlineStr"/>
      <c r="L1839" s="7">
        <f>IFERROR(IF(F1839&lt;F1838,"NEGATIVE",ROUND(F1839-F1838,2)),"")</f>
        <v/>
      </c>
    </row>
    <row r="1840" ht="22" customHeight="1">
      <c r="B1840" s="8" t="inlineStr">
        <is>
          <t>R01836</t>
        </is>
      </c>
      <c r="C1840" s="8" t="inlineStr">
        <is>
          <t>MTR-PRC-005</t>
        </is>
      </c>
      <c r="D1840" s="8" t="inlineStr">
        <is>
          <t>Process Hall</t>
        </is>
      </c>
      <c r="E1840" s="8" t="inlineStr">
        <is>
          <t>Process Water Main</t>
        </is>
      </c>
      <c r="F1840" s="8" t="inlineStr">
        <is>
          <t>2024-12-15 08:00</t>
        </is>
      </c>
      <c r="G1840" s="12" t="n">
        <v>49424.91</v>
      </c>
      <c r="H1840" s="8" t="inlineStr">
        <is>
          <t>m3</t>
        </is>
      </c>
      <c r="I1840" s="8" t="inlineStr">
        <is>
          <t>cumulative</t>
        </is>
      </c>
      <c r="J1840" s="8" t="inlineStr">
        <is>
          <t>GH</t>
        </is>
      </c>
      <c r="K1840" s="8" t="inlineStr"/>
      <c r="L1840" s="10">
        <f>IFERROR(IF(F1840&lt;F1839,"NEGATIVE",ROUND(F1840-F1839,2)),"")</f>
        <v/>
      </c>
    </row>
    <row r="1841" ht="22" customHeight="1">
      <c r="B1841" s="5" t="inlineStr">
        <is>
          <t>R01837</t>
        </is>
      </c>
      <c r="C1841" s="5" t="inlineStr">
        <is>
          <t>MTR-PRC-005</t>
        </is>
      </c>
      <c r="D1841" s="5" t="inlineStr">
        <is>
          <t>Process Hall</t>
        </is>
      </c>
      <c r="E1841" s="5" t="inlineStr">
        <is>
          <t>Process Water Main</t>
        </is>
      </c>
      <c r="F1841" s="5" t="inlineStr">
        <is>
          <t>2024-12-16 08:00</t>
        </is>
      </c>
      <c r="G1841" s="11" t="n">
        <v>49451.03</v>
      </c>
      <c r="H1841" s="5" t="inlineStr">
        <is>
          <t>m3</t>
        </is>
      </c>
      <c r="I1841" s="5" t="inlineStr">
        <is>
          <t>cumulative</t>
        </is>
      </c>
      <c r="J1841" s="5" t="inlineStr">
        <is>
          <t>IJ</t>
        </is>
      </c>
      <c r="K1841" s="5" t="inlineStr"/>
      <c r="L1841" s="7">
        <f>IFERROR(IF(F1841&lt;F1840,"NEGATIVE",ROUND(F1841-F1840,2)),"")</f>
        <v/>
      </c>
    </row>
    <row r="1842" ht="22" customHeight="1">
      <c r="B1842" s="8" t="inlineStr">
        <is>
          <t>R01838</t>
        </is>
      </c>
      <c r="C1842" s="8" t="inlineStr">
        <is>
          <t>MTR-PRC-005</t>
        </is>
      </c>
      <c r="D1842" s="8" t="inlineStr">
        <is>
          <t>Process Hall</t>
        </is>
      </c>
      <c r="E1842" s="8" t="inlineStr">
        <is>
          <t>Process Water Main</t>
        </is>
      </c>
      <c r="F1842" s="8" t="inlineStr">
        <is>
          <t>2024-12-17 08:00</t>
        </is>
      </c>
      <c r="G1842" s="12" t="n">
        <v>49477.08</v>
      </c>
      <c r="H1842" s="8" t="inlineStr">
        <is>
          <t>m3</t>
        </is>
      </c>
      <c r="I1842" s="8" t="inlineStr">
        <is>
          <t>cumulative</t>
        </is>
      </c>
      <c r="J1842" s="8" t="inlineStr">
        <is>
          <t>GH</t>
        </is>
      </c>
      <c r="K1842" s="8" t="inlineStr"/>
      <c r="L1842" s="10">
        <f>IFERROR(IF(F1842&lt;F1841,"NEGATIVE",ROUND(F1842-F1841,2)),"")</f>
        <v/>
      </c>
    </row>
    <row r="1843" ht="22" customHeight="1">
      <c r="B1843" s="5" t="inlineStr">
        <is>
          <t>R01839</t>
        </is>
      </c>
      <c r="C1843" s="5" t="inlineStr">
        <is>
          <t>MTR-PRC-005</t>
        </is>
      </c>
      <c r="D1843" s="5" t="inlineStr">
        <is>
          <t>Process Hall</t>
        </is>
      </c>
      <c r="E1843" s="5" t="inlineStr">
        <is>
          <t>Process Water Main</t>
        </is>
      </c>
      <c r="F1843" s="5" t="inlineStr">
        <is>
          <t>2024-12-18 08:00</t>
        </is>
      </c>
      <c r="G1843" s="11" t="n">
        <v>49497.32</v>
      </c>
      <c r="H1843" s="5" t="inlineStr">
        <is>
          <t>m3</t>
        </is>
      </c>
      <c r="I1843" s="5" t="inlineStr">
        <is>
          <t>cumulative</t>
        </is>
      </c>
      <c r="J1843" s="5" t="inlineStr">
        <is>
          <t>EF</t>
        </is>
      </c>
      <c r="K1843" s="5" t="inlineStr"/>
      <c r="L1843" s="7">
        <f>IFERROR(IF(F1843&lt;F1842,"NEGATIVE",ROUND(F1843-F1842,2)),"")</f>
        <v/>
      </c>
    </row>
    <row r="1844" ht="22" customHeight="1">
      <c r="B1844" s="8" t="inlineStr">
        <is>
          <t>R01840</t>
        </is>
      </c>
      <c r="C1844" s="8" t="inlineStr">
        <is>
          <t>MTR-PRC-005</t>
        </is>
      </c>
      <c r="D1844" s="8" t="inlineStr">
        <is>
          <t>Process Hall</t>
        </is>
      </c>
      <c r="E1844" s="8" t="inlineStr">
        <is>
          <t>Process Water Main</t>
        </is>
      </c>
      <c r="F1844" s="8" t="inlineStr">
        <is>
          <t>2024-12-19 08:00</t>
        </is>
      </c>
      <c r="G1844" s="12" t="n">
        <v>49522.84</v>
      </c>
      <c r="H1844" s="8" t="inlineStr">
        <is>
          <t>m3</t>
        </is>
      </c>
      <c r="I1844" s="8" t="inlineStr">
        <is>
          <t>cumulative</t>
        </is>
      </c>
      <c r="J1844" s="8" t="inlineStr">
        <is>
          <t>GH</t>
        </is>
      </c>
      <c r="K1844" s="8" t="inlineStr"/>
      <c r="L1844" s="10">
        <f>IFERROR(IF(F1844&lt;F1843,"NEGATIVE",ROUND(F1844-F1843,2)),"")</f>
        <v/>
      </c>
    </row>
    <row r="1845" ht="22" customHeight="1">
      <c r="B1845" s="5" t="inlineStr">
        <is>
          <t>R01841</t>
        </is>
      </c>
      <c r="C1845" s="5" t="inlineStr">
        <is>
          <t>MTR-PRC-005</t>
        </is>
      </c>
      <c r="D1845" s="5" t="inlineStr">
        <is>
          <t>Process Hall</t>
        </is>
      </c>
      <c r="E1845" s="5" t="inlineStr">
        <is>
          <t>Process Water Main</t>
        </is>
      </c>
      <c r="F1845" s="5" t="inlineStr">
        <is>
          <t>2024-12-20 08:00</t>
        </is>
      </c>
      <c r="G1845" s="11" t="n">
        <v>49548.47</v>
      </c>
      <c r="H1845" s="5" t="inlineStr">
        <is>
          <t>m3</t>
        </is>
      </c>
      <c r="I1845" s="5" t="inlineStr">
        <is>
          <t>cumulative</t>
        </is>
      </c>
      <c r="J1845" s="5" t="inlineStr">
        <is>
          <t>AB</t>
        </is>
      </c>
      <c r="K1845" s="5" t="inlineStr"/>
      <c r="L1845" s="7">
        <f>IFERROR(IF(F1845&lt;F1844,"NEGATIVE",ROUND(F1845-F1844,2)),"")</f>
        <v/>
      </c>
    </row>
    <row r="1846" ht="22" customHeight="1">
      <c r="B1846" s="8" t="inlineStr">
        <is>
          <t>R01842</t>
        </is>
      </c>
      <c r="C1846" s="8" t="inlineStr">
        <is>
          <t>MTR-PRC-005</t>
        </is>
      </c>
      <c r="D1846" s="8" t="inlineStr">
        <is>
          <t>Process Hall</t>
        </is>
      </c>
      <c r="E1846" s="8" t="inlineStr">
        <is>
          <t>Process Water Main</t>
        </is>
      </c>
      <c r="F1846" s="8" t="inlineStr">
        <is>
          <t>2024-12-21 08:00</t>
        </is>
      </c>
      <c r="G1846" s="12" t="n">
        <v>49567.91</v>
      </c>
      <c r="H1846" s="8" t="inlineStr">
        <is>
          <t>m3</t>
        </is>
      </c>
      <c r="I1846" s="8" t="inlineStr">
        <is>
          <t>cumulative</t>
        </is>
      </c>
      <c r="J1846" s="8" t="inlineStr">
        <is>
          <t>AB</t>
        </is>
      </c>
      <c r="K1846" s="8" t="inlineStr"/>
      <c r="L1846" s="10">
        <f>IFERROR(IF(F1846&lt;F1845,"NEGATIVE",ROUND(F1846-F1845,2)),"")</f>
        <v/>
      </c>
    </row>
    <row r="1847" ht="22" customHeight="1">
      <c r="B1847" s="5" t="inlineStr">
        <is>
          <t>R01843</t>
        </is>
      </c>
      <c r="C1847" s="5" t="inlineStr">
        <is>
          <t>MTR-PRC-005</t>
        </is>
      </c>
      <c r="D1847" s="5" t="inlineStr">
        <is>
          <t>Process Hall</t>
        </is>
      </c>
      <c r="E1847" s="5" t="inlineStr">
        <is>
          <t>Process Water Main</t>
        </is>
      </c>
      <c r="F1847" s="5" t="inlineStr">
        <is>
          <t>2024-12-22 08:00</t>
        </is>
      </c>
      <c r="G1847" s="11" t="n">
        <v>49578.89</v>
      </c>
      <c r="H1847" s="5" t="inlineStr">
        <is>
          <t>m3</t>
        </is>
      </c>
      <c r="I1847" s="5" t="inlineStr">
        <is>
          <t>cumulative</t>
        </is>
      </c>
      <c r="J1847" s="5" t="inlineStr">
        <is>
          <t>KL</t>
        </is>
      </c>
      <c r="K1847" s="5" t="inlineStr"/>
      <c r="L1847" s="7">
        <f>IFERROR(IF(F1847&lt;F1846,"NEGATIVE",ROUND(F1847-F1846,2)),"")</f>
        <v/>
      </c>
    </row>
    <row r="1848" ht="22" customHeight="1">
      <c r="B1848" s="8" t="inlineStr">
        <is>
          <t>R01844</t>
        </is>
      </c>
      <c r="C1848" s="8" t="inlineStr">
        <is>
          <t>MTR-PRC-005</t>
        </is>
      </c>
      <c r="D1848" s="8" t="inlineStr">
        <is>
          <t>Process Hall</t>
        </is>
      </c>
      <c r="E1848" s="8" t="inlineStr">
        <is>
          <t>Process Water Main</t>
        </is>
      </c>
      <c r="F1848" s="8" t="inlineStr">
        <is>
          <t>2024-12-23 08:00</t>
        </is>
      </c>
      <c r="G1848" s="12" t="n">
        <v>49606.04</v>
      </c>
      <c r="H1848" s="8" t="inlineStr">
        <is>
          <t>m3</t>
        </is>
      </c>
      <c r="I1848" s="8" t="inlineStr">
        <is>
          <t>cumulative</t>
        </is>
      </c>
      <c r="J1848" s="8" t="inlineStr">
        <is>
          <t>GH</t>
        </is>
      </c>
      <c r="K1848" s="8" t="inlineStr"/>
      <c r="L1848" s="10">
        <f>IFERROR(IF(F1848&lt;F1847,"NEGATIVE",ROUND(F1848-F1847,2)),"")</f>
        <v/>
      </c>
    </row>
    <row r="1849" ht="22" customHeight="1">
      <c r="B1849" s="5" t="inlineStr">
        <is>
          <t>R01845</t>
        </is>
      </c>
      <c r="C1849" s="5" t="inlineStr">
        <is>
          <t>MTR-PRC-005</t>
        </is>
      </c>
      <c r="D1849" s="5" t="inlineStr">
        <is>
          <t>Process Hall</t>
        </is>
      </c>
      <c r="E1849" s="5" t="inlineStr">
        <is>
          <t>Process Water Main</t>
        </is>
      </c>
      <c r="F1849" s="5" t="inlineStr">
        <is>
          <t>2024-12-24 08:00</t>
        </is>
      </c>
      <c r="G1849" s="11" t="n">
        <v>49631.35</v>
      </c>
      <c r="H1849" s="5" t="inlineStr">
        <is>
          <t>m3</t>
        </is>
      </c>
      <c r="I1849" s="5" t="inlineStr">
        <is>
          <t>cumulative</t>
        </is>
      </c>
      <c r="J1849" s="5" t="inlineStr">
        <is>
          <t>IJ</t>
        </is>
      </c>
      <c r="K1849" s="5" t="inlineStr"/>
      <c r="L1849" s="7">
        <f>IFERROR(IF(F1849&lt;F1848,"NEGATIVE",ROUND(F1849-F1848,2)),"")</f>
        <v/>
      </c>
    </row>
    <row r="1850" ht="22" customHeight="1">
      <c r="B1850" s="8" t="inlineStr">
        <is>
          <t>R01846</t>
        </is>
      </c>
      <c r="C1850" s="8" t="inlineStr">
        <is>
          <t>MTR-PRC-005</t>
        </is>
      </c>
      <c r="D1850" s="8" t="inlineStr">
        <is>
          <t>Process Hall</t>
        </is>
      </c>
      <c r="E1850" s="8" t="inlineStr">
        <is>
          <t>Process Water Main</t>
        </is>
      </c>
      <c r="F1850" s="8" t="inlineStr">
        <is>
          <t>2024-12-25 08:00</t>
        </is>
      </c>
      <c r="G1850" s="12" t="n">
        <v>49658.53</v>
      </c>
      <c r="H1850" s="8" t="inlineStr">
        <is>
          <t>m3</t>
        </is>
      </c>
      <c r="I1850" s="8" t="inlineStr">
        <is>
          <t>cumulative</t>
        </is>
      </c>
      <c r="J1850" s="8" t="inlineStr">
        <is>
          <t>CD</t>
        </is>
      </c>
      <c r="K1850" s="8" t="inlineStr"/>
      <c r="L1850" s="10">
        <f>IFERROR(IF(F1850&lt;F1849,"NEGATIVE",ROUND(F1850-F1849,2)),"")</f>
        <v/>
      </c>
    </row>
    <row r="1851" ht="22" customHeight="1">
      <c r="B1851" s="5" t="inlineStr">
        <is>
          <t>R01847</t>
        </is>
      </c>
      <c r="C1851" s="5" t="inlineStr">
        <is>
          <t>MTR-PRC-005</t>
        </is>
      </c>
      <c r="D1851" s="5" t="inlineStr">
        <is>
          <t>Process Hall</t>
        </is>
      </c>
      <c r="E1851" s="5" t="inlineStr">
        <is>
          <t>Process Water Main</t>
        </is>
      </c>
      <c r="F1851" s="5" t="inlineStr">
        <is>
          <t>2024-12-26 08:00</t>
        </is>
      </c>
      <c r="G1851" s="11" t="n">
        <v>49683.82</v>
      </c>
      <c r="H1851" s="5" t="inlineStr">
        <is>
          <t>m3</t>
        </is>
      </c>
      <c r="I1851" s="5" t="inlineStr">
        <is>
          <t>cumulative</t>
        </is>
      </c>
      <c r="J1851" s="5" t="inlineStr">
        <is>
          <t>KL</t>
        </is>
      </c>
      <c r="K1851" s="5" t="inlineStr"/>
      <c r="L1851" s="7">
        <f>IFERROR(IF(F1851&lt;F1850,"NEGATIVE",ROUND(F1851-F1850,2)),"")</f>
        <v/>
      </c>
    </row>
    <row r="1852" ht="22" customHeight="1">
      <c r="B1852" s="8" t="inlineStr">
        <is>
          <t>R01848</t>
        </is>
      </c>
      <c r="C1852" s="8" t="inlineStr">
        <is>
          <t>MTR-PRC-005</t>
        </is>
      </c>
      <c r="D1852" s="8" t="inlineStr">
        <is>
          <t>Process Hall</t>
        </is>
      </c>
      <c r="E1852" s="8" t="inlineStr">
        <is>
          <t>Process Water Main</t>
        </is>
      </c>
      <c r="F1852" s="8" t="inlineStr">
        <is>
          <t>2024-12-27 08:00</t>
        </is>
      </c>
      <c r="G1852" s="12" t="n">
        <v>49704.45</v>
      </c>
      <c r="H1852" s="8" t="inlineStr">
        <is>
          <t>m3</t>
        </is>
      </c>
      <c r="I1852" s="8" t="inlineStr">
        <is>
          <t>cumulative</t>
        </is>
      </c>
      <c r="J1852" s="8" t="inlineStr">
        <is>
          <t>EF</t>
        </is>
      </c>
      <c r="K1852" s="8" t="inlineStr"/>
      <c r="L1852" s="10">
        <f>IFERROR(IF(F1852&lt;F1851,"NEGATIVE",ROUND(F1852-F1851,2)),"")</f>
        <v/>
      </c>
    </row>
    <row r="1853" ht="22" customHeight="1">
      <c r="B1853" s="5" t="inlineStr">
        <is>
          <t>R01849</t>
        </is>
      </c>
      <c r="C1853" s="5" t="inlineStr">
        <is>
          <t>MTR-PRC-005</t>
        </is>
      </c>
      <c r="D1853" s="5" t="inlineStr">
        <is>
          <t>Process Hall</t>
        </is>
      </c>
      <c r="E1853" s="5" t="inlineStr">
        <is>
          <t>Process Water Main</t>
        </is>
      </c>
      <c r="F1853" s="5" t="inlineStr">
        <is>
          <t>2024-12-28 08:00</t>
        </is>
      </c>
      <c r="G1853" s="11" t="n">
        <v>49721.01</v>
      </c>
      <c r="H1853" s="5" t="inlineStr">
        <is>
          <t>m3</t>
        </is>
      </c>
      <c r="I1853" s="5" t="inlineStr">
        <is>
          <t>cumulative</t>
        </is>
      </c>
      <c r="J1853" s="5" t="inlineStr">
        <is>
          <t>GH</t>
        </is>
      </c>
      <c r="K1853" s="5" t="inlineStr"/>
      <c r="L1853" s="7">
        <f>IFERROR(IF(F1853&lt;F1852,"NEGATIVE",ROUND(F1853-F1852,2)),"")</f>
        <v/>
      </c>
    </row>
    <row r="1854" ht="22" customHeight="1">
      <c r="B1854" s="8" t="inlineStr">
        <is>
          <t>R01850</t>
        </is>
      </c>
      <c r="C1854" s="8" t="inlineStr">
        <is>
          <t>MTR-PRC-005</t>
        </is>
      </c>
      <c r="D1854" s="8" t="inlineStr">
        <is>
          <t>Process Hall</t>
        </is>
      </c>
      <c r="E1854" s="8" t="inlineStr">
        <is>
          <t>Process Water Main</t>
        </is>
      </c>
      <c r="F1854" s="8" t="inlineStr">
        <is>
          <t>2024-12-29 08:00</t>
        </is>
      </c>
      <c r="G1854" s="12" t="n">
        <v>49732.68</v>
      </c>
      <c r="H1854" s="8" t="inlineStr">
        <is>
          <t>m3</t>
        </is>
      </c>
      <c r="I1854" s="8" t="inlineStr">
        <is>
          <t>cumulative</t>
        </is>
      </c>
      <c r="J1854" s="8" t="inlineStr">
        <is>
          <t>KL</t>
        </is>
      </c>
      <c r="K1854" s="8" t="inlineStr"/>
      <c r="L1854" s="10">
        <f>IFERROR(IF(F1854&lt;F1853,"NEGATIVE",ROUND(F1854-F1853,2)),"")</f>
        <v/>
      </c>
    </row>
    <row r="1855" ht="22" customHeight="1">
      <c r="B1855" s="5" t="inlineStr">
        <is>
          <t>R01851</t>
        </is>
      </c>
      <c r="C1855" s="5" t="inlineStr">
        <is>
          <t>MTR-PRC-005</t>
        </is>
      </c>
      <c r="D1855" s="5" t="inlineStr">
        <is>
          <t>Process Hall</t>
        </is>
      </c>
      <c r="E1855" s="5" t="inlineStr">
        <is>
          <t>Process Water Main</t>
        </is>
      </c>
      <c r="F1855" s="5" t="inlineStr">
        <is>
          <t>2024-12-30 08:00</t>
        </is>
      </c>
      <c r="G1855" s="11" t="n">
        <v>49759.11</v>
      </c>
      <c r="H1855" s="5" t="inlineStr">
        <is>
          <t>m3</t>
        </is>
      </c>
      <c r="I1855" s="5" t="inlineStr">
        <is>
          <t>cumulative</t>
        </is>
      </c>
      <c r="J1855" s="5" t="inlineStr">
        <is>
          <t>GH</t>
        </is>
      </c>
      <c r="K1855" s="5" t="inlineStr"/>
      <c r="L1855" s="7">
        <f>IFERROR(IF(F1855&lt;F1854,"NEGATIVE",ROUND(F1855-F1854,2)),"")</f>
        <v/>
      </c>
    </row>
    <row r="1856" ht="22" customHeight="1">
      <c r="B1856" s="8" t="inlineStr">
        <is>
          <t>R01852</t>
        </is>
      </c>
      <c r="C1856" s="8" t="inlineStr">
        <is>
          <t>MTR-PRC-005</t>
        </is>
      </c>
      <c r="D1856" s="8" t="inlineStr">
        <is>
          <t>Process Hall</t>
        </is>
      </c>
      <c r="E1856" s="8" t="inlineStr">
        <is>
          <t>Process Water Main</t>
        </is>
      </c>
      <c r="F1856" s="8" t="inlineStr">
        <is>
          <t>2024-12-31 08:00</t>
        </is>
      </c>
      <c r="G1856" s="12" t="n">
        <v>49786.22</v>
      </c>
      <c r="H1856" s="8" t="inlineStr">
        <is>
          <t>m3</t>
        </is>
      </c>
      <c r="I1856" s="8" t="inlineStr">
        <is>
          <t>cumulative</t>
        </is>
      </c>
      <c r="J1856" s="8" t="inlineStr">
        <is>
          <t>EF</t>
        </is>
      </c>
      <c r="K1856" s="8" t="inlineStr"/>
      <c r="L1856" s="10">
        <f>IFERROR(IF(F1856&lt;F1855,"NEGATIVE",ROUND(F1856-F1855,2)),"")</f>
        <v/>
      </c>
    </row>
    <row r="1857" ht="22" customHeight="1">
      <c r="B1857" s="5" t="inlineStr">
        <is>
          <t>R01853</t>
        </is>
      </c>
      <c r="C1857" s="5" t="inlineStr">
        <is>
          <t>MTR-WSH-002</t>
        </is>
      </c>
      <c r="D1857" s="5" t="inlineStr">
        <is>
          <t>Washing Hall</t>
        </is>
      </c>
      <c r="E1857" s="5" t="inlineStr">
        <is>
          <t>Washing Machine 3</t>
        </is>
      </c>
      <c r="F1857" s="5" t="inlineStr">
        <is>
          <t>2024-01-01 08:00</t>
        </is>
      </c>
      <c r="G1857" s="11" t="n">
        <v>88151.53</v>
      </c>
      <c r="H1857" s="5" t="inlineStr">
        <is>
          <t>m3</t>
        </is>
      </c>
      <c r="I1857" s="5" t="inlineStr">
        <is>
          <t>cumulative</t>
        </is>
      </c>
      <c r="J1857" s="5" t="inlineStr">
        <is>
          <t>CD</t>
        </is>
      </c>
      <c r="K1857" s="5" t="inlineStr"/>
      <c r="L1857" s="7" t="inlineStr"/>
    </row>
    <row r="1858" ht="22" customHeight="1">
      <c r="B1858" s="8" t="inlineStr">
        <is>
          <t>R01854</t>
        </is>
      </c>
      <c r="C1858" s="8" t="inlineStr">
        <is>
          <t>MTR-WSH-002</t>
        </is>
      </c>
      <c r="D1858" s="8" t="inlineStr">
        <is>
          <t>Washing Hall</t>
        </is>
      </c>
      <c r="E1858" s="8" t="inlineStr">
        <is>
          <t>Washing Machine 3</t>
        </is>
      </c>
      <c r="F1858" s="8" t="inlineStr">
        <is>
          <t>2024-01-02 08:00</t>
        </is>
      </c>
      <c r="G1858" s="12" t="n">
        <v>88178.57000000001</v>
      </c>
      <c r="H1858" s="8" t="inlineStr">
        <is>
          <t>m3</t>
        </is>
      </c>
      <c r="I1858" s="8" t="inlineStr">
        <is>
          <t>cumulative</t>
        </is>
      </c>
      <c r="J1858" s="8" t="inlineStr">
        <is>
          <t>IJ</t>
        </is>
      </c>
      <c r="K1858" s="8" t="inlineStr"/>
      <c r="L1858" s="10">
        <f>IFERROR(IF(F1858&lt;F1857,"NEGATIVE",ROUND(F1858-F1857,2)),"")</f>
        <v/>
      </c>
    </row>
    <row r="1859" ht="22" customHeight="1">
      <c r="B1859" s="5" t="inlineStr">
        <is>
          <t>R01855</t>
        </is>
      </c>
      <c r="C1859" s="5" t="inlineStr">
        <is>
          <t>MTR-WSH-002</t>
        </is>
      </c>
      <c r="D1859" s="5" t="inlineStr">
        <is>
          <t>Washing Hall</t>
        </is>
      </c>
      <c r="E1859" s="5" t="inlineStr">
        <is>
          <t>Washing Machine 3</t>
        </is>
      </c>
      <c r="F1859" s="5" t="inlineStr">
        <is>
          <t>2024-01-03 08:00</t>
        </is>
      </c>
      <c r="G1859" s="11" t="n">
        <v>88210.25</v>
      </c>
      <c r="H1859" s="5" t="inlineStr">
        <is>
          <t>m3</t>
        </is>
      </c>
      <c r="I1859" s="5" t="inlineStr">
        <is>
          <t>cumulative</t>
        </is>
      </c>
      <c r="J1859" s="5" t="inlineStr">
        <is>
          <t>CD</t>
        </is>
      </c>
      <c r="K1859" s="5" t="inlineStr"/>
      <c r="L1859" s="7">
        <f>IFERROR(IF(F1859&lt;F1858,"NEGATIVE",ROUND(F1859-F1858,2)),"")</f>
        <v/>
      </c>
    </row>
    <row r="1860" ht="22" customHeight="1">
      <c r="B1860" s="8" t="inlineStr">
        <is>
          <t>R01856</t>
        </is>
      </c>
      <c r="C1860" s="8" t="inlineStr">
        <is>
          <t>MTR-WSH-002</t>
        </is>
      </c>
      <c r="D1860" s="8" t="inlineStr">
        <is>
          <t>Washing Hall</t>
        </is>
      </c>
      <c r="E1860" s="8" t="inlineStr">
        <is>
          <t>Washing Machine 3</t>
        </is>
      </c>
      <c r="F1860" s="8" t="inlineStr">
        <is>
          <t>2024-01-04 08:00</t>
        </is>
      </c>
      <c r="G1860" s="12" t="n">
        <v>88240.56</v>
      </c>
      <c r="H1860" s="8" t="inlineStr">
        <is>
          <t>m3</t>
        </is>
      </c>
      <c r="I1860" s="8" t="inlineStr">
        <is>
          <t>cumulative</t>
        </is>
      </c>
      <c r="J1860" s="8" t="inlineStr">
        <is>
          <t>AB</t>
        </is>
      </c>
      <c r="K1860" s="8" t="inlineStr"/>
      <c r="L1860" s="10">
        <f>IFERROR(IF(F1860&lt;F1859,"NEGATIVE",ROUND(F1860-F1859,2)),"")</f>
        <v/>
      </c>
    </row>
    <row r="1861" ht="22" customHeight="1">
      <c r="B1861" s="5" t="inlineStr">
        <is>
          <t>R01857</t>
        </is>
      </c>
      <c r="C1861" s="5" t="inlineStr">
        <is>
          <t>MTR-WSH-002</t>
        </is>
      </c>
      <c r="D1861" s="5" t="inlineStr">
        <is>
          <t>Washing Hall</t>
        </is>
      </c>
      <c r="E1861" s="5" t="inlineStr">
        <is>
          <t>Washing Machine 3</t>
        </is>
      </c>
      <c r="F1861" s="5" t="inlineStr">
        <is>
          <t>2024-01-05 08:00</t>
        </is>
      </c>
      <c r="G1861" s="11" t="n">
        <v>88270.64</v>
      </c>
      <c r="H1861" s="5" t="inlineStr">
        <is>
          <t>m3</t>
        </is>
      </c>
      <c r="I1861" s="5" t="inlineStr">
        <is>
          <t>cumulative</t>
        </is>
      </c>
      <c r="J1861" s="5" t="inlineStr">
        <is>
          <t>KL</t>
        </is>
      </c>
      <c r="K1861" s="5" t="inlineStr"/>
      <c r="L1861" s="7">
        <f>IFERROR(IF(F1861&lt;F1860,"NEGATIVE",ROUND(F1861-F1860,2)),"")</f>
        <v/>
      </c>
    </row>
    <row r="1862" ht="22" customHeight="1">
      <c r="B1862" s="8" t="inlineStr">
        <is>
          <t>R01858</t>
        </is>
      </c>
      <c r="C1862" s="8" t="inlineStr">
        <is>
          <t>MTR-WSH-002</t>
        </is>
      </c>
      <c r="D1862" s="8" t="inlineStr">
        <is>
          <t>Washing Hall</t>
        </is>
      </c>
      <c r="E1862" s="8" t="inlineStr">
        <is>
          <t>Washing Machine 3</t>
        </is>
      </c>
      <c r="F1862" s="8" t="inlineStr">
        <is>
          <t>2024-01-06 08:00</t>
        </is>
      </c>
      <c r="G1862" s="12" t="n">
        <v>88296.83</v>
      </c>
      <c r="H1862" s="8" t="inlineStr">
        <is>
          <t>m3</t>
        </is>
      </c>
      <c r="I1862" s="8" t="inlineStr">
        <is>
          <t>cumulative</t>
        </is>
      </c>
      <c r="J1862" s="8" t="inlineStr">
        <is>
          <t>CD</t>
        </is>
      </c>
      <c r="K1862" s="8" t="inlineStr"/>
      <c r="L1862" s="10">
        <f>IFERROR(IF(F1862&lt;F1861,"NEGATIVE",ROUND(F1862-F1861,2)),"")</f>
        <v/>
      </c>
    </row>
    <row r="1863" ht="22" customHeight="1">
      <c r="B1863" s="5" t="inlineStr">
        <is>
          <t>R01859</t>
        </is>
      </c>
      <c r="C1863" s="5" t="inlineStr">
        <is>
          <t>MTR-WSH-002</t>
        </is>
      </c>
      <c r="D1863" s="5" t="inlineStr">
        <is>
          <t>Washing Hall</t>
        </is>
      </c>
      <c r="E1863" s="5" t="inlineStr">
        <is>
          <t>Washing Machine 3</t>
        </is>
      </c>
      <c r="F1863" s="5" t="inlineStr">
        <is>
          <t>2024-01-07 08:00</t>
        </is>
      </c>
      <c r="G1863" s="11" t="n">
        <v>88311.05</v>
      </c>
      <c r="H1863" s="5" t="inlineStr">
        <is>
          <t>m3</t>
        </is>
      </c>
      <c r="I1863" s="5" t="inlineStr">
        <is>
          <t>cumulative</t>
        </is>
      </c>
      <c r="J1863" s="5" t="inlineStr">
        <is>
          <t>GH</t>
        </is>
      </c>
      <c r="K1863" s="5" t="inlineStr"/>
      <c r="L1863" s="7">
        <f>IFERROR(IF(F1863&lt;F1862,"NEGATIVE",ROUND(F1863-F1862,2)),"")</f>
        <v/>
      </c>
    </row>
    <row r="1864" ht="22" customHeight="1">
      <c r="B1864" s="8" t="inlineStr">
        <is>
          <t>R01860</t>
        </is>
      </c>
      <c r="C1864" s="8" t="inlineStr">
        <is>
          <t>MTR-WSH-002</t>
        </is>
      </c>
      <c r="D1864" s="8" t="inlineStr">
        <is>
          <t>Washing Hall</t>
        </is>
      </c>
      <c r="E1864" s="8" t="inlineStr">
        <is>
          <t>Washing Machine 3</t>
        </is>
      </c>
      <c r="F1864" s="8" t="inlineStr">
        <is>
          <t>2024-01-08 08:00</t>
        </is>
      </c>
      <c r="G1864" s="12" t="n">
        <v>88338.39999999999</v>
      </c>
      <c r="H1864" s="8" t="inlineStr">
        <is>
          <t>m3</t>
        </is>
      </c>
      <c r="I1864" s="8" t="inlineStr">
        <is>
          <t>cumulative</t>
        </is>
      </c>
      <c r="J1864" s="8" t="inlineStr">
        <is>
          <t>CD</t>
        </is>
      </c>
      <c r="K1864" s="8" t="inlineStr"/>
      <c r="L1864" s="10">
        <f>IFERROR(IF(F1864&lt;F1863,"NEGATIVE",ROUND(F1864-F1863,2)),"")</f>
        <v/>
      </c>
    </row>
    <row r="1865" ht="22" customHeight="1">
      <c r="B1865" s="5" t="inlineStr">
        <is>
          <t>R01861</t>
        </is>
      </c>
      <c r="C1865" s="5" t="inlineStr">
        <is>
          <t>MTR-WSH-002</t>
        </is>
      </c>
      <c r="D1865" s="5" t="inlineStr">
        <is>
          <t>Washing Hall</t>
        </is>
      </c>
      <c r="E1865" s="5" t="inlineStr">
        <is>
          <t>Washing Machine 3</t>
        </is>
      </c>
      <c r="F1865" s="5" t="inlineStr">
        <is>
          <t>2024-01-09 08:00</t>
        </is>
      </c>
      <c r="G1865" s="11" t="n">
        <v>88364.62</v>
      </c>
      <c r="H1865" s="5" t="inlineStr">
        <is>
          <t>m3</t>
        </is>
      </c>
      <c r="I1865" s="5" t="inlineStr">
        <is>
          <t>cumulative</t>
        </is>
      </c>
      <c r="J1865" s="5" t="inlineStr">
        <is>
          <t>KL</t>
        </is>
      </c>
      <c r="K1865" s="5" t="inlineStr"/>
      <c r="L1865" s="7">
        <f>IFERROR(IF(F1865&lt;F1864,"NEGATIVE",ROUND(F1865-F1864,2)),"")</f>
        <v/>
      </c>
    </row>
    <row r="1866" ht="22" customHeight="1">
      <c r="B1866" s="8" t="inlineStr">
        <is>
          <t>R01862</t>
        </is>
      </c>
      <c r="C1866" s="8" t="inlineStr">
        <is>
          <t>MTR-WSH-002</t>
        </is>
      </c>
      <c r="D1866" s="8" t="inlineStr">
        <is>
          <t>Washing Hall</t>
        </is>
      </c>
      <c r="E1866" s="8" t="inlineStr">
        <is>
          <t>Washing Machine 3</t>
        </is>
      </c>
      <c r="F1866" s="8" t="inlineStr">
        <is>
          <t>2024-01-10 08:00</t>
        </is>
      </c>
      <c r="G1866" s="12" t="n">
        <v>88396.28</v>
      </c>
      <c r="H1866" s="8" t="inlineStr">
        <is>
          <t>m3</t>
        </is>
      </c>
      <c r="I1866" s="8" t="inlineStr">
        <is>
          <t>cumulative</t>
        </is>
      </c>
      <c r="J1866" s="8" t="inlineStr">
        <is>
          <t>AB</t>
        </is>
      </c>
      <c r="K1866" s="8" t="inlineStr"/>
      <c r="L1866" s="10">
        <f>IFERROR(IF(F1866&lt;F1865,"NEGATIVE",ROUND(F1866-F1865,2)),"")</f>
        <v/>
      </c>
    </row>
    <row r="1867" ht="22" customHeight="1">
      <c r="B1867" s="5" t="inlineStr">
        <is>
          <t>R01863</t>
        </is>
      </c>
      <c r="C1867" s="5" t="inlineStr">
        <is>
          <t>MTR-WSH-002</t>
        </is>
      </c>
      <c r="D1867" s="5" t="inlineStr">
        <is>
          <t>Washing Hall</t>
        </is>
      </c>
      <c r="E1867" s="5" t="inlineStr">
        <is>
          <t>Washing Machine 3</t>
        </is>
      </c>
      <c r="F1867" s="5" t="inlineStr">
        <is>
          <t>2024-01-11 08:00</t>
        </is>
      </c>
      <c r="G1867" s="11" t="n">
        <v>88428.86</v>
      </c>
      <c r="H1867" s="5" t="inlineStr">
        <is>
          <t>m3</t>
        </is>
      </c>
      <c r="I1867" s="5" t="inlineStr">
        <is>
          <t>cumulative</t>
        </is>
      </c>
      <c r="J1867" s="5" t="inlineStr">
        <is>
          <t>AB</t>
        </is>
      </c>
      <c r="K1867" s="5" t="inlineStr"/>
      <c r="L1867" s="7">
        <f>IFERROR(IF(F1867&lt;F1866,"NEGATIVE",ROUND(F1867-F1866,2)),"")</f>
        <v/>
      </c>
    </row>
    <row r="1868" ht="22" customHeight="1">
      <c r="B1868" s="8" t="inlineStr">
        <is>
          <t>R01864</t>
        </is>
      </c>
      <c r="C1868" s="8" t="inlineStr">
        <is>
          <t>MTR-WSH-002</t>
        </is>
      </c>
      <c r="D1868" s="8" t="inlineStr">
        <is>
          <t>Washing Hall</t>
        </is>
      </c>
      <c r="E1868" s="8" t="inlineStr">
        <is>
          <t>Washing Machine 3</t>
        </is>
      </c>
      <c r="F1868" s="8" t="inlineStr">
        <is>
          <t>2024-01-12 08:00</t>
        </is>
      </c>
      <c r="G1868" s="12" t="n">
        <v>88453.88</v>
      </c>
      <c r="H1868" s="8" t="inlineStr">
        <is>
          <t>m3</t>
        </is>
      </c>
      <c r="I1868" s="8" t="inlineStr">
        <is>
          <t>cumulative</t>
        </is>
      </c>
      <c r="J1868" s="8" t="inlineStr">
        <is>
          <t>KL</t>
        </is>
      </c>
      <c r="K1868" s="8" t="inlineStr"/>
      <c r="L1868" s="10">
        <f>IFERROR(IF(F1868&lt;F1867,"NEGATIVE",ROUND(F1868-F1867,2)),"")</f>
        <v/>
      </c>
    </row>
    <row r="1869" ht="22" customHeight="1">
      <c r="B1869" s="5" t="inlineStr">
        <is>
          <t>R01865</t>
        </is>
      </c>
      <c r="C1869" s="5" t="inlineStr">
        <is>
          <t>MTR-WSH-002</t>
        </is>
      </c>
      <c r="D1869" s="5" t="inlineStr">
        <is>
          <t>Washing Hall</t>
        </is>
      </c>
      <c r="E1869" s="5" t="inlineStr">
        <is>
          <t>Washing Machine 3</t>
        </is>
      </c>
      <c r="F1869" s="5" t="inlineStr">
        <is>
          <t>2024-01-13 08:00</t>
        </is>
      </c>
      <c r="G1869" s="11" t="n">
        <v>88478.46000000001</v>
      </c>
      <c r="H1869" s="5" t="inlineStr">
        <is>
          <t>m3</t>
        </is>
      </c>
      <c r="I1869" s="5" t="inlineStr">
        <is>
          <t>cumulative</t>
        </is>
      </c>
      <c r="J1869" s="5" t="inlineStr">
        <is>
          <t>CD</t>
        </is>
      </c>
      <c r="K1869" s="5" t="inlineStr"/>
      <c r="L1869" s="7">
        <f>IFERROR(IF(F1869&lt;F1868,"NEGATIVE",ROUND(F1869-F1868,2)),"")</f>
        <v/>
      </c>
    </row>
    <row r="1870" ht="22" customHeight="1">
      <c r="B1870" s="8" t="inlineStr">
        <is>
          <t>R01866</t>
        </is>
      </c>
      <c r="C1870" s="8" t="inlineStr">
        <is>
          <t>MTR-WSH-002</t>
        </is>
      </c>
      <c r="D1870" s="8" t="inlineStr">
        <is>
          <t>Washing Hall</t>
        </is>
      </c>
      <c r="E1870" s="8" t="inlineStr">
        <is>
          <t>Washing Machine 3</t>
        </is>
      </c>
      <c r="F1870" s="8" t="inlineStr">
        <is>
          <t>2024-01-14 08:00</t>
        </is>
      </c>
      <c r="G1870" s="12" t="n">
        <v>88495.61</v>
      </c>
      <c r="H1870" s="8" t="inlineStr">
        <is>
          <t>m3</t>
        </is>
      </c>
      <c r="I1870" s="8" t="inlineStr">
        <is>
          <t>cumulative</t>
        </is>
      </c>
      <c r="J1870" s="8" t="inlineStr">
        <is>
          <t>EF</t>
        </is>
      </c>
      <c r="K1870" s="8" t="inlineStr"/>
      <c r="L1870" s="10">
        <f>IFERROR(IF(F1870&lt;F1869,"NEGATIVE",ROUND(F1870-F1869,2)),"")</f>
        <v/>
      </c>
    </row>
    <row r="1871" ht="22" customHeight="1">
      <c r="B1871" s="5" t="inlineStr">
        <is>
          <t>R01867</t>
        </is>
      </c>
      <c r="C1871" s="5" t="inlineStr">
        <is>
          <t>MTR-WSH-002</t>
        </is>
      </c>
      <c r="D1871" s="5" t="inlineStr">
        <is>
          <t>Washing Hall</t>
        </is>
      </c>
      <c r="E1871" s="5" t="inlineStr">
        <is>
          <t>Washing Machine 3</t>
        </is>
      </c>
      <c r="F1871" s="5" t="inlineStr">
        <is>
          <t>2024-01-15 08:00</t>
        </is>
      </c>
      <c r="G1871" s="11" t="n">
        <v>88526.42</v>
      </c>
      <c r="H1871" s="5" t="inlineStr">
        <is>
          <t>m3</t>
        </is>
      </c>
      <c r="I1871" s="5" t="inlineStr">
        <is>
          <t>cumulative</t>
        </is>
      </c>
      <c r="J1871" s="5" t="inlineStr">
        <is>
          <t>IJ</t>
        </is>
      </c>
      <c r="K1871" s="5" t="inlineStr"/>
      <c r="L1871" s="7">
        <f>IFERROR(IF(F1871&lt;F1870,"NEGATIVE",ROUND(F1871-F1870,2)),"")</f>
        <v/>
      </c>
    </row>
    <row r="1872" ht="22" customHeight="1">
      <c r="B1872" s="8" t="inlineStr">
        <is>
          <t>R01868</t>
        </is>
      </c>
      <c r="C1872" s="8" t="inlineStr">
        <is>
          <t>MTR-WSH-002</t>
        </is>
      </c>
      <c r="D1872" s="8" t="inlineStr">
        <is>
          <t>Washing Hall</t>
        </is>
      </c>
      <c r="E1872" s="8" t="inlineStr">
        <is>
          <t>Washing Machine 3</t>
        </is>
      </c>
      <c r="F1872" s="8" t="inlineStr">
        <is>
          <t>2024-01-16 08:00</t>
        </is>
      </c>
      <c r="G1872" s="12" t="n">
        <v>88554.92999999999</v>
      </c>
      <c r="H1872" s="8" t="inlineStr">
        <is>
          <t>m3</t>
        </is>
      </c>
      <c r="I1872" s="8" t="inlineStr">
        <is>
          <t>cumulative</t>
        </is>
      </c>
      <c r="J1872" s="8" t="inlineStr">
        <is>
          <t>KL</t>
        </is>
      </c>
      <c r="K1872" s="8" t="inlineStr"/>
      <c r="L1872" s="10">
        <f>IFERROR(IF(F1872&lt;F1871,"NEGATIVE",ROUND(F1872-F1871,2)),"")</f>
        <v/>
      </c>
    </row>
    <row r="1873" ht="22" customHeight="1">
      <c r="B1873" s="5" t="inlineStr">
        <is>
          <t>R01869</t>
        </is>
      </c>
      <c r="C1873" s="5" t="inlineStr">
        <is>
          <t>MTR-WSH-002</t>
        </is>
      </c>
      <c r="D1873" s="5" t="inlineStr">
        <is>
          <t>Washing Hall</t>
        </is>
      </c>
      <c r="E1873" s="5" t="inlineStr">
        <is>
          <t>Washing Machine 3</t>
        </is>
      </c>
      <c r="F1873" s="5" t="inlineStr">
        <is>
          <t>2024-01-17 08:00</t>
        </is>
      </c>
      <c r="G1873" s="11" t="n">
        <v>88585.11</v>
      </c>
      <c r="H1873" s="5" t="inlineStr">
        <is>
          <t>m3</t>
        </is>
      </c>
      <c r="I1873" s="5" t="inlineStr">
        <is>
          <t>cumulative</t>
        </is>
      </c>
      <c r="J1873" s="5" t="inlineStr">
        <is>
          <t>AB</t>
        </is>
      </c>
      <c r="K1873" s="5" t="inlineStr"/>
      <c r="L1873" s="7">
        <f>IFERROR(IF(F1873&lt;F1872,"NEGATIVE",ROUND(F1873-F1872,2)),"")</f>
        <v/>
      </c>
    </row>
    <row r="1874" ht="22" customHeight="1">
      <c r="B1874" s="8" t="inlineStr">
        <is>
          <t>R01870</t>
        </is>
      </c>
      <c r="C1874" s="8" t="inlineStr">
        <is>
          <t>MTR-WSH-002</t>
        </is>
      </c>
      <c r="D1874" s="8" t="inlineStr">
        <is>
          <t>Washing Hall</t>
        </is>
      </c>
      <c r="E1874" s="8" t="inlineStr">
        <is>
          <t>Washing Machine 3</t>
        </is>
      </c>
      <c r="F1874" s="8" t="inlineStr">
        <is>
          <t>2024-01-18 08:00</t>
        </is>
      </c>
      <c r="G1874" s="12" t="n">
        <v>88611.99000000001</v>
      </c>
      <c r="H1874" s="8" t="inlineStr">
        <is>
          <t>m3</t>
        </is>
      </c>
      <c r="I1874" s="8" t="inlineStr">
        <is>
          <t>cumulative</t>
        </is>
      </c>
      <c r="J1874" s="8" t="inlineStr">
        <is>
          <t>CD</t>
        </is>
      </c>
      <c r="K1874" s="8" t="inlineStr"/>
      <c r="L1874" s="10">
        <f>IFERROR(IF(F1874&lt;F1873,"NEGATIVE",ROUND(F1874-F1873,2)),"")</f>
        <v/>
      </c>
    </row>
    <row r="1875" ht="22" customHeight="1">
      <c r="B1875" s="5" t="inlineStr">
        <is>
          <t>R01871</t>
        </is>
      </c>
      <c r="C1875" s="5" t="inlineStr">
        <is>
          <t>MTR-WSH-002</t>
        </is>
      </c>
      <c r="D1875" s="5" t="inlineStr">
        <is>
          <t>Washing Hall</t>
        </is>
      </c>
      <c r="E1875" s="5" t="inlineStr">
        <is>
          <t>Washing Machine 3</t>
        </is>
      </c>
      <c r="F1875" s="5" t="inlineStr">
        <is>
          <t>2024-01-19 08:00</t>
        </is>
      </c>
      <c r="G1875" s="11" t="n">
        <v>88640.72</v>
      </c>
      <c r="H1875" s="5" t="inlineStr">
        <is>
          <t>m3</t>
        </is>
      </c>
      <c r="I1875" s="5" t="inlineStr">
        <is>
          <t>cumulative</t>
        </is>
      </c>
      <c r="J1875" s="5" t="inlineStr">
        <is>
          <t>GH</t>
        </is>
      </c>
      <c r="K1875" s="5" t="inlineStr"/>
      <c r="L1875" s="7">
        <f>IFERROR(IF(F1875&lt;F1874,"NEGATIVE",ROUND(F1875-F1874,2)),"")</f>
        <v/>
      </c>
    </row>
    <row r="1876" ht="22" customHeight="1">
      <c r="B1876" s="8" t="inlineStr">
        <is>
          <t>R01872</t>
        </is>
      </c>
      <c r="C1876" s="8" t="inlineStr">
        <is>
          <t>MTR-WSH-002</t>
        </is>
      </c>
      <c r="D1876" s="8" t="inlineStr">
        <is>
          <t>Washing Hall</t>
        </is>
      </c>
      <c r="E1876" s="8" t="inlineStr">
        <is>
          <t>Washing Machine 3</t>
        </is>
      </c>
      <c r="F1876" s="8" t="inlineStr">
        <is>
          <t>2024-01-20 08:00</t>
        </is>
      </c>
      <c r="G1876" s="12" t="n">
        <v>88664.78</v>
      </c>
      <c r="H1876" s="8" t="inlineStr">
        <is>
          <t>m3</t>
        </is>
      </c>
      <c r="I1876" s="8" t="inlineStr">
        <is>
          <t>cumulative</t>
        </is>
      </c>
      <c r="J1876" s="8" t="inlineStr">
        <is>
          <t>CD</t>
        </is>
      </c>
      <c r="K1876" s="8" t="inlineStr"/>
      <c r="L1876" s="10">
        <f>IFERROR(IF(F1876&lt;F1875,"NEGATIVE",ROUND(F1876-F1875,2)),"")</f>
        <v/>
      </c>
    </row>
    <row r="1877" ht="22" customHeight="1">
      <c r="B1877" s="5" t="inlineStr">
        <is>
          <t>R01873</t>
        </is>
      </c>
      <c r="C1877" s="5" t="inlineStr">
        <is>
          <t>MTR-WSH-002</t>
        </is>
      </c>
      <c r="D1877" s="5" t="inlineStr">
        <is>
          <t>Washing Hall</t>
        </is>
      </c>
      <c r="E1877" s="5" t="inlineStr">
        <is>
          <t>Washing Machine 3</t>
        </is>
      </c>
      <c r="F1877" s="5" t="inlineStr">
        <is>
          <t>2024-01-21 08:00</t>
        </is>
      </c>
      <c r="G1877" s="11" t="n">
        <v>88682.35000000001</v>
      </c>
      <c r="H1877" s="5" t="inlineStr">
        <is>
          <t>m3</t>
        </is>
      </c>
      <c r="I1877" s="5" t="inlineStr">
        <is>
          <t>cumulative</t>
        </is>
      </c>
      <c r="J1877" s="5" t="inlineStr">
        <is>
          <t>CD</t>
        </is>
      </c>
      <c r="K1877" s="5" t="inlineStr"/>
      <c r="L1877" s="7">
        <f>IFERROR(IF(F1877&lt;F1876,"NEGATIVE",ROUND(F1877-F1876,2)),"")</f>
        <v/>
      </c>
    </row>
    <row r="1878" ht="22" customHeight="1">
      <c r="B1878" s="8" t="inlineStr">
        <is>
          <t>R01874</t>
        </is>
      </c>
      <c r="C1878" s="8" t="inlineStr">
        <is>
          <t>MTR-WSH-002</t>
        </is>
      </c>
      <c r="D1878" s="8" t="inlineStr">
        <is>
          <t>Washing Hall</t>
        </is>
      </c>
      <c r="E1878" s="8" t="inlineStr">
        <is>
          <t>Washing Machine 3</t>
        </is>
      </c>
      <c r="F1878" s="8" t="inlineStr">
        <is>
          <t>2024-01-22 08:00</t>
        </is>
      </c>
      <c r="G1878" s="12" t="n">
        <v>88709.86</v>
      </c>
      <c r="H1878" s="8" t="inlineStr">
        <is>
          <t>m3</t>
        </is>
      </c>
      <c r="I1878" s="8" t="inlineStr">
        <is>
          <t>cumulative</t>
        </is>
      </c>
      <c r="J1878" s="8" t="inlineStr">
        <is>
          <t>KL</t>
        </is>
      </c>
      <c r="K1878" s="8" t="inlineStr"/>
      <c r="L1878" s="10">
        <f>IFERROR(IF(F1878&lt;F1877,"NEGATIVE",ROUND(F1878-F1877,2)),"")</f>
        <v/>
      </c>
    </row>
    <row r="1879" ht="22" customHeight="1">
      <c r="B1879" s="5" t="inlineStr">
        <is>
          <t>R01875</t>
        </is>
      </c>
      <c r="C1879" s="5" t="inlineStr">
        <is>
          <t>MTR-WSH-002</t>
        </is>
      </c>
      <c r="D1879" s="5" t="inlineStr">
        <is>
          <t>Washing Hall</t>
        </is>
      </c>
      <c r="E1879" s="5" t="inlineStr">
        <is>
          <t>Washing Machine 3</t>
        </is>
      </c>
      <c r="F1879" s="5" t="inlineStr">
        <is>
          <t>2024-01-23 08:00</t>
        </is>
      </c>
      <c r="G1879" s="11" t="n">
        <v>88735.39</v>
      </c>
      <c r="H1879" s="5" t="inlineStr">
        <is>
          <t>m3</t>
        </is>
      </c>
      <c r="I1879" s="5" t="inlineStr">
        <is>
          <t>cumulative</t>
        </is>
      </c>
      <c r="J1879" s="5" t="inlineStr">
        <is>
          <t>EF</t>
        </is>
      </c>
      <c r="K1879" s="5" t="inlineStr"/>
      <c r="L1879" s="7">
        <f>IFERROR(IF(F1879&lt;F1878,"NEGATIVE",ROUND(F1879-F1878,2)),"")</f>
        <v/>
      </c>
    </row>
    <row r="1880" ht="22" customHeight="1">
      <c r="B1880" s="8" t="inlineStr">
        <is>
          <t>R01876</t>
        </is>
      </c>
      <c r="C1880" s="8" t="inlineStr">
        <is>
          <t>MTR-WSH-002</t>
        </is>
      </c>
      <c r="D1880" s="8" t="inlineStr">
        <is>
          <t>Washing Hall</t>
        </is>
      </c>
      <c r="E1880" s="8" t="inlineStr">
        <is>
          <t>Washing Machine 3</t>
        </is>
      </c>
      <c r="F1880" s="8" t="inlineStr">
        <is>
          <t>2024-01-24 08:00</t>
        </is>
      </c>
      <c r="G1880" s="12" t="n">
        <v>88766.34</v>
      </c>
      <c r="H1880" s="8" t="inlineStr">
        <is>
          <t>m3</t>
        </is>
      </c>
      <c r="I1880" s="8" t="inlineStr">
        <is>
          <t>cumulative</t>
        </is>
      </c>
      <c r="J1880" s="8" t="inlineStr">
        <is>
          <t>CD</t>
        </is>
      </c>
      <c r="K1880" s="8" t="inlineStr"/>
      <c r="L1880" s="10">
        <f>IFERROR(IF(F1880&lt;F1879,"NEGATIVE",ROUND(F1880-F1879,2)),"")</f>
        <v/>
      </c>
    </row>
    <row r="1881" ht="22" customHeight="1">
      <c r="B1881" s="5" t="inlineStr">
        <is>
          <t>R01877</t>
        </is>
      </c>
      <c r="C1881" s="5" t="inlineStr">
        <is>
          <t>MTR-WSH-002</t>
        </is>
      </c>
      <c r="D1881" s="5" t="inlineStr">
        <is>
          <t>Washing Hall</t>
        </is>
      </c>
      <c r="E1881" s="5" t="inlineStr">
        <is>
          <t>Washing Machine 3</t>
        </is>
      </c>
      <c r="F1881" s="5" t="inlineStr">
        <is>
          <t>2024-01-25 08:00</t>
        </is>
      </c>
      <c r="G1881" s="11" t="n">
        <v>88799.57000000001</v>
      </c>
      <c r="H1881" s="5" t="inlineStr">
        <is>
          <t>m3</t>
        </is>
      </c>
      <c r="I1881" s="5" t="inlineStr">
        <is>
          <t>cumulative</t>
        </is>
      </c>
      <c r="J1881" s="5" t="inlineStr">
        <is>
          <t>CD</t>
        </is>
      </c>
      <c r="K1881" s="5" t="inlineStr"/>
      <c r="L1881" s="7">
        <f>IFERROR(IF(F1881&lt;F1880,"NEGATIVE",ROUND(F1881-F1880,2)),"")</f>
        <v/>
      </c>
    </row>
    <row r="1882" ht="22" customHeight="1">
      <c r="B1882" s="8" t="inlineStr">
        <is>
          <t>R01878</t>
        </is>
      </c>
      <c r="C1882" s="8" t="inlineStr">
        <is>
          <t>MTR-WSH-002</t>
        </is>
      </c>
      <c r="D1882" s="8" t="inlineStr">
        <is>
          <t>Washing Hall</t>
        </is>
      </c>
      <c r="E1882" s="8" t="inlineStr">
        <is>
          <t>Washing Machine 3</t>
        </is>
      </c>
      <c r="F1882" s="8" t="inlineStr">
        <is>
          <t>2024-01-26 08:00</t>
        </is>
      </c>
      <c r="G1882" s="12" t="n">
        <v>88824.64</v>
      </c>
      <c r="H1882" s="8" t="inlineStr">
        <is>
          <t>m3</t>
        </is>
      </c>
      <c r="I1882" s="8" t="inlineStr">
        <is>
          <t>cumulative</t>
        </is>
      </c>
      <c r="J1882" s="8" t="inlineStr">
        <is>
          <t>IJ</t>
        </is>
      </c>
      <c r="K1882" s="8" t="inlineStr"/>
      <c r="L1882" s="10">
        <f>IFERROR(IF(F1882&lt;F1881,"NEGATIVE",ROUND(F1882-F1881,2)),"")</f>
        <v/>
      </c>
    </row>
    <row r="1883" ht="22" customHeight="1">
      <c r="B1883" s="5" t="inlineStr">
        <is>
          <t>R01879</t>
        </is>
      </c>
      <c r="C1883" s="5" t="inlineStr">
        <is>
          <t>MTR-WSH-002</t>
        </is>
      </c>
      <c r="D1883" s="5" t="inlineStr">
        <is>
          <t>Washing Hall</t>
        </is>
      </c>
      <c r="E1883" s="5" t="inlineStr">
        <is>
          <t>Washing Machine 3</t>
        </is>
      </c>
      <c r="F1883" s="5" t="inlineStr">
        <is>
          <t>2024-01-27 08:00</t>
        </is>
      </c>
      <c r="G1883" s="11" t="n">
        <v>88846.89999999999</v>
      </c>
      <c r="H1883" s="5" t="inlineStr">
        <is>
          <t>m3</t>
        </is>
      </c>
      <c r="I1883" s="5" t="inlineStr">
        <is>
          <t>cumulative</t>
        </is>
      </c>
      <c r="J1883" s="5" t="inlineStr">
        <is>
          <t>GH</t>
        </is>
      </c>
      <c r="K1883" s="5" t="inlineStr"/>
      <c r="L1883" s="7">
        <f>IFERROR(IF(F1883&lt;F1882,"NEGATIVE",ROUND(F1883-F1882,2)),"")</f>
        <v/>
      </c>
    </row>
    <row r="1884" ht="22" customHeight="1">
      <c r="B1884" s="8" t="inlineStr">
        <is>
          <t>R01880</t>
        </is>
      </c>
      <c r="C1884" s="8" t="inlineStr">
        <is>
          <t>MTR-WSH-002</t>
        </is>
      </c>
      <c r="D1884" s="8" t="inlineStr">
        <is>
          <t>Washing Hall</t>
        </is>
      </c>
      <c r="E1884" s="8" t="inlineStr">
        <is>
          <t>Washing Machine 3</t>
        </is>
      </c>
      <c r="F1884" s="8" t="inlineStr">
        <is>
          <t>2024-01-28 08:00</t>
        </is>
      </c>
      <c r="G1884" s="12" t="n">
        <v>88864.33</v>
      </c>
      <c r="H1884" s="8" t="inlineStr">
        <is>
          <t>m3</t>
        </is>
      </c>
      <c r="I1884" s="8" t="inlineStr">
        <is>
          <t>cumulative</t>
        </is>
      </c>
      <c r="J1884" s="8" t="inlineStr">
        <is>
          <t>CD</t>
        </is>
      </c>
      <c r="K1884" s="8" t="inlineStr"/>
      <c r="L1884" s="10">
        <f>IFERROR(IF(F1884&lt;F1883,"NEGATIVE",ROUND(F1884-F1883,2)),"")</f>
        <v/>
      </c>
    </row>
    <row r="1885" ht="22" customHeight="1">
      <c r="B1885" s="5" t="inlineStr">
        <is>
          <t>R01881</t>
        </is>
      </c>
      <c r="C1885" s="5" t="inlineStr">
        <is>
          <t>MTR-WSH-002</t>
        </is>
      </c>
      <c r="D1885" s="5" t="inlineStr">
        <is>
          <t>Washing Hall</t>
        </is>
      </c>
      <c r="E1885" s="5" t="inlineStr">
        <is>
          <t>Washing Machine 3</t>
        </is>
      </c>
      <c r="F1885" s="5" t="inlineStr">
        <is>
          <t>2024-01-29 08:00</t>
        </is>
      </c>
      <c r="G1885" s="11" t="n">
        <v>88896.84</v>
      </c>
      <c r="H1885" s="5" t="inlineStr">
        <is>
          <t>m3</t>
        </is>
      </c>
      <c r="I1885" s="5" t="inlineStr">
        <is>
          <t>cumulative</t>
        </is>
      </c>
      <c r="J1885" s="5" t="inlineStr">
        <is>
          <t>IJ</t>
        </is>
      </c>
      <c r="K1885" s="5" t="inlineStr"/>
      <c r="L1885" s="7">
        <f>IFERROR(IF(F1885&lt;F1884,"NEGATIVE",ROUND(F1885-F1884,2)),"")</f>
        <v/>
      </c>
    </row>
    <row r="1886" ht="22" customHeight="1">
      <c r="B1886" s="8" t="inlineStr">
        <is>
          <t>R01882</t>
        </is>
      </c>
      <c r="C1886" s="8" t="inlineStr">
        <is>
          <t>MTR-WSH-002</t>
        </is>
      </c>
      <c r="D1886" s="8" t="inlineStr">
        <is>
          <t>Washing Hall</t>
        </is>
      </c>
      <c r="E1886" s="8" t="inlineStr">
        <is>
          <t>Washing Machine 3</t>
        </is>
      </c>
      <c r="F1886" s="8" t="inlineStr">
        <is>
          <t>2024-01-30 08:00</t>
        </is>
      </c>
      <c r="G1886" s="12" t="n">
        <v>88923.25999999999</v>
      </c>
      <c r="H1886" s="8" t="inlineStr">
        <is>
          <t>m3</t>
        </is>
      </c>
      <c r="I1886" s="8" t="inlineStr">
        <is>
          <t>cumulative</t>
        </is>
      </c>
      <c r="J1886" s="8" t="inlineStr">
        <is>
          <t>GH</t>
        </is>
      </c>
      <c r="K1886" s="8" t="inlineStr"/>
      <c r="L1886" s="10">
        <f>IFERROR(IF(F1886&lt;F1885,"NEGATIVE",ROUND(F1886-F1885,2)),"")</f>
        <v/>
      </c>
    </row>
    <row r="1887" ht="22" customHeight="1">
      <c r="B1887" s="5" t="inlineStr">
        <is>
          <t>R01883</t>
        </is>
      </c>
      <c r="C1887" s="5" t="inlineStr">
        <is>
          <t>MTR-WSH-002</t>
        </is>
      </c>
      <c r="D1887" s="5" t="inlineStr">
        <is>
          <t>Washing Hall</t>
        </is>
      </c>
      <c r="E1887" s="5" t="inlineStr">
        <is>
          <t>Washing Machine 3</t>
        </is>
      </c>
      <c r="F1887" s="5" t="inlineStr">
        <is>
          <t>2024-01-31 08:00</t>
        </is>
      </c>
      <c r="G1887" s="11" t="n">
        <v>88953.39</v>
      </c>
      <c r="H1887" s="5" t="inlineStr">
        <is>
          <t>m3</t>
        </is>
      </c>
      <c r="I1887" s="5" t="inlineStr">
        <is>
          <t>cumulative</t>
        </is>
      </c>
      <c r="J1887" s="5" t="inlineStr">
        <is>
          <t>CD</t>
        </is>
      </c>
      <c r="K1887" s="5" t="inlineStr"/>
      <c r="L1887" s="7">
        <f>IFERROR(IF(F1887&lt;F1886,"NEGATIVE",ROUND(F1887-F1886,2)),"")</f>
        <v/>
      </c>
    </row>
    <row r="1888" ht="22" customHeight="1">
      <c r="B1888" s="8" t="inlineStr">
        <is>
          <t>R01884</t>
        </is>
      </c>
      <c r="C1888" s="8" t="inlineStr">
        <is>
          <t>MTR-WSH-002</t>
        </is>
      </c>
      <c r="D1888" s="8" t="inlineStr">
        <is>
          <t>Washing Hall</t>
        </is>
      </c>
      <c r="E1888" s="8" t="inlineStr">
        <is>
          <t>Washing Machine 3</t>
        </is>
      </c>
      <c r="F1888" s="8" t="inlineStr">
        <is>
          <t>2024-02-01 08:00</t>
        </is>
      </c>
      <c r="G1888" s="12" t="n">
        <v>88987.16</v>
      </c>
      <c r="H1888" s="8" t="inlineStr">
        <is>
          <t>m3</t>
        </is>
      </c>
      <c r="I1888" s="8" t="inlineStr">
        <is>
          <t>cumulative</t>
        </is>
      </c>
      <c r="J1888" s="8" t="inlineStr">
        <is>
          <t>GH</t>
        </is>
      </c>
      <c r="K1888" s="8" t="inlineStr"/>
      <c r="L1888" s="10">
        <f>IFERROR(IF(F1888&lt;F1887,"NEGATIVE",ROUND(F1888-F1887,2)),"")</f>
        <v/>
      </c>
    </row>
    <row r="1889" ht="22" customHeight="1">
      <c r="B1889" s="5" t="inlineStr">
        <is>
          <t>R01885</t>
        </is>
      </c>
      <c r="C1889" s="5" t="inlineStr">
        <is>
          <t>MTR-WSH-002</t>
        </is>
      </c>
      <c r="D1889" s="5" t="inlineStr">
        <is>
          <t>Washing Hall</t>
        </is>
      </c>
      <c r="E1889" s="5" t="inlineStr">
        <is>
          <t>Washing Machine 3</t>
        </is>
      </c>
      <c r="F1889" s="5" t="inlineStr">
        <is>
          <t>2024-02-02 08:00</t>
        </is>
      </c>
      <c r="G1889" s="11" t="n">
        <v>89020.00999999999</v>
      </c>
      <c r="H1889" s="5" t="inlineStr">
        <is>
          <t>m3</t>
        </is>
      </c>
      <c r="I1889" s="5" t="inlineStr">
        <is>
          <t>cumulative</t>
        </is>
      </c>
      <c r="J1889" s="5" t="inlineStr">
        <is>
          <t>GH</t>
        </is>
      </c>
      <c r="K1889" s="5" t="inlineStr"/>
      <c r="L1889" s="7">
        <f>IFERROR(IF(F1889&lt;F1888,"NEGATIVE",ROUND(F1889-F1888,2)),"")</f>
        <v/>
      </c>
    </row>
    <row r="1890" ht="22" customHeight="1">
      <c r="B1890" s="8" t="inlineStr">
        <is>
          <t>R01886</t>
        </is>
      </c>
      <c r="C1890" s="8" t="inlineStr">
        <is>
          <t>MTR-WSH-002</t>
        </is>
      </c>
      <c r="D1890" s="8" t="inlineStr">
        <is>
          <t>Washing Hall</t>
        </is>
      </c>
      <c r="E1890" s="8" t="inlineStr">
        <is>
          <t>Washing Machine 3</t>
        </is>
      </c>
      <c r="F1890" s="8" t="inlineStr">
        <is>
          <t>2024-02-03 08:00</t>
        </is>
      </c>
      <c r="G1890" s="12" t="n">
        <v>89042.31</v>
      </c>
      <c r="H1890" s="8" t="inlineStr">
        <is>
          <t>m3</t>
        </is>
      </c>
      <c r="I1890" s="8" t="inlineStr">
        <is>
          <t>cumulative</t>
        </is>
      </c>
      <c r="J1890" s="8" t="inlineStr">
        <is>
          <t>GH</t>
        </is>
      </c>
      <c r="K1890" s="8" t="inlineStr"/>
      <c r="L1890" s="10">
        <f>IFERROR(IF(F1890&lt;F1889,"NEGATIVE",ROUND(F1890-F1889,2)),"")</f>
        <v/>
      </c>
    </row>
    <row r="1891" ht="22" customHeight="1">
      <c r="B1891" s="5" t="inlineStr">
        <is>
          <t>R01887</t>
        </is>
      </c>
      <c r="C1891" s="5" t="inlineStr">
        <is>
          <t>MTR-WSH-002</t>
        </is>
      </c>
      <c r="D1891" s="5" t="inlineStr">
        <is>
          <t>Washing Hall</t>
        </is>
      </c>
      <c r="E1891" s="5" t="inlineStr">
        <is>
          <t>Washing Machine 3</t>
        </is>
      </c>
      <c r="F1891" s="5" t="inlineStr">
        <is>
          <t>2024-02-04 08:00</t>
        </is>
      </c>
      <c r="G1891" s="11" t="n">
        <v>89057.46000000001</v>
      </c>
      <c r="H1891" s="5" t="inlineStr">
        <is>
          <t>m3</t>
        </is>
      </c>
      <c r="I1891" s="5" t="inlineStr">
        <is>
          <t>cumulative</t>
        </is>
      </c>
      <c r="J1891" s="5" t="inlineStr">
        <is>
          <t>IJ</t>
        </is>
      </c>
      <c r="K1891" s="5" t="inlineStr"/>
      <c r="L1891" s="7">
        <f>IFERROR(IF(F1891&lt;F1890,"NEGATIVE",ROUND(F1891-F1890,2)),"")</f>
        <v/>
      </c>
    </row>
    <row r="1892" ht="22" customHeight="1">
      <c r="B1892" s="8" t="inlineStr">
        <is>
          <t>R01888</t>
        </is>
      </c>
      <c r="C1892" s="8" t="inlineStr">
        <is>
          <t>MTR-WSH-002</t>
        </is>
      </c>
      <c r="D1892" s="8" t="inlineStr">
        <is>
          <t>Washing Hall</t>
        </is>
      </c>
      <c r="E1892" s="8" t="inlineStr">
        <is>
          <t>Washing Machine 3</t>
        </is>
      </c>
      <c r="F1892" s="8" t="inlineStr">
        <is>
          <t>2024-02-05 08:00</t>
        </is>
      </c>
      <c r="G1892" s="12" t="n">
        <v>89087.14999999999</v>
      </c>
      <c r="H1892" s="8" t="inlineStr">
        <is>
          <t>m3</t>
        </is>
      </c>
      <c r="I1892" s="8" t="inlineStr">
        <is>
          <t>cumulative</t>
        </is>
      </c>
      <c r="J1892" s="8" t="inlineStr">
        <is>
          <t>KL</t>
        </is>
      </c>
      <c r="K1892" s="8" t="inlineStr"/>
      <c r="L1892" s="10">
        <f>IFERROR(IF(F1892&lt;F1891,"NEGATIVE",ROUND(F1892-F1891,2)),"")</f>
        <v/>
      </c>
    </row>
    <row r="1893" ht="22" customHeight="1">
      <c r="B1893" s="5" t="inlineStr">
        <is>
          <t>R01889</t>
        </is>
      </c>
      <c r="C1893" s="5" t="inlineStr">
        <is>
          <t>MTR-WSH-002</t>
        </is>
      </c>
      <c r="D1893" s="5" t="inlineStr">
        <is>
          <t>Washing Hall</t>
        </is>
      </c>
      <c r="E1893" s="5" t="inlineStr">
        <is>
          <t>Washing Machine 3</t>
        </is>
      </c>
      <c r="F1893" s="5" t="inlineStr">
        <is>
          <t>2024-02-06 08:00</t>
        </is>
      </c>
      <c r="G1893" s="11" t="n">
        <v>89117.61</v>
      </c>
      <c r="H1893" s="5" t="inlineStr">
        <is>
          <t>m3</t>
        </is>
      </c>
      <c r="I1893" s="5" t="inlineStr">
        <is>
          <t>cumulative</t>
        </is>
      </c>
      <c r="J1893" s="5" t="inlineStr">
        <is>
          <t>IJ</t>
        </is>
      </c>
      <c r="K1893" s="5" t="inlineStr"/>
      <c r="L1893" s="7">
        <f>IFERROR(IF(F1893&lt;F1892,"NEGATIVE",ROUND(F1893-F1892,2)),"")</f>
        <v/>
      </c>
    </row>
    <row r="1894" ht="22" customHeight="1">
      <c r="B1894" s="8" t="inlineStr">
        <is>
          <t>R01890</t>
        </is>
      </c>
      <c r="C1894" s="8" t="inlineStr">
        <is>
          <t>MTR-WSH-002</t>
        </is>
      </c>
      <c r="D1894" s="8" t="inlineStr">
        <is>
          <t>Washing Hall</t>
        </is>
      </c>
      <c r="E1894" s="8" t="inlineStr">
        <is>
          <t>Washing Machine 3</t>
        </is>
      </c>
      <c r="F1894" s="8" t="inlineStr">
        <is>
          <t>2024-02-07 08:00</t>
        </is>
      </c>
      <c r="G1894" s="12" t="n">
        <v>89151.05</v>
      </c>
      <c r="H1894" s="8" t="inlineStr">
        <is>
          <t>m3</t>
        </is>
      </c>
      <c r="I1894" s="8" t="inlineStr">
        <is>
          <t>cumulative</t>
        </is>
      </c>
      <c r="J1894" s="8" t="inlineStr">
        <is>
          <t>KL</t>
        </is>
      </c>
      <c r="K1894" s="8" t="inlineStr"/>
      <c r="L1894" s="10">
        <f>IFERROR(IF(F1894&lt;F1893,"NEGATIVE",ROUND(F1894-F1893,2)),"")</f>
        <v/>
      </c>
    </row>
    <row r="1895" ht="22" customHeight="1">
      <c r="B1895" s="5" t="inlineStr">
        <is>
          <t>R01891</t>
        </is>
      </c>
      <c r="C1895" s="5" t="inlineStr">
        <is>
          <t>MTR-WSH-002</t>
        </is>
      </c>
      <c r="D1895" s="5" t="inlineStr">
        <is>
          <t>Washing Hall</t>
        </is>
      </c>
      <c r="E1895" s="5" t="inlineStr">
        <is>
          <t>Washing Machine 3</t>
        </is>
      </c>
      <c r="F1895" s="5" t="inlineStr">
        <is>
          <t>2024-02-08 08:00</t>
        </is>
      </c>
      <c r="G1895" s="11" t="n">
        <v>89185.33</v>
      </c>
      <c r="H1895" s="5" t="inlineStr">
        <is>
          <t>m3</t>
        </is>
      </c>
      <c r="I1895" s="5" t="inlineStr">
        <is>
          <t>cumulative</t>
        </is>
      </c>
      <c r="J1895" s="5" t="inlineStr">
        <is>
          <t>KL</t>
        </is>
      </c>
      <c r="K1895" s="5" t="inlineStr"/>
      <c r="L1895" s="7">
        <f>IFERROR(IF(F1895&lt;F1894,"NEGATIVE",ROUND(F1895-F1894,2)),"")</f>
        <v/>
      </c>
    </row>
    <row r="1896" ht="22" customHeight="1">
      <c r="B1896" s="8" t="inlineStr">
        <is>
          <t>R01892</t>
        </is>
      </c>
      <c r="C1896" s="8" t="inlineStr">
        <is>
          <t>MTR-WSH-002</t>
        </is>
      </c>
      <c r="D1896" s="8" t="inlineStr">
        <is>
          <t>Washing Hall</t>
        </is>
      </c>
      <c r="E1896" s="8" t="inlineStr">
        <is>
          <t>Washing Machine 3</t>
        </is>
      </c>
      <c r="F1896" s="8" t="inlineStr">
        <is>
          <t>2024-02-09 08:00</t>
        </is>
      </c>
      <c r="G1896" s="12" t="n">
        <v>89216.58</v>
      </c>
      <c r="H1896" s="8" t="inlineStr">
        <is>
          <t>m3</t>
        </is>
      </c>
      <c r="I1896" s="8" t="inlineStr">
        <is>
          <t>cumulative</t>
        </is>
      </c>
      <c r="J1896" s="8" t="inlineStr">
        <is>
          <t>EF</t>
        </is>
      </c>
      <c r="K1896" s="8" t="inlineStr"/>
      <c r="L1896" s="10">
        <f>IFERROR(IF(F1896&lt;F1895,"NEGATIVE",ROUND(F1896-F1895,2)),"")</f>
        <v/>
      </c>
    </row>
    <row r="1897" ht="22" customHeight="1">
      <c r="B1897" s="5" t="inlineStr">
        <is>
          <t>R01893</t>
        </is>
      </c>
      <c r="C1897" s="5" t="inlineStr">
        <is>
          <t>MTR-WSH-002</t>
        </is>
      </c>
      <c r="D1897" s="5" t="inlineStr">
        <is>
          <t>Washing Hall</t>
        </is>
      </c>
      <c r="E1897" s="5" t="inlineStr">
        <is>
          <t>Washing Machine 3</t>
        </is>
      </c>
      <c r="F1897" s="5" t="inlineStr">
        <is>
          <t>2024-02-10 08:00</t>
        </is>
      </c>
      <c r="G1897" s="11" t="n">
        <v>89242.07000000001</v>
      </c>
      <c r="H1897" s="5" t="inlineStr">
        <is>
          <t>m3</t>
        </is>
      </c>
      <c r="I1897" s="5" t="inlineStr">
        <is>
          <t>cumulative</t>
        </is>
      </c>
      <c r="J1897" s="5" t="inlineStr">
        <is>
          <t>EF</t>
        </is>
      </c>
      <c r="K1897" s="5" t="inlineStr"/>
      <c r="L1897" s="7">
        <f>IFERROR(IF(F1897&lt;F1896,"NEGATIVE",ROUND(F1897-F1896,2)),"")</f>
        <v/>
      </c>
    </row>
    <row r="1898" ht="22" customHeight="1">
      <c r="B1898" s="8" t="inlineStr">
        <is>
          <t>R01894</t>
        </is>
      </c>
      <c r="C1898" s="8" t="inlineStr">
        <is>
          <t>MTR-WSH-002</t>
        </is>
      </c>
      <c r="D1898" s="8" t="inlineStr">
        <is>
          <t>Washing Hall</t>
        </is>
      </c>
      <c r="E1898" s="8" t="inlineStr">
        <is>
          <t>Washing Machine 3</t>
        </is>
      </c>
      <c r="F1898" s="8" t="inlineStr">
        <is>
          <t>2024-02-11 08:00</t>
        </is>
      </c>
      <c r="G1898" s="12" t="n">
        <v>89259.60000000001</v>
      </c>
      <c r="H1898" s="8" t="inlineStr">
        <is>
          <t>m3</t>
        </is>
      </c>
      <c r="I1898" s="8" t="inlineStr">
        <is>
          <t>cumulative</t>
        </is>
      </c>
      <c r="J1898" s="8" t="inlineStr">
        <is>
          <t>AB</t>
        </is>
      </c>
      <c r="K1898" s="8" t="inlineStr"/>
      <c r="L1898" s="10">
        <f>IFERROR(IF(F1898&lt;F1897,"NEGATIVE",ROUND(F1898-F1897,2)),"")</f>
        <v/>
      </c>
    </row>
    <row r="1899" ht="22" customHeight="1">
      <c r="B1899" s="5" t="inlineStr">
        <is>
          <t>R01895</t>
        </is>
      </c>
      <c r="C1899" s="5" t="inlineStr">
        <is>
          <t>MTR-WSH-002</t>
        </is>
      </c>
      <c r="D1899" s="5" t="inlineStr">
        <is>
          <t>Washing Hall</t>
        </is>
      </c>
      <c r="E1899" s="5" t="inlineStr">
        <is>
          <t>Washing Machine 3</t>
        </is>
      </c>
      <c r="F1899" s="5" t="inlineStr">
        <is>
          <t>2024-02-12 08:00</t>
        </is>
      </c>
      <c r="G1899" s="11" t="n">
        <v>89293.45</v>
      </c>
      <c r="H1899" s="5" t="inlineStr">
        <is>
          <t>m3</t>
        </is>
      </c>
      <c r="I1899" s="5" t="inlineStr">
        <is>
          <t>cumulative</t>
        </is>
      </c>
      <c r="J1899" s="5" t="inlineStr">
        <is>
          <t>AB</t>
        </is>
      </c>
      <c r="K1899" s="5" t="inlineStr"/>
      <c r="L1899" s="7">
        <f>IFERROR(IF(F1899&lt;F1898,"NEGATIVE",ROUND(F1899-F1898,2)),"")</f>
        <v/>
      </c>
    </row>
    <row r="1900" ht="22" customHeight="1">
      <c r="B1900" s="8" t="inlineStr">
        <is>
          <t>R01896</t>
        </is>
      </c>
      <c r="C1900" s="8" t="inlineStr">
        <is>
          <t>MTR-WSH-002</t>
        </is>
      </c>
      <c r="D1900" s="8" t="inlineStr">
        <is>
          <t>Washing Hall</t>
        </is>
      </c>
      <c r="E1900" s="8" t="inlineStr">
        <is>
          <t>Washing Machine 3</t>
        </is>
      </c>
      <c r="F1900" s="8" t="inlineStr">
        <is>
          <t>2024-02-13 08:00</t>
        </is>
      </c>
      <c r="G1900" s="12" t="n">
        <v>89325.25</v>
      </c>
      <c r="H1900" s="8" t="inlineStr">
        <is>
          <t>m3</t>
        </is>
      </c>
      <c r="I1900" s="8" t="inlineStr">
        <is>
          <t>cumulative</t>
        </is>
      </c>
      <c r="J1900" s="8" t="inlineStr">
        <is>
          <t>IJ</t>
        </is>
      </c>
      <c r="K1900" s="8" t="inlineStr"/>
      <c r="L1900" s="10">
        <f>IFERROR(IF(F1900&lt;F1899,"NEGATIVE",ROUND(F1900-F1899,2)),"")</f>
        <v/>
      </c>
    </row>
    <row r="1901" ht="22" customHeight="1">
      <c r="B1901" s="5" t="inlineStr">
        <is>
          <t>R01897</t>
        </is>
      </c>
      <c r="C1901" s="5" t="inlineStr">
        <is>
          <t>MTR-WSH-002</t>
        </is>
      </c>
      <c r="D1901" s="5" t="inlineStr">
        <is>
          <t>Washing Hall</t>
        </is>
      </c>
      <c r="E1901" s="5" t="inlineStr">
        <is>
          <t>Washing Machine 3</t>
        </is>
      </c>
      <c r="F1901" s="5" t="inlineStr">
        <is>
          <t>2024-02-14 08:00</t>
        </is>
      </c>
      <c r="G1901" s="11" t="n">
        <v>89357.75</v>
      </c>
      <c r="H1901" s="5" t="inlineStr">
        <is>
          <t>m3</t>
        </is>
      </c>
      <c r="I1901" s="5" t="inlineStr">
        <is>
          <t>cumulative</t>
        </is>
      </c>
      <c r="J1901" s="5" t="inlineStr">
        <is>
          <t>GH</t>
        </is>
      </c>
      <c r="K1901" s="5" t="inlineStr"/>
      <c r="L1901" s="7">
        <f>IFERROR(IF(F1901&lt;F1900,"NEGATIVE",ROUND(F1901-F1900,2)),"")</f>
        <v/>
      </c>
    </row>
    <row r="1902" ht="22" customHeight="1">
      <c r="B1902" s="8" t="inlineStr">
        <is>
          <t>R01898</t>
        </is>
      </c>
      <c r="C1902" s="8" t="inlineStr">
        <is>
          <t>MTR-WSH-002</t>
        </is>
      </c>
      <c r="D1902" s="8" t="inlineStr">
        <is>
          <t>Washing Hall</t>
        </is>
      </c>
      <c r="E1902" s="8" t="inlineStr">
        <is>
          <t>Washing Machine 3</t>
        </is>
      </c>
      <c r="F1902" s="8" t="inlineStr">
        <is>
          <t>2024-02-15 08:00</t>
        </is>
      </c>
      <c r="G1902" s="12" t="n">
        <v>89389.97</v>
      </c>
      <c r="H1902" s="8" t="inlineStr">
        <is>
          <t>m3</t>
        </is>
      </c>
      <c r="I1902" s="8" t="inlineStr">
        <is>
          <t>cumulative</t>
        </is>
      </c>
      <c r="J1902" s="8" t="inlineStr">
        <is>
          <t>CD</t>
        </is>
      </c>
      <c r="K1902" s="8" t="inlineStr"/>
      <c r="L1902" s="10">
        <f>IFERROR(IF(F1902&lt;F1901,"NEGATIVE",ROUND(F1902-F1901,2)),"")</f>
        <v/>
      </c>
    </row>
    <row r="1903" ht="22" customHeight="1">
      <c r="B1903" s="5" t="inlineStr">
        <is>
          <t>R01899</t>
        </is>
      </c>
      <c r="C1903" s="5" t="inlineStr">
        <is>
          <t>MTR-WSH-002</t>
        </is>
      </c>
      <c r="D1903" s="5" t="inlineStr">
        <is>
          <t>Washing Hall</t>
        </is>
      </c>
      <c r="E1903" s="5" t="inlineStr">
        <is>
          <t>Washing Machine 3</t>
        </is>
      </c>
      <c r="F1903" s="5" t="inlineStr">
        <is>
          <t>2024-02-16 08:00</t>
        </is>
      </c>
      <c r="G1903" s="11" t="n">
        <v>89419.48</v>
      </c>
      <c r="H1903" s="5" t="inlineStr">
        <is>
          <t>m3</t>
        </is>
      </c>
      <c r="I1903" s="5" t="inlineStr">
        <is>
          <t>cumulative</t>
        </is>
      </c>
      <c r="J1903" s="5" t="inlineStr">
        <is>
          <t>EF</t>
        </is>
      </c>
      <c r="K1903" s="5" t="inlineStr"/>
      <c r="L1903" s="7">
        <f>IFERROR(IF(F1903&lt;F1902,"NEGATIVE",ROUND(F1903-F1902,2)),"")</f>
        <v/>
      </c>
    </row>
    <row r="1904" ht="22" customHeight="1">
      <c r="B1904" s="8" t="inlineStr">
        <is>
          <t>R01900</t>
        </is>
      </c>
      <c r="C1904" s="8" t="inlineStr">
        <is>
          <t>MTR-WSH-002</t>
        </is>
      </c>
      <c r="D1904" s="8" t="inlineStr">
        <is>
          <t>Washing Hall</t>
        </is>
      </c>
      <c r="E1904" s="8" t="inlineStr">
        <is>
          <t>Washing Machine 3</t>
        </is>
      </c>
      <c r="F1904" s="8" t="inlineStr">
        <is>
          <t>2024-02-17 08:00</t>
        </is>
      </c>
      <c r="G1904" s="12" t="n">
        <v>89443.11</v>
      </c>
      <c r="H1904" s="8" t="inlineStr">
        <is>
          <t>m3</t>
        </is>
      </c>
      <c r="I1904" s="8" t="inlineStr">
        <is>
          <t>cumulative</t>
        </is>
      </c>
      <c r="J1904" s="8" t="inlineStr">
        <is>
          <t>AB</t>
        </is>
      </c>
      <c r="K1904" s="8" t="inlineStr"/>
      <c r="L1904" s="10">
        <f>IFERROR(IF(F1904&lt;F1903,"NEGATIVE",ROUND(F1904-F1903,2)),"")</f>
        <v/>
      </c>
    </row>
    <row r="1905" ht="22" customHeight="1">
      <c r="B1905" s="5" t="inlineStr">
        <is>
          <t>R01901</t>
        </is>
      </c>
      <c r="C1905" s="5" t="inlineStr">
        <is>
          <t>MTR-WSH-002</t>
        </is>
      </c>
      <c r="D1905" s="5" t="inlineStr">
        <is>
          <t>Washing Hall</t>
        </is>
      </c>
      <c r="E1905" s="5" t="inlineStr">
        <is>
          <t>Washing Machine 3</t>
        </is>
      </c>
      <c r="F1905" s="5" t="inlineStr">
        <is>
          <t>2024-02-18 08:00</t>
        </is>
      </c>
      <c r="G1905" s="11" t="n">
        <v>89457.64</v>
      </c>
      <c r="H1905" s="5" t="inlineStr">
        <is>
          <t>m3</t>
        </is>
      </c>
      <c r="I1905" s="5" t="inlineStr">
        <is>
          <t>cumulative</t>
        </is>
      </c>
      <c r="J1905" s="5" t="inlineStr">
        <is>
          <t>GH</t>
        </is>
      </c>
      <c r="K1905" s="5" t="inlineStr"/>
      <c r="L1905" s="7">
        <f>IFERROR(IF(F1905&lt;F1904,"NEGATIVE",ROUND(F1905-F1904,2)),"")</f>
        <v/>
      </c>
    </row>
    <row r="1906" ht="22" customHeight="1">
      <c r="B1906" s="8" t="inlineStr">
        <is>
          <t>R01902</t>
        </is>
      </c>
      <c r="C1906" s="8" t="inlineStr">
        <is>
          <t>MTR-WSH-002</t>
        </is>
      </c>
      <c r="D1906" s="8" t="inlineStr">
        <is>
          <t>Washing Hall</t>
        </is>
      </c>
      <c r="E1906" s="8" t="inlineStr">
        <is>
          <t>Washing Machine 3</t>
        </is>
      </c>
      <c r="F1906" s="8" t="inlineStr">
        <is>
          <t>2024-02-19 08:00</t>
        </is>
      </c>
      <c r="G1906" s="12" t="n">
        <v>89488.23</v>
      </c>
      <c r="H1906" s="8" t="inlineStr">
        <is>
          <t>m3</t>
        </is>
      </c>
      <c r="I1906" s="8" t="inlineStr">
        <is>
          <t>cumulative</t>
        </is>
      </c>
      <c r="J1906" s="8" t="inlineStr">
        <is>
          <t>GH</t>
        </is>
      </c>
      <c r="K1906" s="8" t="inlineStr"/>
      <c r="L1906" s="10">
        <f>IFERROR(IF(F1906&lt;F1905,"NEGATIVE",ROUND(F1906-F1905,2)),"")</f>
        <v/>
      </c>
    </row>
    <row r="1907" ht="22" customHeight="1">
      <c r="B1907" s="5" t="inlineStr">
        <is>
          <t>R01903</t>
        </is>
      </c>
      <c r="C1907" s="5" t="inlineStr">
        <is>
          <t>MTR-WSH-002</t>
        </is>
      </c>
      <c r="D1907" s="5" t="inlineStr">
        <is>
          <t>Washing Hall</t>
        </is>
      </c>
      <c r="E1907" s="5" t="inlineStr">
        <is>
          <t>Washing Machine 3</t>
        </is>
      </c>
      <c r="F1907" s="5" t="inlineStr">
        <is>
          <t>2024-02-20 08:00</t>
        </is>
      </c>
      <c r="G1907" s="11" t="n">
        <v>89518.10000000001</v>
      </c>
      <c r="H1907" s="5" t="inlineStr">
        <is>
          <t>m3</t>
        </is>
      </c>
      <c r="I1907" s="5" t="inlineStr">
        <is>
          <t>cumulative</t>
        </is>
      </c>
      <c r="J1907" s="5" t="inlineStr">
        <is>
          <t>EF</t>
        </is>
      </c>
      <c r="K1907" s="5" t="inlineStr"/>
      <c r="L1907" s="7">
        <f>IFERROR(IF(F1907&lt;F1906,"NEGATIVE",ROUND(F1907-F1906,2)),"")</f>
        <v/>
      </c>
    </row>
    <row r="1908" ht="22" customHeight="1">
      <c r="B1908" s="8" t="inlineStr">
        <is>
          <t>R01904</t>
        </is>
      </c>
      <c r="C1908" s="8" t="inlineStr">
        <is>
          <t>MTR-WSH-002</t>
        </is>
      </c>
      <c r="D1908" s="8" t="inlineStr">
        <is>
          <t>Washing Hall</t>
        </is>
      </c>
      <c r="E1908" s="8" t="inlineStr">
        <is>
          <t>Washing Machine 3</t>
        </is>
      </c>
      <c r="F1908" s="8" t="inlineStr">
        <is>
          <t>2024-02-21 08:00</t>
        </is>
      </c>
      <c r="G1908" s="12" t="n">
        <v>89545.88</v>
      </c>
      <c r="H1908" s="8" t="inlineStr">
        <is>
          <t>m3</t>
        </is>
      </c>
      <c r="I1908" s="8" t="inlineStr">
        <is>
          <t>cumulative</t>
        </is>
      </c>
      <c r="J1908" s="8" t="inlineStr">
        <is>
          <t>AB</t>
        </is>
      </c>
      <c r="K1908" s="8" t="inlineStr"/>
      <c r="L1908" s="10">
        <f>IFERROR(IF(F1908&lt;F1907,"NEGATIVE",ROUND(F1908-F1907,2)),"")</f>
        <v/>
      </c>
    </row>
    <row r="1909" ht="22" customHeight="1">
      <c r="B1909" s="5" t="inlineStr">
        <is>
          <t>R01905</t>
        </is>
      </c>
      <c r="C1909" s="5" t="inlineStr">
        <is>
          <t>MTR-WSH-002</t>
        </is>
      </c>
      <c r="D1909" s="5" t="inlineStr">
        <is>
          <t>Washing Hall</t>
        </is>
      </c>
      <c r="E1909" s="5" t="inlineStr">
        <is>
          <t>Washing Machine 3</t>
        </is>
      </c>
      <c r="F1909" s="5" t="inlineStr">
        <is>
          <t>2024-02-22 08:00</t>
        </is>
      </c>
      <c r="G1909" s="11" t="n">
        <v>89575.92</v>
      </c>
      <c r="H1909" s="5" t="inlineStr">
        <is>
          <t>m3</t>
        </is>
      </c>
      <c r="I1909" s="5" t="inlineStr">
        <is>
          <t>cumulative</t>
        </is>
      </c>
      <c r="J1909" s="5" t="inlineStr">
        <is>
          <t>AB</t>
        </is>
      </c>
      <c r="K1909" s="5" t="inlineStr"/>
      <c r="L1909" s="7">
        <f>IFERROR(IF(F1909&lt;F1908,"NEGATIVE",ROUND(F1909-F1908,2)),"")</f>
        <v/>
      </c>
    </row>
    <row r="1910" ht="22" customHeight="1">
      <c r="B1910" s="8" t="inlineStr">
        <is>
          <t>R01906</t>
        </is>
      </c>
      <c r="C1910" s="8" t="inlineStr">
        <is>
          <t>MTR-WSH-002</t>
        </is>
      </c>
      <c r="D1910" s="8" t="inlineStr">
        <is>
          <t>Washing Hall</t>
        </is>
      </c>
      <c r="E1910" s="8" t="inlineStr">
        <is>
          <t>Washing Machine 3</t>
        </is>
      </c>
      <c r="F1910" s="8" t="inlineStr">
        <is>
          <t>2024-02-23 08:00</t>
        </is>
      </c>
      <c r="G1910" s="12" t="n">
        <v>89610.42</v>
      </c>
      <c r="H1910" s="8" t="inlineStr">
        <is>
          <t>m3</t>
        </is>
      </c>
      <c r="I1910" s="8" t="inlineStr">
        <is>
          <t>cumulative</t>
        </is>
      </c>
      <c r="J1910" s="8" t="inlineStr">
        <is>
          <t>AB</t>
        </is>
      </c>
      <c r="K1910" s="8" t="inlineStr"/>
      <c r="L1910" s="10">
        <f>IFERROR(IF(F1910&lt;F1909,"NEGATIVE",ROUND(F1910-F1909,2)),"")</f>
        <v/>
      </c>
    </row>
    <row r="1911" ht="22" customHeight="1">
      <c r="B1911" s="5" t="inlineStr">
        <is>
          <t>R01907</t>
        </is>
      </c>
      <c r="C1911" s="5" t="inlineStr">
        <is>
          <t>MTR-WSH-002</t>
        </is>
      </c>
      <c r="D1911" s="5" t="inlineStr">
        <is>
          <t>Washing Hall</t>
        </is>
      </c>
      <c r="E1911" s="5" t="inlineStr">
        <is>
          <t>Washing Machine 3</t>
        </is>
      </c>
      <c r="F1911" s="5" t="inlineStr">
        <is>
          <t>2024-02-24 08:00</t>
        </is>
      </c>
      <c r="G1911" s="11" t="n">
        <v>89633.03999999999</v>
      </c>
      <c r="H1911" s="5" t="inlineStr">
        <is>
          <t>m3</t>
        </is>
      </c>
      <c r="I1911" s="5" t="inlineStr">
        <is>
          <t>cumulative</t>
        </is>
      </c>
      <c r="J1911" s="5" t="inlineStr">
        <is>
          <t>KL</t>
        </is>
      </c>
      <c r="K1911" s="5" t="inlineStr"/>
      <c r="L1911" s="7">
        <f>IFERROR(IF(F1911&lt;F1910,"NEGATIVE",ROUND(F1911-F1910,2)),"")</f>
        <v/>
      </c>
    </row>
    <row r="1912" ht="22" customHeight="1">
      <c r="B1912" s="8" t="inlineStr">
        <is>
          <t>R01908</t>
        </is>
      </c>
      <c r="C1912" s="8" t="inlineStr">
        <is>
          <t>MTR-WSH-002</t>
        </is>
      </c>
      <c r="D1912" s="8" t="inlineStr">
        <is>
          <t>Washing Hall</t>
        </is>
      </c>
      <c r="E1912" s="8" t="inlineStr">
        <is>
          <t>Washing Machine 3</t>
        </is>
      </c>
      <c r="F1912" s="8" t="inlineStr">
        <is>
          <t>2024-02-25 08:00</t>
        </is>
      </c>
      <c r="G1912" s="12" t="n">
        <v>89648.28999999999</v>
      </c>
      <c r="H1912" s="8" t="inlineStr">
        <is>
          <t>m3</t>
        </is>
      </c>
      <c r="I1912" s="8" t="inlineStr">
        <is>
          <t>cumulative</t>
        </is>
      </c>
      <c r="J1912" s="8" t="inlineStr">
        <is>
          <t>IJ</t>
        </is>
      </c>
      <c r="K1912" s="8" t="inlineStr"/>
      <c r="L1912" s="10">
        <f>IFERROR(IF(F1912&lt;F1911,"NEGATIVE",ROUND(F1912-F1911,2)),"")</f>
        <v/>
      </c>
    </row>
    <row r="1913" ht="22" customHeight="1">
      <c r="B1913" s="5" t="inlineStr">
        <is>
          <t>R01909</t>
        </is>
      </c>
      <c r="C1913" s="5" t="inlineStr">
        <is>
          <t>MTR-WSH-002</t>
        </is>
      </c>
      <c r="D1913" s="5" t="inlineStr">
        <is>
          <t>Washing Hall</t>
        </is>
      </c>
      <c r="E1913" s="5" t="inlineStr">
        <is>
          <t>Washing Machine 3</t>
        </is>
      </c>
      <c r="F1913" s="5" t="inlineStr">
        <is>
          <t>2024-02-26 08:00</t>
        </is>
      </c>
      <c r="G1913" s="11" t="n">
        <v>89675.63</v>
      </c>
      <c r="H1913" s="5" t="inlineStr">
        <is>
          <t>m3</t>
        </is>
      </c>
      <c r="I1913" s="5" t="inlineStr">
        <is>
          <t>cumulative</t>
        </is>
      </c>
      <c r="J1913" s="5" t="inlineStr">
        <is>
          <t>IJ</t>
        </is>
      </c>
      <c r="K1913" s="5" t="inlineStr"/>
      <c r="L1913" s="7">
        <f>IFERROR(IF(F1913&lt;F1912,"NEGATIVE",ROUND(F1913-F1912,2)),"")</f>
        <v/>
      </c>
    </row>
    <row r="1914" ht="22" customHeight="1">
      <c r="B1914" s="8" t="inlineStr">
        <is>
          <t>R01910</t>
        </is>
      </c>
      <c r="C1914" s="8" t="inlineStr">
        <is>
          <t>MTR-WSH-002</t>
        </is>
      </c>
      <c r="D1914" s="8" t="inlineStr">
        <is>
          <t>Washing Hall</t>
        </is>
      </c>
      <c r="E1914" s="8" t="inlineStr">
        <is>
          <t>Washing Machine 3</t>
        </is>
      </c>
      <c r="F1914" s="8" t="inlineStr">
        <is>
          <t>2024-02-27 08:00</t>
        </is>
      </c>
      <c r="G1914" s="12" t="n">
        <v>89709.11</v>
      </c>
      <c r="H1914" s="8" t="inlineStr">
        <is>
          <t>m3</t>
        </is>
      </c>
      <c r="I1914" s="8" t="inlineStr">
        <is>
          <t>cumulative</t>
        </is>
      </c>
      <c r="J1914" s="8" t="inlineStr">
        <is>
          <t>AB</t>
        </is>
      </c>
      <c r="K1914" s="8" t="inlineStr"/>
      <c r="L1914" s="10">
        <f>IFERROR(IF(F1914&lt;F1913,"NEGATIVE",ROUND(F1914-F1913,2)),"")</f>
        <v/>
      </c>
    </row>
    <row r="1915" ht="22" customHeight="1">
      <c r="B1915" s="5" t="inlineStr">
        <is>
          <t>R01911</t>
        </is>
      </c>
      <c r="C1915" s="5" t="inlineStr">
        <is>
          <t>MTR-WSH-002</t>
        </is>
      </c>
      <c r="D1915" s="5" t="inlineStr">
        <is>
          <t>Washing Hall</t>
        </is>
      </c>
      <c r="E1915" s="5" t="inlineStr">
        <is>
          <t>Washing Machine 3</t>
        </is>
      </c>
      <c r="F1915" s="5" t="inlineStr">
        <is>
          <t>2024-02-28 08:00</t>
        </is>
      </c>
      <c r="G1915" s="11" t="n">
        <v>89736.5</v>
      </c>
      <c r="H1915" s="5" t="inlineStr">
        <is>
          <t>m3</t>
        </is>
      </c>
      <c r="I1915" s="5" t="inlineStr">
        <is>
          <t>cumulative</t>
        </is>
      </c>
      <c r="J1915" s="5" t="inlineStr">
        <is>
          <t>CD</t>
        </is>
      </c>
      <c r="K1915" s="5" t="inlineStr"/>
      <c r="L1915" s="7">
        <f>IFERROR(IF(F1915&lt;F1914,"NEGATIVE",ROUND(F1915-F1914,2)),"")</f>
        <v/>
      </c>
    </row>
    <row r="1916" ht="22" customHeight="1">
      <c r="B1916" s="8" t="inlineStr">
        <is>
          <t>R01912</t>
        </is>
      </c>
      <c r="C1916" s="8" t="inlineStr">
        <is>
          <t>MTR-WSH-002</t>
        </is>
      </c>
      <c r="D1916" s="8" t="inlineStr">
        <is>
          <t>Washing Hall</t>
        </is>
      </c>
      <c r="E1916" s="8" t="inlineStr">
        <is>
          <t>Washing Machine 3</t>
        </is>
      </c>
      <c r="F1916" s="8" t="inlineStr">
        <is>
          <t>2024-02-29 08:00</t>
        </is>
      </c>
      <c r="G1916" s="12" t="n">
        <v>89764.42999999999</v>
      </c>
      <c r="H1916" s="8" t="inlineStr">
        <is>
          <t>m3</t>
        </is>
      </c>
      <c r="I1916" s="8" t="inlineStr">
        <is>
          <t>cumulative</t>
        </is>
      </c>
      <c r="J1916" s="8" t="inlineStr">
        <is>
          <t>GH</t>
        </is>
      </c>
      <c r="K1916" s="8" t="inlineStr"/>
      <c r="L1916" s="10">
        <f>IFERROR(IF(F1916&lt;F1915,"NEGATIVE",ROUND(F1916-F1915,2)),"")</f>
        <v/>
      </c>
    </row>
    <row r="1917" ht="22" customHeight="1">
      <c r="B1917" s="5" t="inlineStr">
        <is>
          <t>R01913</t>
        </is>
      </c>
      <c r="C1917" s="5" t="inlineStr">
        <is>
          <t>MTR-WSH-002</t>
        </is>
      </c>
      <c r="D1917" s="5" t="inlineStr">
        <is>
          <t>Washing Hall</t>
        </is>
      </c>
      <c r="E1917" s="5" t="inlineStr">
        <is>
          <t>Washing Machine 3</t>
        </is>
      </c>
      <c r="F1917" s="5" t="inlineStr">
        <is>
          <t>2024-03-01 08:00</t>
        </is>
      </c>
      <c r="G1917" s="11" t="n">
        <v>89797.39</v>
      </c>
      <c r="H1917" s="5" t="inlineStr">
        <is>
          <t>m3</t>
        </is>
      </c>
      <c r="I1917" s="5" t="inlineStr">
        <is>
          <t>cumulative</t>
        </is>
      </c>
      <c r="J1917" s="5" t="inlineStr">
        <is>
          <t>EF</t>
        </is>
      </c>
      <c r="K1917" s="5" t="inlineStr"/>
      <c r="L1917" s="7">
        <f>IFERROR(IF(F1917&lt;F1916,"NEGATIVE",ROUND(F1917-F1916,2)),"")</f>
        <v/>
      </c>
    </row>
    <row r="1918" ht="22" customHeight="1">
      <c r="B1918" s="8" t="inlineStr">
        <is>
          <t>R01914</t>
        </is>
      </c>
      <c r="C1918" s="8" t="inlineStr">
        <is>
          <t>MTR-WSH-002</t>
        </is>
      </c>
      <c r="D1918" s="8" t="inlineStr">
        <is>
          <t>Washing Hall</t>
        </is>
      </c>
      <c r="E1918" s="8" t="inlineStr">
        <is>
          <t>Washing Machine 3</t>
        </is>
      </c>
      <c r="F1918" s="8" t="inlineStr">
        <is>
          <t>2024-03-02 08:00</t>
        </is>
      </c>
      <c r="G1918" s="12" t="n">
        <v>89821.14999999999</v>
      </c>
      <c r="H1918" s="8" t="inlineStr">
        <is>
          <t>m3</t>
        </is>
      </c>
      <c r="I1918" s="8" t="inlineStr">
        <is>
          <t>cumulative</t>
        </is>
      </c>
      <c r="J1918" s="8" t="inlineStr">
        <is>
          <t>CD</t>
        </is>
      </c>
      <c r="K1918" s="8" t="inlineStr"/>
      <c r="L1918" s="10">
        <f>IFERROR(IF(F1918&lt;F1917,"NEGATIVE",ROUND(F1918-F1917,2)),"")</f>
        <v/>
      </c>
    </row>
    <row r="1919" ht="22" customHeight="1">
      <c r="B1919" s="5" t="inlineStr">
        <is>
          <t>R01915</t>
        </is>
      </c>
      <c r="C1919" s="5" t="inlineStr">
        <is>
          <t>MTR-WSH-002</t>
        </is>
      </c>
      <c r="D1919" s="5" t="inlineStr">
        <is>
          <t>Washing Hall</t>
        </is>
      </c>
      <c r="E1919" s="5" t="inlineStr">
        <is>
          <t>Washing Machine 3</t>
        </is>
      </c>
      <c r="F1919" s="5" t="inlineStr">
        <is>
          <t>2024-03-03 08:00</t>
        </is>
      </c>
      <c r="G1919" s="11" t="n">
        <v>89838.57000000001</v>
      </c>
      <c r="H1919" s="5" t="inlineStr">
        <is>
          <t>m3</t>
        </is>
      </c>
      <c r="I1919" s="5" t="inlineStr">
        <is>
          <t>cumulative</t>
        </is>
      </c>
      <c r="J1919" s="5" t="inlineStr">
        <is>
          <t>IJ</t>
        </is>
      </c>
      <c r="K1919" s="5" t="inlineStr"/>
      <c r="L1919" s="7">
        <f>IFERROR(IF(F1919&lt;F1918,"NEGATIVE",ROUND(F1919-F1918,2)),"")</f>
        <v/>
      </c>
    </row>
    <row r="1920" ht="22" customHeight="1">
      <c r="B1920" s="8" t="inlineStr">
        <is>
          <t>R01916</t>
        </is>
      </c>
      <c r="C1920" s="8" t="inlineStr">
        <is>
          <t>MTR-WSH-002</t>
        </is>
      </c>
      <c r="D1920" s="8" t="inlineStr">
        <is>
          <t>Washing Hall</t>
        </is>
      </c>
      <c r="E1920" s="8" t="inlineStr">
        <is>
          <t>Washing Machine 3</t>
        </is>
      </c>
      <c r="F1920" s="8" t="inlineStr">
        <is>
          <t>2024-03-04 08:00</t>
        </is>
      </c>
      <c r="G1920" s="12" t="n">
        <v>89865.48</v>
      </c>
      <c r="H1920" s="8" t="inlineStr">
        <is>
          <t>m3</t>
        </is>
      </c>
      <c r="I1920" s="8" t="inlineStr">
        <is>
          <t>cumulative</t>
        </is>
      </c>
      <c r="J1920" s="8" t="inlineStr">
        <is>
          <t>AB</t>
        </is>
      </c>
      <c r="K1920" s="8" t="inlineStr"/>
      <c r="L1920" s="10">
        <f>IFERROR(IF(F1920&lt;F1919,"NEGATIVE",ROUND(F1920-F1919,2)),"")</f>
        <v/>
      </c>
    </row>
    <row r="1921" ht="22" customHeight="1">
      <c r="B1921" s="5" t="inlineStr">
        <is>
          <t>R01917</t>
        </is>
      </c>
      <c r="C1921" s="5" t="inlineStr">
        <is>
          <t>MTR-WSH-002</t>
        </is>
      </c>
      <c r="D1921" s="5" t="inlineStr">
        <is>
          <t>Washing Hall</t>
        </is>
      </c>
      <c r="E1921" s="5" t="inlineStr">
        <is>
          <t>Washing Machine 3</t>
        </is>
      </c>
      <c r="F1921" s="5" t="inlineStr">
        <is>
          <t>2024-03-05 08:00</t>
        </is>
      </c>
      <c r="G1921" s="11" t="n">
        <v>89896.44</v>
      </c>
      <c r="H1921" s="5" t="inlineStr">
        <is>
          <t>m3</t>
        </is>
      </c>
      <c r="I1921" s="5" t="inlineStr">
        <is>
          <t>cumulative</t>
        </is>
      </c>
      <c r="J1921" s="5" t="inlineStr">
        <is>
          <t>EF</t>
        </is>
      </c>
      <c r="K1921" s="5" t="inlineStr"/>
      <c r="L1921" s="7">
        <f>IFERROR(IF(F1921&lt;F1920,"NEGATIVE",ROUND(F1921-F1920,2)),"")</f>
        <v/>
      </c>
    </row>
    <row r="1922" ht="22" customHeight="1">
      <c r="B1922" s="8" t="inlineStr">
        <is>
          <t>R01918</t>
        </is>
      </c>
      <c r="C1922" s="8" t="inlineStr">
        <is>
          <t>MTR-WSH-002</t>
        </is>
      </c>
      <c r="D1922" s="8" t="inlineStr">
        <is>
          <t>Washing Hall</t>
        </is>
      </c>
      <c r="E1922" s="8" t="inlineStr">
        <is>
          <t>Washing Machine 3</t>
        </is>
      </c>
      <c r="F1922" s="8" t="inlineStr">
        <is>
          <t>2024-03-06 08:00</t>
        </is>
      </c>
      <c r="G1922" s="12" t="n">
        <v>89923.42999999999</v>
      </c>
      <c r="H1922" s="8" t="inlineStr">
        <is>
          <t>m3</t>
        </is>
      </c>
      <c r="I1922" s="8" t="inlineStr">
        <is>
          <t>cumulative</t>
        </is>
      </c>
      <c r="J1922" s="8" t="inlineStr">
        <is>
          <t>CD</t>
        </is>
      </c>
      <c r="K1922" s="8" t="inlineStr"/>
      <c r="L1922" s="10">
        <f>IFERROR(IF(F1922&lt;F1921,"NEGATIVE",ROUND(F1922-F1921,2)),"")</f>
        <v/>
      </c>
    </row>
    <row r="1923" ht="22" customHeight="1">
      <c r="B1923" s="5" t="inlineStr">
        <is>
          <t>R01919</t>
        </is>
      </c>
      <c r="C1923" s="5" t="inlineStr">
        <is>
          <t>MTR-WSH-002</t>
        </is>
      </c>
      <c r="D1923" s="5" t="inlineStr">
        <is>
          <t>Washing Hall</t>
        </is>
      </c>
      <c r="E1923" s="5" t="inlineStr">
        <is>
          <t>Washing Machine 3</t>
        </is>
      </c>
      <c r="F1923" s="5" t="inlineStr">
        <is>
          <t>2024-03-07 08:00</t>
        </is>
      </c>
      <c r="G1923" s="11" t="n">
        <v>89953.48</v>
      </c>
      <c r="H1923" s="5" t="inlineStr">
        <is>
          <t>m3</t>
        </is>
      </c>
      <c r="I1923" s="5" t="inlineStr">
        <is>
          <t>cumulative</t>
        </is>
      </c>
      <c r="J1923" s="5" t="inlineStr">
        <is>
          <t>GH</t>
        </is>
      </c>
      <c r="K1923" s="5" t="inlineStr"/>
      <c r="L1923" s="7">
        <f>IFERROR(IF(F1923&lt;F1922,"NEGATIVE",ROUND(F1923-F1922,2)),"")</f>
        <v/>
      </c>
    </row>
    <row r="1924" ht="22" customHeight="1">
      <c r="B1924" s="8" t="inlineStr">
        <is>
          <t>R01920</t>
        </is>
      </c>
      <c r="C1924" s="8" t="inlineStr">
        <is>
          <t>MTR-WSH-002</t>
        </is>
      </c>
      <c r="D1924" s="8" t="inlineStr">
        <is>
          <t>Washing Hall</t>
        </is>
      </c>
      <c r="E1924" s="8" t="inlineStr">
        <is>
          <t>Washing Machine 3</t>
        </is>
      </c>
      <c r="F1924" s="8" t="inlineStr">
        <is>
          <t>2024-03-08 08:00</t>
        </is>
      </c>
      <c r="G1924" s="12" t="n">
        <v>89985.82000000001</v>
      </c>
      <c r="H1924" s="8" t="inlineStr">
        <is>
          <t>m3</t>
        </is>
      </c>
      <c r="I1924" s="8" t="inlineStr">
        <is>
          <t>cumulative</t>
        </is>
      </c>
      <c r="J1924" s="8" t="inlineStr">
        <is>
          <t>EF</t>
        </is>
      </c>
      <c r="K1924" s="8" t="inlineStr"/>
      <c r="L1924" s="10">
        <f>IFERROR(IF(F1924&lt;F1923,"NEGATIVE",ROUND(F1924-F1923,2)),"")</f>
        <v/>
      </c>
    </row>
    <row r="1925" ht="22" customHeight="1">
      <c r="B1925" s="5" t="inlineStr">
        <is>
          <t>R01921</t>
        </is>
      </c>
      <c r="C1925" s="5" t="inlineStr">
        <is>
          <t>MTR-WSH-002</t>
        </is>
      </c>
      <c r="D1925" s="5" t="inlineStr">
        <is>
          <t>Washing Hall</t>
        </is>
      </c>
      <c r="E1925" s="5" t="inlineStr">
        <is>
          <t>Washing Machine 3</t>
        </is>
      </c>
      <c r="F1925" s="5" t="inlineStr">
        <is>
          <t>2024-03-09 08:00</t>
        </is>
      </c>
      <c r="G1925" s="11" t="n">
        <v>90007.50999999999</v>
      </c>
      <c r="H1925" s="5" t="inlineStr">
        <is>
          <t>m3</t>
        </is>
      </c>
      <c r="I1925" s="5" t="inlineStr">
        <is>
          <t>cumulative</t>
        </is>
      </c>
      <c r="J1925" s="5" t="inlineStr">
        <is>
          <t>EF</t>
        </is>
      </c>
      <c r="K1925" s="5" t="inlineStr"/>
      <c r="L1925" s="7">
        <f>IFERROR(IF(F1925&lt;F1924,"NEGATIVE",ROUND(F1925-F1924,2)),"")</f>
        <v/>
      </c>
    </row>
    <row r="1926" ht="22" customHeight="1">
      <c r="B1926" s="8" t="inlineStr">
        <is>
          <t>R01922</t>
        </is>
      </c>
      <c r="C1926" s="8" t="inlineStr">
        <is>
          <t>MTR-WSH-002</t>
        </is>
      </c>
      <c r="D1926" s="8" t="inlineStr">
        <is>
          <t>Washing Hall</t>
        </is>
      </c>
      <c r="E1926" s="8" t="inlineStr">
        <is>
          <t>Washing Machine 3</t>
        </is>
      </c>
      <c r="F1926" s="8" t="inlineStr">
        <is>
          <t>2024-03-10 08:00</t>
        </is>
      </c>
      <c r="G1926" s="12" t="n">
        <v>90023.47</v>
      </c>
      <c r="H1926" s="8" t="inlineStr">
        <is>
          <t>m3</t>
        </is>
      </c>
      <c r="I1926" s="8" t="inlineStr">
        <is>
          <t>cumulative</t>
        </is>
      </c>
      <c r="J1926" s="8" t="inlineStr">
        <is>
          <t>IJ</t>
        </is>
      </c>
      <c r="K1926" s="8" t="inlineStr"/>
      <c r="L1926" s="10">
        <f>IFERROR(IF(F1926&lt;F1925,"NEGATIVE",ROUND(F1926-F1925,2)),"")</f>
        <v/>
      </c>
    </row>
    <row r="1927" ht="22" customHeight="1">
      <c r="B1927" s="5" t="inlineStr">
        <is>
          <t>R01923</t>
        </is>
      </c>
      <c r="C1927" s="5" t="inlineStr">
        <is>
          <t>MTR-WSH-002</t>
        </is>
      </c>
      <c r="D1927" s="5" t="inlineStr">
        <is>
          <t>Washing Hall</t>
        </is>
      </c>
      <c r="E1927" s="5" t="inlineStr">
        <is>
          <t>Washing Machine 3</t>
        </is>
      </c>
      <c r="F1927" s="5" t="inlineStr">
        <is>
          <t>2024-03-11 08:00</t>
        </is>
      </c>
      <c r="G1927" s="11" t="n">
        <v>90058.57000000001</v>
      </c>
      <c r="H1927" s="5" t="inlineStr">
        <is>
          <t>m3</t>
        </is>
      </c>
      <c r="I1927" s="5" t="inlineStr">
        <is>
          <t>cumulative</t>
        </is>
      </c>
      <c r="J1927" s="5" t="inlineStr">
        <is>
          <t>GH</t>
        </is>
      </c>
      <c r="K1927" s="5" t="inlineStr"/>
      <c r="L1927" s="7">
        <f>IFERROR(IF(F1927&lt;F1926,"NEGATIVE",ROUND(F1927-F1926,2)),"")</f>
        <v/>
      </c>
    </row>
    <row r="1928" ht="22" customHeight="1">
      <c r="B1928" s="8" t="inlineStr">
        <is>
          <t>R01924</t>
        </is>
      </c>
      <c r="C1928" s="8" t="inlineStr">
        <is>
          <t>MTR-WSH-002</t>
        </is>
      </c>
      <c r="D1928" s="8" t="inlineStr">
        <is>
          <t>Washing Hall</t>
        </is>
      </c>
      <c r="E1928" s="8" t="inlineStr">
        <is>
          <t>Washing Machine 3</t>
        </is>
      </c>
      <c r="F1928" s="8" t="inlineStr">
        <is>
          <t>2024-03-12 08:00</t>
        </is>
      </c>
      <c r="G1928" s="12" t="n">
        <v>90093.37</v>
      </c>
      <c r="H1928" s="8" t="inlineStr">
        <is>
          <t>m3</t>
        </is>
      </c>
      <c r="I1928" s="8" t="inlineStr">
        <is>
          <t>cumulative</t>
        </is>
      </c>
      <c r="J1928" s="8" t="inlineStr">
        <is>
          <t>KL</t>
        </is>
      </c>
      <c r="K1928" s="8" t="inlineStr"/>
      <c r="L1928" s="10">
        <f>IFERROR(IF(F1928&lt;F1927,"NEGATIVE",ROUND(F1928-F1927,2)),"")</f>
        <v/>
      </c>
    </row>
    <row r="1929" ht="22" customHeight="1">
      <c r="B1929" s="5" t="inlineStr">
        <is>
          <t>R01925</t>
        </is>
      </c>
      <c r="C1929" s="5" t="inlineStr">
        <is>
          <t>MTR-WSH-002</t>
        </is>
      </c>
      <c r="D1929" s="5" t="inlineStr">
        <is>
          <t>Washing Hall</t>
        </is>
      </c>
      <c r="E1929" s="5" t="inlineStr">
        <is>
          <t>Washing Machine 3</t>
        </is>
      </c>
      <c r="F1929" s="5" t="inlineStr">
        <is>
          <t>2024-03-13 08:00</t>
        </is>
      </c>
      <c r="G1929" s="11" t="n">
        <v>90127.53999999999</v>
      </c>
      <c r="H1929" s="5" t="inlineStr">
        <is>
          <t>m3</t>
        </is>
      </c>
      <c r="I1929" s="5" t="inlineStr">
        <is>
          <t>cumulative</t>
        </is>
      </c>
      <c r="J1929" s="5" t="inlineStr">
        <is>
          <t>IJ</t>
        </is>
      </c>
      <c r="K1929" s="5" t="inlineStr"/>
      <c r="L1929" s="7">
        <f>IFERROR(IF(F1929&lt;F1928,"NEGATIVE",ROUND(F1929-F1928,2)),"")</f>
        <v/>
      </c>
    </row>
    <row r="1930" ht="22" customHeight="1">
      <c r="B1930" s="8" t="inlineStr">
        <is>
          <t>R01926</t>
        </is>
      </c>
      <c r="C1930" s="8" t="inlineStr">
        <is>
          <t>MTR-WSH-002</t>
        </is>
      </c>
      <c r="D1930" s="8" t="inlineStr">
        <is>
          <t>Washing Hall</t>
        </is>
      </c>
      <c r="E1930" s="8" t="inlineStr">
        <is>
          <t>Washing Machine 3</t>
        </is>
      </c>
      <c r="F1930" s="8" t="inlineStr">
        <is>
          <t>2024-03-14 08:00</t>
        </is>
      </c>
      <c r="G1930" s="12" t="n">
        <v>90163.09</v>
      </c>
      <c r="H1930" s="8" t="inlineStr">
        <is>
          <t>m3</t>
        </is>
      </c>
      <c r="I1930" s="8" t="inlineStr">
        <is>
          <t>cumulative</t>
        </is>
      </c>
      <c r="J1930" s="8" t="inlineStr">
        <is>
          <t>GH</t>
        </is>
      </c>
      <c r="K1930" s="8" t="inlineStr"/>
      <c r="L1930" s="10">
        <f>IFERROR(IF(F1930&lt;F1929,"NEGATIVE",ROUND(F1930-F1929,2)),"")</f>
        <v/>
      </c>
    </row>
    <row r="1931" ht="22" customHeight="1">
      <c r="B1931" s="5" t="inlineStr">
        <is>
          <t>R01927</t>
        </is>
      </c>
      <c r="C1931" s="5" t="inlineStr">
        <is>
          <t>MTR-WSH-002</t>
        </is>
      </c>
      <c r="D1931" s="5" t="inlineStr">
        <is>
          <t>Washing Hall</t>
        </is>
      </c>
      <c r="E1931" s="5" t="inlineStr">
        <is>
          <t>Washing Machine 3</t>
        </is>
      </c>
      <c r="F1931" s="5" t="inlineStr">
        <is>
          <t>2024-03-15 08:00</t>
        </is>
      </c>
      <c r="G1931" s="11" t="n">
        <v>90197.19</v>
      </c>
      <c r="H1931" s="5" t="inlineStr">
        <is>
          <t>m3</t>
        </is>
      </c>
      <c r="I1931" s="5" t="inlineStr">
        <is>
          <t>cumulative</t>
        </is>
      </c>
      <c r="J1931" s="5" t="inlineStr">
        <is>
          <t>IJ</t>
        </is>
      </c>
      <c r="K1931" s="5" t="inlineStr"/>
      <c r="L1931" s="7">
        <f>IFERROR(IF(F1931&lt;F1930,"NEGATIVE",ROUND(F1931-F1930,2)),"")</f>
        <v/>
      </c>
    </row>
    <row r="1932" ht="22" customHeight="1">
      <c r="B1932" s="8" t="inlineStr">
        <is>
          <t>R01928</t>
        </is>
      </c>
      <c r="C1932" s="8" t="inlineStr">
        <is>
          <t>MTR-WSH-002</t>
        </is>
      </c>
      <c r="D1932" s="8" t="inlineStr">
        <is>
          <t>Washing Hall</t>
        </is>
      </c>
      <c r="E1932" s="8" t="inlineStr">
        <is>
          <t>Washing Machine 3</t>
        </is>
      </c>
      <c r="F1932" s="8" t="inlineStr">
        <is>
          <t>2024-03-16 08:00</t>
        </is>
      </c>
      <c r="G1932" s="12" t="n">
        <v>90223.61</v>
      </c>
      <c r="H1932" s="8" t="inlineStr">
        <is>
          <t>m3</t>
        </is>
      </c>
      <c r="I1932" s="8" t="inlineStr">
        <is>
          <t>cumulative</t>
        </is>
      </c>
      <c r="J1932" s="8" t="inlineStr">
        <is>
          <t>IJ</t>
        </is>
      </c>
      <c r="K1932" s="8" t="inlineStr"/>
      <c r="L1932" s="10">
        <f>IFERROR(IF(F1932&lt;F1931,"NEGATIVE",ROUND(F1932-F1931,2)),"")</f>
        <v/>
      </c>
    </row>
    <row r="1933" ht="22" customHeight="1">
      <c r="B1933" s="5" t="inlineStr">
        <is>
          <t>R01929</t>
        </is>
      </c>
      <c r="C1933" s="5" t="inlineStr">
        <is>
          <t>MTR-WSH-002</t>
        </is>
      </c>
      <c r="D1933" s="5" t="inlineStr">
        <is>
          <t>Washing Hall</t>
        </is>
      </c>
      <c r="E1933" s="5" t="inlineStr">
        <is>
          <t>Washing Machine 3</t>
        </is>
      </c>
      <c r="F1933" s="5" t="inlineStr">
        <is>
          <t>2024-03-17 08:00</t>
        </is>
      </c>
      <c r="G1933" s="11" t="n">
        <v>90238.13</v>
      </c>
      <c r="H1933" s="5" t="inlineStr">
        <is>
          <t>m3</t>
        </is>
      </c>
      <c r="I1933" s="5" t="inlineStr">
        <is>
          <t>cumulative</t>
        </is>
      </c>
      <c r="J1933" s="5" t="inlineStr">
        <is>
          <t>EF</t>
        </is>
      </c>
      <c r="K1933" s="5" t="inlineStr"/>
      <c r="L1933" s="7">
        <f>IFERROR(IF(F1933&lt;F1932,"NEGATIVE",ROUND(F1933-F1932,2)),"")</f>
        <v/>
      </c>
    </row>
    <row r="1934" ht="22" customHeight="1">
      <c r="B1934" s="8" t="inlineStr">
        <is>
          <t>R01930</t>
        </is>
      </c>
      <c r="C1934" s="8" t="inlineStr">
        <is>
          <t>MTR-WSH-002</t>
        </is>
      </c>
      <c r="D1934" s="8" t="inlineStr">
        <is>
          <t>Washing Hall</t>
        </is>
      </c>
      <c r="E1934" s="8" t="inlineStr">
        <is>
          <t>Washing Machine 3</t>
        </is>
      </c>
      <c r="F1934" s="8" t="inlineStr">
        <is>
          <t>2024-03-18 08:00</t>
        </is>
      </c>
      <c r="G1934" s="12" t="n">
        <v>90264.75</v>
      </c>
      <c r="H1934" s="8" t="inlineStr">
        <is>
          <t>m3</t>
        </is>
      </c>
      <c r="I1934" s="8" t="inlineStr">
        <is>
          <t>cumulative</t>
        </is>
      </c>
      <c r="J1934" s="8" t="inlineStr">
        <is>
          <t>GH</t>
        </is>
      </c>
      <c r="K1934" s="8" t="inlineStr"/>
      <c r="L1934" s="10">
        <f>IFERROR(IF(F1934&lt;F1933,"NEGATIVE",ROUND(F1934-F1933,2)),"")</f>
        <v/>
      </c>
    </row>
    <row r="1935" ht="22" customHeight="1">
      <c r="B1935" s="5" t="inlineStr">
        <is>
          <t>R01931</t>
        </is>
      </c>
      <c r="C1935" s="5" t="inlineStr">
        <is>
          <t>MTR-WSH-002</t>
        </is>
      </c>
      <c r="D1935" s="5" t="inlineStr">
        <is>
          <t>Washing Hall</t>
        </is>
      </c>
      <c r="E1935" s="5" t="inlineStr">
        <is>
          <t>Washing Machine 3</t>
        </is>
      </c>
      <c r="F1935" s="5" t="inlineStr">
        <is>
          <t>2024-03-19 08:00</t>
        </is>
      </c>
      <c r="G1935" s="11" t="n">
        <v>90293.8</v>
      </c>
      <c r="H1935" s="5" t="inlineStr">
        <is>
          <t>m3</t>
        </is>
      </c>
      <c r="I1935" s="5" t="inlineStr">
        <is>
          <t>cumulative</t>
        </is>
      </c>
      <c r="J1935" s="5" t="inlineStr">
        <is>
          <t>GH</t>
        </is>
      </c>
      <c r="K1935" s="5" t="inlineStr"/>
      <c r="L1935" s="7">
        <f>IFERROR(IF(F1935&lt;F1934,"NEGATIVE",ROUND(F1935-F1934,2)),"")</f>
        <v/>
      </c>
    </row>
    <row r="1936" ht="22" customHeight="1">
      <c r="B1936" s="8" t="inlineStr">
        <is>
          <t>R01932</t>
        </is>
      </c>
      <c r="C1936" s="8" t="inlineStr">
        <is>
          <t>MTR-WSH-002</t>
        </is>
      </c>
      <c r="D1936" s="8" t="inlineStr">
        <is>
          <t>Washing Hall</t>
        </is>
      </c>
      <c r="E1936" s="8" t="inlineStr">
        <is>
          <t>Washing Machine 3</t>
        </is>
      </c>
      <c r="F1936" s="8" t="inlineStr">
        <is>
          <t>2024-03-20 08:00</t>
        </is>
      </c>
      <c r="G1936" s="12" t="n">
        <v>90327.50999999999</v>
      </c>
      <c r="H1936" s="8" t="inlineStr">
        <is>
          <t>m3</t>
        </is>
      </c>
      <c r="I1936" s="8" t="inlineStr">
        <is>
          <t>cumulative</t>
        </is>
      </c>
      <c r="J1936" s="8" t="inlineStr">
        <is>
          <t>GH</t>
        </is>
      </c>
      <c r="K1936" s="8" t="inlineStr"/>
      <c r="L1936" s="10">
        <f>IFERROR(IF(F1936&lt;F1935,"NEGATIVE",ROUND(F1936-F1935,2)),"")</f>
        <v/>
      </c>
    </row>
    <row r="1937" ht="22" customHeight="1">
      <c r="B1937" s="5" t="inlineStr">
        <is>
          <t>R01933</t>
        </is>
      </c>
      <c r="C1937" s="5" t="inlineStr">
        <is>
          <t>MTR-WSH-002</t>
        </is>
      </c>
      <c r="D1937" s="5" t="inlineStr">
        <is>
          <t>Washing Hall</t>
        </is>
      </c>
      <c r="E1937" s="5" t="inlineStr">
        <is>
          <t>Washing Machine 3</t>
        </is>
      </c>
      <c r="F1937" s="5" t="inlineStr">
        <is>
          <t>2024-03-21 08:00</t>
        </is>
      </c>
      <c r="G1937" s="11" t="n">
        <v>90362.09</v>
      </c>
      <c r="H1937" s="5" t="inlineStr">
        <is>
          <t>m3</t>
        </is>
      </c>
      <c r="I1937" s="5" t="inlineStr">
        <is>
          <t>cumulative</t>
        </is>
      </c>
      <c r="J1937" s="5" t="inlineStr">
        <is>
          <t>GH</t>
        </is>
      </c>
      <c r="K1937" s="5" t="inlineStr"/>
      <c r="L1937" s="7">
        <f>IFERROR(IF(F1937&lt;F1936,"NEGATIVE",ROUND(F1937-F1936,2)),"")</f>
        <v/>
      </c>
    </row>
    <row r="1938" ht="22" customHeight="1">
      <c r="B1938" s="8" t="inlineStr">
        <is>
          <t>R01934</t>
        </is>
      </c>
      <c r="C1938" s="8" t="inlineStr">
        <is>
          <t>MTR-WSH-002</t>
        </is>
      </c>
      <c r="D1938" s="8" t="inlineStr">
        <is>
          <t>Washing Hall</t>
        </is>
      </c>
      <c r="E1938" s="8" t="inlineStr">
        <is>
          <t>Washing Machine 3</t>
        </is>
      </c>
      <c r="F1938" s="8" t="inlineStr">
        <is>
          <t>2024-03-22 08:00</t>
        </is>
      </c>
      <c r="G1938" s="12" t="n">
        <v>90390.75999999999</v>
      </c>
      <c r="H1938" s="8" t="inlineStr">
        <is>
          <t>m3</t>
        </is>
      </c>
      <c r="I1938" s="8" t="inlineStr">
        <is>
          <t>cumulative</t>
        </is>
      </c>
      <c r="J1938" s="8" t="inlineStr">
        <is>
          <t>GH</t>
        </is>
      </c>
      <c r="K1938" s="8" t="inlineStr"/>
      <c r="L1938" s="10">
        <f>IFERROR(IF(F1938&lt;F1937,"NEGATIVE",ROUND(F1938-F1937,2)),"")</f>
        <v/>
      </c>
    </row>
    <row r="1939" ht="22" customHeight="1">
      <c r="B1939" s="5" t="inlineStr">
        <is>
          <t>R01935</t>
        </is>
      </c>
      <c r="C1939" s="5" t="inlineStr">
        <is>
          <t>MTR-WSH-002</t>
        </is>
      </c>
      <c r="D1939" s="5" t="inlineStr">
        <is>
          <t>Washing Hall</t>
        </is>
      </c>
      <c r="E1939" s="5" t="inlineStr">
        <is>
          <t>Washing Machine 3</t>
        </is>
      </c>
      <c r="F1939" s="5" t="inlineStr">
        <is>
          <t>2024-03-23 08:00</t>
        </is>
      </c>
      <c r="G1939" s="11" t="n">
        <v>90419.50999999999</v>
      </c>
      <c r="H1939" s="5" t="inlineStr">
        <is>
          <t>m3</t>
        </is>
      </c>
      <c r="I1939" s="5" t="inlineStr">
        <is>
          <t>cumulative</t>
        </is>
      </c>
      <c r="J1939" s="5" t="inlineStr">
        <is>
          <t>CD</t>
        </is>
      </c>
      <c r="K1939" s="5" t="inlineStr"/>
      <c r="L1939" s="7">
        <f>IFERROR(IF(F1939&lt;F1938,"NEGATIVE",ROUND(F1939-F1938,2)),"")</f>
        <v/>
      </c>
    </row>
    <row r="1940" ht="22" customHeight="1">
      <c r="B1940" s="8" t="inlineStr">
        <is>
          <t>R01936</t>
        </is>
      </c>
      <c r="C1940" s="8" t="inlineStr">
        <is>
          <t>MTR-WSH-002</t>
        </is>
      </c>
      <c r="D1940" s="8" t="inlineStr">
        <is>
          <t>Washing Hall</t>
        </is>
      </c>
      <c r="E1940" s="8" t="inlineStr">
        <is>
          <t>Washing Machine 3</t>
        </is>
      </c>
      <c r="F1940" s="8" t="inlineStr">
        <is>
          <t>2024-03-24 08:00</t>
        </is>
      </c>
      <c r="G1940" s="12" t="n">
        <v>90435.39</v>
      </c>
      <c r="H1940" s="8" t="inlineStr">
        <is>
          <t>m3</t>
        </is>
      </c>
      <c r="I1940" s="8" t="inlineStr">
        <is>
          <t>cumulative</t>
        </is>
      </c>
      <c r="J1940" s="8" t="inlineStr">
        <is>
          <t>KL</t>
        </is>
      </c>
      <c r="K1940" s="8" t="inlineStr"/>
      <c r="L1940" s="10">
        <f>IFERROR(IF(F1940&lt;F1939,"NEGATIVE",ROUND(F1940-F1939,2)),"")</f>
        <v/>
      </c>
    </row>
    <row r="1941" ht="22" customHeight="1">
      <c r="B1941" s="5" t="inlineStr">
        <is>
          <t>R01937</t>
        </is>
      </c>
      <c r="C1941" s="5" t="inlineStr">
        <is>
          <t>MTR-WSH-002</t>
        </is>
      </c>
      <c r="D1941" s="5" t="inlineStr">
        <is>
          <t>Washing Hall</t>
        </is>
      </c>
      <c r="E1941" s="5" t="inlineStr">
        <is>
          <t>Washing Machine 3</t>
        </is>
      </c>
      <c r="F1941" s="5" t="inlineStr">
        <is>
          <t>2024-03-25 08:00</t>
        </is>
      </c>
      <c r="G1941" s="11" t="n">
        <v>90469.91</v>
      </c>
      <c r="H1941" s="5" t="inlineStr">
        <is>
          <t>m3</t>
        </is>
      </c>
      <c r="I1941" s="5" t="inlineStr">
        <is>
          <t>cumulative</t>
        </is>
      </c>
      <c r="J1941" s="5" t="inlineStr">
        <is>
          <t>GH</t>
        </is>
      </c>
      <c r="K1941" s="5" t="inlineStr"/>
      <c r="L1941" s="7">
        <f>IFERROR(IF(F1941&lt;F1940,"NEGATIVE",ROUND(F1941-F1940,2)),"")</f>
        <v/>
      </c>
    </row>
    <row r="1942" ht="22" customHeight="1">
      <c r="B1942" s="8" t="inlineStr">
        <is>
          <t>R01938</t>
        </is>
      </c>
      <c r="C1942" s="8" t="inlineStr">
        <is>
          <t>MTR-WSH-002</t>
        </is>
      </c>
      <c r="D1942" s="8" t="inlineStr">
        <is>
          <t>Washing Hall</t>
        </is>
      </c>
      <c r="E1942" s="8" t="inlineStr">
        <is>
          <t>Washing Machine 3</t>
        </is>
      </c>
      <c r="F1942" s="8" t="inlineStr">
        <is>
          <t>2024-03-26 08:00</t>
        </is>
      </c>
      <c r="G1942" s="12" t="n">
        <v>90505.72</v>
      </c>
      <c r="H1942" s="8" t="inlineStr">
        <is>
          <t>m3</t>
        </is>
      </c>
      <c r="I1942" s="8" t="inlineStr">
        <is>
          <t>cumulative</t>
        </is>
      </c>
      <c r="J1942" s="8" t="inlineStr">
        <is>
          <t>KL</t>
        </is>
      </c>
      <c r="K1942" s="8" t="inlineStr"/>
      <c r="L1942" s="10">
        <f>IFERROR(IF(F1942&lt;F1941,"NEGATIVE",ROUND(F1942-F1941,2)),"")</f>
        <v/>
      </c>
    </row>
    <row r="1943" ht="22" customHeight="1">
      <c r="B1943" s="5" t="inlineStr">
        <is>
          <t>R01939</t>
        </is>
      </c>
      <c r="C1943" s="5" t="inlineStr">
        <is>
          <t>MTR-WSH-002</t>
        </is>
      </c>
      <c r="D1943" s="5" t="inlineStr">
        <is>
          <t>Washing Hall</t>
        </is>
      </c>
      <c r="E1943" s="5" t="inlineStr">
        <is>
          <t>Washing Machine 3</t>
        </is>
      </c>
      <c r="F1943" s="5" t="inlineStr">
        <is>
          <t>2024-03-27 08:00</t>
        </is>
      </c>
      <c r="G1943" s="11" t="n">
        <v>90535.24000000001</v>
      </c>
      <c r="H1943" s="5" t="inlineStr">
        <is>
          <t>m3</t>
        </is>
      </c>
      <c r="I1943" s="5" t="inlineStr">
        <is>
          <t>cumulative</t>
        </is>
      </c>
      <c r="J1943" s="5" t="inlineStr">
        <is>
          <t>AB</t>
        </is>
      </c>
      <c r="K1943" s="5" t="inlineStr"/>
      <c r="L1943" s="7">
        <f>IFERROR(IF(F1943&lt;F1942,"NEGATIVE",ROUND(F1943-F1942,2)),"")</f>
        <v/>
      </c>
    </row>
    <row r="1944" ht="22" customHeight="1">
      <c r="B1944" s="8" t="inlineStr">
        <is>
          <t>R01940</t>
        </is>
      </c>
      <c r="C1944" s="8" t="inlineStr">
        <is>
          <t>MTR-WSH-002</t>
        </is>
      </c>
      <c r="D1944" s="8" t="inlineStr">
        <is>
          <t>Washing Hall</t>
        </is>
      </c>
      <c r="E1944" s="8" t="inlineStr">
        <is>
          <t>Washing Machine 3</t>
        </is>
      </c>
      <c r="F1944" s="8" t="inlineStr">
        <is>
          <t>2024-03-28 08:00</t>
        </is>
      </c>
      <c r="G1944" s="12" t="n">
        <v>90567.42999999999</v>
      </c>
      <c r="H1944" s="8" t="inlineStr">
        <is>
          <t>m3</t>
        </is>
      </c>
      <c r="I1944" s="8" t="inlineStr">
        <is>
          <t>cumulative</t>
        </is>
      </c>
      <c r="J1944" s="8" t="inlineStr">
        <is>
          <t>GH</t>
        </is>
      </c>
      <c r="K1944" s="8" t="inlineStr"/>
      <c r="L1944" s="10">
        <f>IFERROR(IF(F1944&lt;F1943,"NEGATIVE",ROUND(F1944-F1943,2)),"")</f>
        <v/>
      </c>
    </row>
    <row r="1945" ht="22" customHeight="1">
      <c r="B1945" s="5" t="inlineStr">
        <is>
          <t>R01941</t>
        </is>
      </c>
      <c r="C1945" s="5" t="inlineStr">
        <is>
          <t>MTR-WSH-002</t>
        </is>
      </c>
      <c r="D1945" s="5" t="inlineStr">
        <is>
          <t>Washing Hall</t>
        </is>
      </c>
      <c r="E1945" s="5" t="inlineStr">
        <is>
          <t>Washing Machine 3</t>
        </is>
      </c>
      <c r="F1945" s="5" t="inlineStr">
        <is>
          <t>2024-03-29 08:00</t>
        </is>
      </c>
      <c r="G1945" s="11" t="n">
        <v>90602.32000000001</v>
      </c>
      <c r="H1945" s="5" t="inlineStr">
        <is>
          <t>m3</t>
        </is>
      </c>
      <c r="I1945" s="5" t="inlineStr">
        <is>
          <t>cumulative</t>
        </is>
      </c>
      <c r="J1945" s="5" t="inlineStr">
        <is>
          <t>GH</t>
        </is>
      </c>
      <c r="K1945" s="5" t="inlineStr"/>
      <c r="L1945" s="7">
        <f>IFERROR(IF(F1945&lt;F1944,"NEGATIVE",ROUND(F1945-F1944,2)),"")</f>
        <v/>
      </c>
    </row>
    <row r="1946" ht="22" customHeight="1">
      <c r="B1946" s="8" t="inlineStr">
        <is>
          <t>R01942</t>
        </is>
      </c>
      <c r="C1946" s="8" t="inlineStr">
        <is>
          <t>MTR-WSH-002</t>
        </is>
      </c>
      <c r="D1946" s="8" t="inlineStr">
        <is>
          <t>Washing Hall</t>
        </is>
      </c>
      <c r="E1946" s="8" t="inlineStr">
        <is>
          <t>Washing Machine 3</t>
        </is>
      </c>
      <c r="F1946" s="8" t="inlineStr">
        <is>
          <t>2024-03-30 08:00</t>
        </is>
      </c>
      <c r="G1946" s="12" t="n">
        <v>90628.99000000001</v>
      </c>
      <c r="H1946" s="8" t="inlineStr">
        <is>
          <t>m3</t>
        </is>
      </c>
      <c r="I1946" s="8" t="inlineStr">
        <is>
          <t>cumulative</t>
        </is>
      </c>
      <c r="J1946" s="8" t="inlineStr">
        <is>
          <t>GH</t>
        </is>
      </c>
      <c r="K1946" s="8" t="inlineStr"/>
      <c r="L1946" s="10">
        <f>IFERROR(IF(F1946&lt;F1945,"NEGATIVE",ROUND(F1946-F1945,2)),"")</f>
        <v/>
      </c>
    </row>
    <row r="1947" ht="22" customHeight="1">
      <c r="B1947" s="5" t="inlineStr">
        <is>
          <t>R01943</t>
        </is>
      </c>
      <c r="C1947" s="5" t="inlineStr">
        <is>
          <t>MTR-WSH-002</t>
        </is>
      </c>
      <c r="D1947" s="5" t="inlineStr">
        <is>
          <t>Washing Hall</t>
        </is>
      </c>
      <c r="E1947" s="5" t="inlineStr">
        <is>
          <t>Washing Machine 3</t>
        </is>
      </c>
      <c r="F1947" s="5" t="inlineStr">
        <is>
          <t>2024-03-31 08:00</t>
        </is>
      </c>
      <c r="G1947" s="11" t="n">
        <v>90644.31</v>
      </c>
      <c r="H1947" s="5" t="inlineStr">
        <is>
          <t>m3</t>
        </is>
      </c>
      <c r="I1947" s="5" t="inlineStr">
        <is>
          <t>cumulative</t>
        </is>
      </c>
      <c r="J1947" s="5" t="inlineStr">
        <is>
          <t>KL</t>
        </is>
      </c>
      <c r="K1947" s="5" t="inlineStr"/>
      <c r="L1947" s="7">
        <f>IFERROR(IF(F1947&lt;F1946,"NEGATIVE",ROUND(F1947-F1946,2)),"")</f>
        <v/>
      </c>
    </row>
    <row r="1948" ht="22" customHeight="1">
      <c r="B1948" s="8" t="inlineStr">
        <is>
          <t>R01944</t>
        </is>
      </c>
      <c r="C1948" s="8" t="inlineStr">
        <is>
          <t>MTR-WSH-002</t>
        </is>
      </c>
      <c r="D1948" s="8" t="inlineStr">
        <is>
          <t>Washing Hall</t>
        </is>
      </c>
      <c r="E1948" s="8" t="inlineStr">
        <is>
          <t>Washing Machine 3</t>
        </is>
      </c>
      <c r="F1948" s="8" t="inlineStr">
        <is>
          <t>2024-04-01 08:00</t>
        </is>
      </c>
      <c r="G1948" s="12" t="n">
        <v>90679.00999999999</v>
      </c>
      <c r="H1948" s="8" t="inlineStr">
        <is>
          <t>m3</t>
        </is>
      </c>
      <c r="I1948" s="8" t="inlineStr">
        <is>
          <t>cumulative</t>
        </is>
      </c>
      <c r="J1948" s="8" t="inlineStr">
        <is>
          <t>CD</t>
        </is>
      </c>
      <c r="K1948" s="8" t="inlineStr"/>
      <c r="L1948" s="10">
        <f>IFERROR(IF(F1948&lt;F1947,"NEGATIVE",ROUND(F1948-F1947,2)),"")</f>
        <v/>
      </c>
    </row>
    <row r="1949" ht="22" customHeight="1">
      <c r="B1949" s="5" t="inlineStr">
        <is>
          <t>R01945</t>
        </is>
      </c>
      <c r="C1949" s="5" t="inlineStr">
        <is>
          <t>MTR-WSH-002</t>
        </is>
      </c>
      <c r="D1949" s="5" t="inlineStr">
        <is>
          <t>Washing Hall</t>
        </is>
      </c>
      <c r="E1949" s="5" t="inlineStr">
        <is>
          <t>Washing Machine 3</t>
        </is>
      </c>
      <c r="F1949" s="5" t="inlineStr">
        <is>
          <t>2024-04-02 08:00</t>
        </is>
      </c>
      <c r="G1949" s="11" t="n">
        <v>90712.28999999999</v>
      </c>
      <c r="H1949" s="5" t="inlineStr">
        <is>
          <t>m3</t>
        </is>
      </c>
      <c r="I1949" s="5" t="inlineStr">
        <is>
          <t>cumulative</t>
        </is>
      </c>
      <c r="J1949" s="5" t="inlineStr">
        <is>
          <t>KL</t>
        </is>
      </c>
      <c r="K1949" s="5" t="inlineStr"/>
      <c r="L1949" s="7">
        <f>IFERROR(IF(F1949&lt;F1948,"NEGATIVE",ROUND(F1949-F1948,2)),"")</f>
        <v/>
      </c>
    </row>
    <row r="1950" ht="22" customHeight="1">
      <c r="B1950" s="8" t="inlineStr">
        <is>
          <t>R01946</t>
        </is>
      </c>
      <c r="C1950" s="8" t="inlineStr">
        <is>
          <t>MTR-WSH-002</t>
        </is>
      </c>
      <c r="D1950" s="8" t="inlineStr">
        <is>
          <t>Washing Hall</t>
        </is>
      </c>
      <c r="E1950" s="8" t="inlineStr">
        <is>
          <t>Washing Machine 3</t>
        </is>
      </c>
      <c r="F1950" s="8" t="inlineStr">
        <is>
          <t>2024-04-03 08:00</t>
        </is>
      </c>
      <c r="G1950" s="12" t="n">
        <v>90741.22</v>
      </c>
      <c r="H1950" s="8" t="inlineStr">
        <is>
          <t>m3</t>
        </is>
      </c>
      <c r="I1950" s="8" t="inlineStr">
        <is>
          <t>cumulative</t>
        </is>
      </c>
      <c r="J1950" s="8" t="inlineStr">
        <is>
          <t>CD</t>
        </is>
      </c>
      <c r="K1950" s="8" t="inlineStr"/>
      <c r="L1950" s="10">
        <f>IFERROR(IF(F1950&lt;F1949,"NEGATIVE",ROUND(F1950-F1949,2)),"")</f>
        <v/>
      </c>
    </row>
    <row r="1951" ht="22" customHeight="1">
      <c r="B1951" s="5" t="inlineStr">
        <is>
          <t>R01947</t>
        </is>
      </c>
      <c r="C1951" s="5" t="inlineStr">
        <is>
          <t>MTR-WSH-002</t>
        </is>
      </c>
      <c r="D1951" s="5" t="inlineStr">
        <is>
          <t>Washing Hall</t>
        </is>
      </c>
      <c r="E1951" s="5" t="inlineStr">
        <is>
          <t>Washing Machine 3</t>
        </is>
      </c>
      <c r="F1951" s="5" t="inlineStr">
        <is>
          <t>2024-04-04 08:00</t>
        </is>
      </c>
      <c r="G1951" s="11" t="n">
        <v>90775.64</v>
      </c>
      <c r="H1951" s="5" t="inlineStr">
        <is>
          <t>m3</t>
        </is>
      </c>
      <c r="I1951" s="5" t="inlineStr">
        <is>
          <t>cumulative</t>
        </is>
      </c>
      <c r="J1951" s="5" t="inlineStr">
        <is>
          <t>EF</t>
        </is>
      </c>
      <c r="K1951" s="5" t="inlineStr"/>
      <c r="L1951" s="7">
        <f>IFERROR(IF(F1951&lt;F1950,"NEGATIVE",ROUND(F1951-F1950,2)),"")</f>
        <v/>
      </c>
    </row>
    <row r="1952" ht="22" customHeight="1">
      <c r="B1952" s="8" t="inlineStr">
        <is>
          <t>R01948</t>
        </is>
      </c>
      <c r="C1952" s="8" t="inlineStr">
        <is>
          <t>MTR-WSH-002</t>
        </is>
      </c>
      <c r="D1952" s="8" t="inlineStr">
        <is>
          <t>Washing Hall</t>
        </is>
      </c>
      <c r="E1952" s="8" t="inlineStr">
        <is>
          <t>Washing Machine 3</t>
        </is>
      </c>
      <c r="F1952" s="8" t="inlineStr">
        <is>
          <t>2024-04-05 08:00</t>
        </is>
      </c>
      <c r="G1952" s="12" t="n">
        <v>90812.17999999999</v>
      </c>
      <c r="H1952" s="8" t="inlineStr">
        <is>
          <t>m3</t>
        </is>
      </c>
      <c r="I1952" s="8" t="inlineStr">
        <is>
          <t>cumulative</t>
        </is>
      </c>
      <c r="J1952" s="8" t="inlineStr">
        <is>
          <t>IJ</t>
        </is>
      </c>
      <c r="K1952" s="8" t="inlineStr"/>
      <c r="L1952" s="10">
        <f>IFERROR(IF(F1952&lt;F1951,"NEGATIVE",ROUND(F1952-F1951,2)),"")</f>
        <v/>
      </c>
    </row>
    <row r="1953" ht="22" customHeight="1">
      <c r="B1953" s="5" t="inlineStr">
        <is>
          <t>R01949</t>
        </is>
      </c>
      <c r="C1953" s="5" t="inlineStr">
        <is>
          <t>MTR-WSH-002</t>
        </is>
      </c>
      <c r="D1953" s="5" t="inlineStr">
        <is>
          <t>Washing Hall</t>
        </is>
      </c>
      <c r="E1953" s="5" t="inlineStr">
        <is>
          <t>Washing Machine 3</t>
        </is>
      </c>
      <c r="F1953" s="5" t="inlineStr">
        <is>
          <t>2024-04-06 08:00</t>
        </is>
      </c>
      <c r="G1953" s="11" t="n">
        <v>90840.63</v>
      </c>
      <c r="H1953" s="5" t="inlineStr">
        <is>
          <t>m3</t>
        </is>
      </c>
      <c r="I1953" s="5" t="inlineStr">
        <is>
          <t>cumulative</t>
        </is>
      </c>
      <c r="J1953" s="5" t="inlineStr">
        <is>
          <t>EF</t>
        </is>
      </c>
      <c r="K1953" s="5" t="inlineStr"/>
      <c r="L1953" s="7">
        <f>IFERROR(IF(F1953&lt;F1952,"NEGATIVE",ROUND(F1953-F1952,2)),"")</f>
        <v/>
      </c>
    </row>
    <row r="1954" ht="22" customHeight="1">
      <c r="B1954" s="8" t="inlineStr">
        <is>
          <t>R01950</t>
        </is>
      </c>
      <c r="C1954" s="8" t="inlineStr">
        <is>
          <t>MTR-WSH-002</t>
        </is>
      </c>
      <c r="D1954" s="8" t="inlineStr">
        <is>
          <t>Washing Hall</t>
        </is>
      </c>
      <c r="E1954" s="8" t="inlineStr">
        <is>
          <t>Washing Machine 3</t>
        </is>
      </c>
      <c r="F1954" s="8" t="inlineStr">
        <is>
          <t>2024-04-07 08:00</t>
        </is>
      </c>
      <c r="G1954" s="12" t="n">
        <v>90858.10000000001</v>
      </c>
      <c r="H1954" s="8" t="inlineStr">
        <is>
          <t>m3</t>
        </is>
      </c>
      <c r="I1954" s="8" t="inlineStr">
        <is>
          <t>cumulative</t>
        </is>
      </c>
      <c r="J1954" s="8" t="inlineStr">
        <is>
          <t>GH</t>
        </is>
      </c>
      <c r="K1954" s="8" t="inlineStr"/>
      <c r="L1954" s="10">
        <f>IFERROR(IF(F1954&lt;F1953,"NEGATIVE",ROUND(F1954-F1953,2)),"")</f>
        <v/>
      </c>
    </row>
    <row r="1955" ht="22" customHeight="1">
      <c r="B1955" s="5" t="inlineStr">
        <is>
          <t>R01951</t>
        </is>
      </c>
      <c r="C1955" s="5" t="inlineStr">
        <is>
          <t>MTR-WSH-002</t>
        </is>
      </c>
      <c r="D1955" s="5" t="inlineStr">
        <is>
          <t>Washing Hall</t>
        </is>
      </c>
      <c r="E1955" s="5" t="inlineStr">
        <is>
          <t>Washing Machine 3</t>
        </is>
      </c>
      <c r="F1955" s="5" t="inlineStr">
        <is>
          <t>2024-04-08 08:00</t>
        </is>
      </c>
      <c r="G1955" s="11" t="n">
        <v>90893.87</v>
      </c>
      <c r="H1955" s="5" t="inlineStr">
        <is>
          <t>m3</t>
        </is>
      </c>
      <c r="I1955" s="5" t="inlineStr">
        <is>
          <t>cumulative</t>
        </is>
      </c>
      <c r="J1955" s="5" t="inlineStr">
        <is>
          <t>CD</t>
        </is>
      </c>
      <c r="K1955" s="5" t="inlineStr"/>
      <c r="L1955" s="7">
        <f>IFERROR(IF(F1955&lt;F1954,"NEGATIVE",ROUND(F1955-F1954,2)),"")</f>
        <v/>
      </c>
    </row>
    <row r="1956" ht="22" customHeight="1">
      <c r="B1956" s="8" t="inlineStr">
        <is>
          <t>R01952</t>
        </is>
      </c>
      <c r="C1956" s="8" t="inlineStr">
        <is>
          <t>MTR-WSH-002</t>
        </is>
      </c>
      <c r="D1956" s="8" t="inlineStr">
        <is>
          <t>Washing Hall</t>
        </is>
      </c>
      <c r="E1956" s="8" t="inlineStr">
        <is>
          <t>Washing Machine 3</t>
        </is>
      </c>
      <c r="F1956" s="8" t="inlineStr">
        <is>
          <t>2024-04-09 08:00</t>
        </is>
      </c>
      <c r="G1956" s="12" t="n">
        <v>90927.41</v>
      </c>
      <c r="H1956" s="8" t="inlineStr">
        <is>
          <t>m3</t>
        </is>
      </c>
      <c r="I1956" s="8" t="inlineStr">
        <is>
          <t>cumulative</t>
        </is>
      </c>
      <c r="J1956" s="8" t="inlineStr">
        <is>
          <t>GH</t>
        </is>
      </c>
      <c r="K1956" s="8" t="inlineStr"/>
      <c r="L1956" s="10">
        <f>IFERROR(IF(F1956&lt;F1955,"NEGATIVE",ROUND(F1956-F1955,2)),"")</f>
        <v/>
      </c>
    </row>
    <row r="1957" ht="22" customHeight="1">
      <c r="B1957" s="5" t="inlineStr">
        <is>
          <t>R01953</t>
        </is>
      </c>
      <c r="C1957" s="5" t="inlineStr">
        <is>
          <t>MTR-WSH-002</t>
        </is>
      </c>
      <c r="D1957" s="5" t="inlineStr">
        <is>
          <t>Washing Hall</t>
        </is>
      </c>
      <c r="E1957" s="5" t="inlineStr">
        <is>
          <t>Washing Machine 3</t>
        </is>
      </c>
      <c r="F1957" s="5" t="inlineStr">
        <is>
          <t>2024-04-10 08:00</t>
        </is>
      </c>
      <c r="G1957" s="11" t="n">
        <v>90958.17999999999</v>
      </c>
      <c r="H1957" s="5" t="inlineStr">
        <is>
          <t>m3</t>
        </is>
      </c>
      <c r="I1957" s="5" t="inlineStr">
        <is>
          <t>cumulative</t>
        </is>
      </c>
      <c r="J1957" s="5" t="inlineStr">
        <is>
          <t>KL</t>
        </is>
      </c>
      <c r="K1957" s="5" t="inlineStr"/>
      <c r="L1957" s="7">
        <f>IFERROR(IF(F1957&lt;F1956,"NEGATIVE",ROUND(F1957-F1956,2)),"")</f>
        <v/>
      </c>
    </row>
    <row r="1958" ht="22" customHeight="1">
      <c r="B1958" s="8" t="inlineStr">
        <is>
          <t>R01954</t>
        </is>
      </c>
      <c r="C1958" s="8" t="inlineStr">
        <is>
          <t>MTR-WSH-002</t>
        </is>
      </c>
      <c r="D1958" s="8" t="inlineStr">
        <is>
          <t>Washing Hall</t>
        </is>
      </c>
      <c r="E1958" s="8" t="inlineStr">
        <is>
          <t>Washing Machine 3</t>
        </is>
      </c>
      <c r="F1958" s="8" t="inlineStr">
        <is>
          <t>2024-04-11 08:00</t>
        </is>
      </c>
      <c r="G1958" s="12" t="n">
        <v>90994.75</v>
      </c>
      <c r="H1958" s="8" t="inlineStr">
        <is>
          <t>m3</t>
        </is>
      </c>
      <c r="I1958" s="8" t="inlineStr">
        <is>
          <t>cumulative</t>
        </is>
      </c>
      <c r="J1958" s="8" t="inlineStr">
        <is>
          <t>AB</t>
        </is>
      </c>
      <c r="K1958" s="8" t="inlineStr"/>
      <c r="L1958" s="10">
        <f>IFERROR(IF(F1958&lt;F1957,"NEGATIVE",ROUND(F1958-F1957,2)),"")</f>
        <v/>
      </c>
    </row>
    <row r="1959" ht="22" customHeight="1">
      <c r="B1959" s="5" t="inlineStr">
        <is>
          <t>R01955</t>
        </is>
      </c>
      <c r="C1959" s="5" t="inlineStr">
        <is>
          <t>MTR-WSH-002</t>
        </is>
      </c>
      <c r="D1959" s="5" t="inlineStr">
        <is>
          <t>Washing Hall</t>
        </is>
      </c>
      <c r="E1959" s="5" t="inlineStr">
        <is>
          <t>Washing Machine 3</t>
        </is>
      </c>
      <c r="F1959" s="5" t="inlineStr">
        <is>
          <t>2024-04-12 08:00</t>
        </is>
      </c>
      <c r="G1959" s="11" t="n">
        <v>91025.14999999999</v>
      </c>
      <c r="H1959" s="5" t="inlineStr">
        <is>
          <t>m3</t>
        </is>
      </c>
      <c r="I1959" s="5" t="inlineStr">
        <is>
          <t>cumulative</t>
        </is>
      </c>
      <c r="J1959" s="5" t="inlineStr">
        <is>
          <t>CD</t>
        </is>
      </c>
      <c r="K1959" s="5" t="inlineStr"/>
      <c r="L1959" s="7">
        <f>IFERROR(IF(F1959&lt;F1958,"NEGATIVE",ROUND(F1959-F1958,2)),"")</f>
        <v/>
      </c>
    </row>
    <row r="1960" ht="22" customHeight="1">
      <c r="B1960" s="8" t="inlineStr">
        <is>
          <t>R01956</t>
        </is>
      </c>
      <c r="C1960" s="8" t="inlineStr">
        <is>
          <t>MTR-WSH-002</t>
        </is>
      </c>
      <c r="D1960" s="8" t="inlineStr">
        <is>
          <t>Washing Hall</t>
        </is>
      </c>
      <c r="E1960" s="8" t="inlineStr">
        <is>
          <t>Washing Machine 3</t>
        </is>
      </c>
      <c r="F1960" s="8" t="inlineStr">
        <is>
          <t>2024-04-13 08:00</t>
        </is>
      </c>
      <c r="G1960" s="12" t="n">
        <v>91048.23</v>
      </c>
      <c r="H1960" s="8" t="inlineStr">
        <is>
          <t>m3</t>
        </is>
      </c>
      <c r="I1960" s="8" t="inlineStr">
        <is>
          <t>cumulative</t>
        </is>
      </c>
      <c r="J1960" s="8" t="inlineStr">
        <is>
          <t>EF</t>
        </is>
      </c>
      <c r="K1960" s="8" t="inlineStr"/>
      <c r="L1960" s="10">
        <f>IFERROR(IF(F1960&lt;F1959,"NEGATIVE",ROUND(F1960-F1959,2)),"")</f>
        <v/>
      </c>
    </row>
    <row r="1961" ht="22" customHeight="1">
      <c r="B1961" s="5" t="inlineStr">
        <is>
          <t>R01957</t>
        </is>
      </c>
      <c r="C1961" s="5" t="inlineStr">
        <is>
          <t>MTR-WSH-002</t>
        </is>
      </c>
      <c r="D1961" s="5" t="inlineStr">
        <is>
          <t>Washing Hall</t>
        </is>
      </c>
      <c r="E1961" s="5" t="inlineStr">
        <is>
          <t>Washing Machine 3</t>
        </is>
      </c>
      <c r="F1961" s="5" t="inlineStr">
        <is>
          <t>2024-04-14 08:00</t>
        </is>
      </c>
      <c r="G1961" s="11" t="n">
        <v>91062.82000000001</v>
      </c>
      <c r="H1961" s="5" t="inlineStr">
        <is>
          <t>m3</t>
        </is>
      </c>
      <c r="I1961" s="5" t="inlineStr">
        <is>
          <t>cumulative</t>
        </is>
      </c>
      <c r="J1961" s="5" t="inlineStr">
        <is>
          <t>GH</t>
        </is>
      </c>
      <c r="K1961" s="5" t="inlineStr"/>
      <c r="L1961" s="7">
        <f>IFERROR(IF(F1961&lt;F1960,"NEGATIVE",ROUND(F1961-F1960,2)),"")</f>
        <v/>
      </c>
    </row>
    <row r="1962" ht="22" customHeight="1">
      <c r="B1962" s="8" t="inlineStr">
        <is>
          <t>R01958</t>
        </is>
      </c>
      <c r="C1962" s="8" t="inlineStr">
        <is>
          <t>MTR-WSH-002</t>
        </is>
      </c>
      <c r="D1962" s="8" t="inlineStr">
        <is>
          <t>Washing Hall</t>
        </is>
      </c>
      <c r="E1962" s="8" t="inlineStr">
        <is>
          <t>Washing Machine 3</t>
        </is>
      </c>
      <c r="F1962" s="8" t="inlineStr">
        <is>
          <t>2024-04-15 08:00</t>
        </is>
      </c>
      <c r="G1962" s="12" t="n">
        <v>91096.24000000001</v>
      </c>
      <c r="H1962" s="8" t="inlineStr">
        <is>
          <t>m3</t>
        </is>
      </c>
      <c r="I1962" s="8" t="inlineStr">
        <is>
          <t>cumulative</t>
        </is>
      </c>
      <c r="J1962" s="8" t="inlineStr">
        <is>
          <t>AB</t>
        </is>
      </c>
      <c r="K1962" s="8" t="inlineStr"/>
      <c r="L1962" s="10">
        <f>IFERROR(IF(F1962&lt;F1961,"NEGATIVE",ROUND(F1962-F1961,2)),"")</f>
        <v/>
      </c>
    </row>
    <row r="1963" ht="22" customHeight="1">
      <c r="B1963" s="5" t="inlineStr">
        <is>
          <t>R01959</t>
        </is>
      </c>
      <c r="C1963" s="5" t="inlineStr">
        <is>
          <t>MTR-WSH-002</t>
        </is>
      </c>
      <c r="D1963" s="5" t="inlineStr">
        <is>
          <t>Washing Hall</t>
        </is>
      </c>
      <c r="E1963" s="5" t="inlineStr">
        <is>
          <t>Washing Machine 3</t>
        </is>
      </c>
      <c r="F1963" s="5" t="inlineStr">
        <is>
          <t>2024-04-16 08:00</t>
        </is>
      </c>
      <c r="G1963" s="11" t="n">
        <v>91126.58</v>
      </c>
      <c r="H1963" s="5" t="inlineStr">
        <is>
          <t>m3</t>
        </is>
      </c>
      <c r="I1963" s="5" t="inlineStr">
        <is>
          <t>cumulative</t>
        </is>
      </c>
      <c r="J1963" s="5" t="inlineStr">
        <is>
          <t>CD</t>
        </is>
      </c>
      <c r="K1963" s="5" t="inlineStr"/>
      <c r="L1963" s="7">
        <f>IFERROR(IF(F1963&lt;F1962,"NEGATIVE",ROUND(F1963-F1962,2)),"")</f>
        <v/>
      </c>
    </row>
    <row r="1964" ht="22" customHeight="1">
      <c r="B1964" s="8" t="inlineStr">
        <is>
          <t>R01960</t>
        </is>
      </c>
      <c r="C1964" s="8" t="inlineStr">
        <is>
          <t>MTR-WSH-002</t>
        </is>
      </c>
      <c r="D1964" s="8" t="inlineStr">
        <is>
          <t>Washing Hall</t>
        </is>
      </c>
      <c r="E1964" s="8" t="inlineStr">
        <is>
          <t>Washing Machine 3</t>
        </is>
      </c>
      <c r="F1964" s="8" t="inlineStr">
        <is>
          <t>2024-04-17 08:00</t>
        </is>
      </c>
      <c r="G1964" s="12" t="n">
        <v>91158.67999999999</v>
      </c>
      <c r="H1964" s="8" t="inlineStr">
        <is>
          <t>m3</t>
        </is>
      </c>
      <c r="I1964" s="8" t="inlineStr">
        <is>
          <t>cumulative</t>
        </is>
      </c>
      <c r="J1964" s="8" t="inlineStr">
        <is>
          <t>GH</t>
        </is>
      </c>
      <c r="K1964" s="8" t="inlineStr"/>
      <c r="L1964" s="10">
        <f>IFERROR(IF(F1964&lt;F1963,"NEGATIVE",ROUND(F1964-F1963,2)),"")</f>
        <v/>
      </c>
    </row>
    <row r="1965" ht="22" customHeight="1">
      <c r="B1965" s="5" t="inlineStr">
        <is>
          <t>R01961</t>
        </is>
      </c>
      <c r="C1965" s="5" t="inlineStr">
        <is>
          <t>MTR-WSH-002</t>
        </is>
      </c>
      <c r="D1965" s="5" t="inlineStr">
        <is>
          <t>Washing Hall</t>
        </is>
      </c>
      <c r="E1965" s="5" t="inlineStr">
        <is>
          <t>Washing Machine 3</t>
        </is>
      </c>
      <c r="F1965" s="5" t="inlineStr">
        <is>
          <t>2024-04-18 08:00</t>
        </is>
      </c>
      <c r="G1965" s="11" t="n">
        <v>91189.89999999999</v>
      </c>
      <c r="H1965" s="5" t="inlineStr">
        <is>
          <t>m3</t>
        </is>
      </c>
      <c r="I1965" s="5" t="inlineStr">
        <is>
          <t>cumulative</t>
        </is>
      </c>
      <c r="J1965" s="5" t="inlineStr">
        <is>
          <t>GH</t>
        </is>
      </c>
      <c r="K1965" s="5" t="inlineStr"/>
      <c r="L1965" s="7">
        <f>IFERROR(IF(F1965&lt;F1964,"NEGATIVE",ROUND(F1965-F1964,2)),"")</f>
        <v/>
      </c>
    </row>
    <row r="1966" ht="22" customHeight="1">
      <c r="B1966" s="8" t="inlineStr">
        <is>
          <t>R01962</t>
        </is>
      </c>
      <c r="C1966" s="8" t="inlineStr">
        <is>
          <t>MTR-WSH-002</t>
        </is>
      </c>
      <c r="D1966" s="8" t="inlineStr">
        <is>
          <t>Washing Hall</t>
        </is>
      </c>
      <c r="E1966" s="8" t="inlineStr">
        <is>
          <t>Washing Machine 3</t>
        </is>
      </c>
      <c r="F1966" s="8" t="inlineStr">
        <is>
          <t>2024-04-19 08:00</t>
        </is>
      </c>
      <c r="G1966" s="12" t="n">
        <v>91217.78</v>
      </c>
      <c r="H1966" s="8" t="inlineStr">
        <is>
          <t>m3</t>
        </is>
      </c>
      <c r="I1966" s="8" t="inlineStr">
        <is>
          <t>cumulative</t>
        </is>
      </c>
      <c r="J1966" s="8" t="inlineStr">
        <is>
          <t>AB</t>
        </is>
      </c>
      <c r="K1966" s="8" t="inlineStr"/>
      <c r="L1966" s="10">
        <f>IFERROR(IF(F1966&lt;F1965,"NEGATIVE",ROUND(F1966-F1965,2)),"")</f>
        <v/>
      </c>
    </row>
    <row r="1967" ht="22" customHeight="1">
      <c r="B1967" s="5" t="inlineStr">
        <is>
          <t>R01963</t>
        </is>
      </c>
      <c r="C1967" s="5" t="inlineStr">
        <is>
          <t>MTR-WSH-002</t>
        </is>
      </c>
      <c r="D1967" s="5" t="inlineStr">
        <is>
          <t>Washing Hall</t>
        </is>
      </c>
      <c r="E1967" s="5" t="inlineStr">
        <is>
          <t>Washing Machine 3</t>
        </is>
      </c>
      <c r="F1967" s="5" t="inlineStr">
        <is>
          <t>2024-04-20 08:00</t>
        </is>
      </c>
      <c r="G1967" s="11" t="n">
        <v>91240.78</v>
      </c>
      <c r="H1967" s="5" t="inlineStr">
        <is>
          <t>m3</t>
        </is>
      </c>
      <c r="I1967" s="5" t="inlineStr">
        <is>
          <t>cumulative</t>
        </is>
      </c>
      <c r="J1967" s="5" t="inlineStr">
        <is>
          <t>EF</t>
        </is>
      </c>
      <c r="K1967" s="5" t="inlineStr"/>
      <c r="L1967" s="7">
        <f>IFERROR(IF(F1967&lt;F1966,"NEGATIVE",ROUND(F1967-F1966,2)),"")</f>
        <v/>
      </c>
    </row>
    <row r="1968" ht="22" customHeight="1">
      <c r="B1968" s="8" t="inlineStr">
        <is>
          <t>R01964</t>
        </is>
      </c>
      <c r="C1968" s="8" t="inlineStr">
        <is>
          <t>MTR-WSH-002</t>
        </is>
      </c>
      <c r="D1968" s="8" t="inlineStr">
        <is>
          <t>Washing Hall</t>
        </is>
      </c>
      <c r="E1968" s="8" t="inlineStr">
        <is>
          <t>Washing Machine 3</t>
        </is>
      </c>
      <c r="F1968" s="8" t="inlineStr">
        <is>
          <t>2024-04-21 08:00</t>
        </is>
      </c>
      <c r="G1968" s="12" t="n">
        <v>91256.12</v>
      </c>
      <c r="H1968" s="8" t="inlineStr">
        <is>
          <t>m3</t>
        </is>
      </c>
      <c r="I1968" s="8" t="inlineStr">
        <is>
          <t>cumulative</t>
        </is>
      </c>
      <c r="J1968" s="8" t="inlineStr">
        <is>
          <t>KL</t>
        </is>
      </c>
      <c r="K1968" s="8" t="inlineStr"/>
      <c r="L1968" s="10">
        <f>IFERROR(IF(F1968&lt;F1967,"NEGATIVE",ROUND(F1968-F1967,2)),"")</f>
        <v/>
      </c>
    </row>
    <row r="1969" ht="22" customHeight="1">
      <c r="B1969" s="5" t="inlineStr">
        <is>
          <t>R01965</t>
        </is>
      </c>
      <c r="C1969" s="5" t="inlineStr">
        <is>
          <t>MTR-WSH-002</t>
        </is>
      </c>
      <c r="D1969" s="5" t="inlineStr">
        <is>
          <t>Washing Hall</t>
        </is>
      </c>
      <c r="E1969" s="5" t="inlineStr">
        <is>
          <t>Washing Machine 3</t>
        </is>
      </c>
      <c r="F1969" s="5" t="inlineStr">
        <is>
          <t>2024-04-22 08:00</t>
        </is>
      </c>
      <c r="G1969" s="11" t="n">
        <v>91289.25999999999</v>
      </c>
      <c r="H1969" s="5" t="inlineStr">
        <is>
          <t>m3</t>
        </is>
      </c>
      <c r="I1969" s="5" t="inlineStr">
        <is>
          <t>cumulative</t>
        </is>
      </c>
      <c r="J1969" s="5" t="inlineStr">
        <is>
          <t>KL</t>
        </is>
      </c>
      <c r="K1969" s="5" t="inlineStr"/>
      <c r="L1969" s="7">
        <f>IFERROR(IF(F1969&lt;F1968,"NEGATIVE",ROUND(F1969-F1968,2)),"")</f>
        <v/>
      </c>
    </row>
    <row r="1970" ht="22" customHeight="1">
      <c r="B1970" s="8" t="inlineStr">
        <is>
          <t>R01966</t>
        </is>
      </c>
      <c r="C1970" s="8" t="inlineStr">
        <is>
          <t>MTR-WSH-002</t>
        </is>
      </c>
      <c r="D1970" s="8" t="inlineStr">
        <is>
          <t>Washing Hall</t>
        </is>
      </c>
      <c r="E1970" s="8" t="inlineStr">
        <is>
          <t>Washing Machine 3</t>
        </is>
      </c>
      <c r="F1970" s="8" t="inlineStr">
        <is>
          <t>2024-04-23 08:00</t>
        </is>
      </c>
      <c r="G1970" s="12" t="n">
        <v>91316.56</v>
      </c>
      <c r="H1970" s="8" t="inlineStr">
        <is>
          <t>m3</t>
        </is>
      </c>
      <c r="I1970" s="8" t="inlineStr">
        <is>
          <t>cumulative</t>
        </is>
      </c>
      <c r="J1970" s="8" t="inlineStr">
        <is>
          <t>CD</t>
        </is>
      </c>
      <c r="K1970" s="8" t="inlineStr"/>
      <c r="L1970" s="10">
        <f>IFERROR(IF(F1970&lt;F1969,"NEGATIVE",ROUND(F1970-F1969,2)),"")</f>
        <v/>
      </c>
    </row>
    <row r="1971" ht="22" customHeight="1">
      <c r="B1971" s="5" t="inlineStr">
        <is>
          <t>R01967</t>
        </is>
      </c>
      <c r="C1971" s="5" t="inlineStr">
        <is>
          <t>MTR-WSH-002</t>
        </is>
      </c>
      <c r="D1971" s="5" t="inlineStr">
        <is>
          <t>Washing Hall</t>
        </is>
      </c>
      <c r="E1971" s="5" t="inlineStr">
        <is>
          <t>Washing Machine 3</t>
        </is>
      </c>
      <c r="F1971" s="5" t="inlineStr">
        <is>
          <t>2024-04-24 08:00</t>
        </is>
      </c>
      <c r="G1971" s="11" t="n">
        <v>91348.16</v>
      </c>
      <c r="H1971" s="5" t="inlineStr">
        <is>
          <t>m3</t>
        </is>
      </c>
      <c r="I1971" s="5" t="inlineStr">
        <is>
          <t>cumulative</t>
        </is>
      </c>
      <c r="J1971" s="5" t="inlineStr">
        <is>
          <t>CD</t>
        </is>
      </c>
      <c r="K1971" s="5" t="inlineStr"/>
      <c r="L1971" s="7">
        <f>IFERROR(IF(F1971&lt;F1970,"NEGATIVE",ROUND(F1971-F1970,2)),"")</f>
        <v/>
      </c>
    </row>
    <row r="1972" ht="22" customHeight="1">
      <c r="B1972" s="8" t="inlineStr">
        <is>
          <t>R01968</t>
        </is>
      </c>
      <c r="C1972" s="8" t="inlineStr">
        <is>
          <t>MTR-WSH-002</t>
        </is>
      </c>
      <c r="D1972" s="8" t="inlineStr">
        <is>
          <t>Washing Hall</t>
        </is>
      </c>
      <c r="E1972" s="8" t="inlineStr">
        <is>
          <t>Washing Machine 3</t>
        </is>
      </c>
      <c r="F1972" s="8" t="inlineStr">
        <is>
          <t>2024-04-25 08:00</t>
        </is>
      </c>
      <c r="G1972" s="12" t="n">
        <v>91378.02</v>
      </c>
      <c r="H1972" s="8" t="inlineStr">
        <is>
          <t>m3</t>
        </is>
      </c>
      <c r="I1972" s="8" t="inlineStr">
        <is>
          <t>cumulative</t>
        </is>
      </c>
      <c r="J1972" s="8" t="inlineStr">
        <is>
          <t>KL</t>
        </is>
      </c>
      <c r="K1972" s="8" t="inlineStr"/>
      <c r="L1972" s="10">
        <f>IFERROR(IF(F1972&lt;F1971,"NEGATIVE",ROUND(F1972-F1971,2)),"")</f>
        <v/>
      </c>
    </row>
    <row r="1973" ht="22" customHeight="1">
      <c r="B1973" s="5" t="inlineStr">
        <is>
          <t>R01969</t>
        </is>
      </c>
      <c r="C1973" s="5" t="inlineStr">
        <is>
          <t>MTR-WSH-002</t>
        </is>
      </c>
      <c r="D1973" s="5" t="inlineStr">
        <is>
          <t>Washing Hall</t>
        </is>
      </c>
      <c r="E1973" s="5" t="inlineStr">
        <is>
          <t>Washing Machine 3</t>
        </is>
      </c>
      <c r="F1973" s="5" t="inlineStr">
        <is>
          <t>2024-04-26 08:00</t>
        </is>
      </c>
      <c r="G1973" s="11" t="n">
        <v>91411.78</v>
      </c>
      <c r="H1973" s="5" t="inlineStr">
        <is>
          <t>m3</t>
        </is>
      </c>
      <c r="I1973" s="5" t="inlineStr">
        <is>
          <t>cumulative</t>
        </is>
      </c>
      <c r="J1973" s="5" t="inlineStr">
        <is>
          <t>GH</t>
        </is>
      </c>
      <c r="K1973" s="5" t="inlineStr"/>
      <c r="L1973" s="7">
        <f>IFERROR(IF(F1973&lt;F1972,"NEGATIVE",ROUND(F1973-F1972,2)),"")</f>
        <v/>
      </c>
    </row>
    <row r="1974" ht="22" customHeight="1">
      <c r="B1974" s="8" t="inlineStr">
        <is>
          <t>R01970</t>
        </is>
      </c>
      <c r="C1974" s="8" t="inlineStr">
        <is>
          <t>MTR-WSH-002</t>
        </is>
      </c>
      <c r="D1974" s="8" t="inlineStr">
        <is>
          <t>Washing Hall</t>
        </is>
      </c>
      <c r="E1974" s="8" t="inlineStr">
        <is>
          <t>Washing Machine 3</t>
        </is>
      </c>
      <c r="F1974" s="8" t="inlineStr">
        <is>
          <t>2024-04-27 08:00</t>
        </is>
      </c>
      <c r="G1974" s="12" t="n">
        <v>91439.78</v>
      </c>
      <c r="H1974" s="8" t="inlineStr">
        <is>
          <t>m3</t>
        </is>
      </c>
      <c r="I1974" s="8" t="inlineStr">
        <is>
          <t>cumulative</t>
        </is>
      </c>
      <c r="J1974" s="8" t="inlineStr">
        <is>
          <t>EF</t>
        </is>
      </c>
      <c r="K1974" s="8" t="inlineStr"/>
      <c r="L1974" s="10">
        <f>IFERROR(IF(F1974&lt;F1973,"NEGATIVE",ROUND(F1974-F1973,2)),"")</f>
        <v/>
      </c>
    </row>
    <row r="1975" ht="22" customHeight="1">
      <c r="B1975" s="5" t="inlineStr">
        <is>
          <t>R01971</t>
        </is>
      </c>
      <c r="C1975" s="5" t="inlineStr">
        <is>
          <t>MTR-WSH-002</t>
        </is>
      </c>
      <c r="D1975" s="5" t="inlineStr">
        <is>
          <t>Washing Hall</t>
        </is>
      </c>
      <c r="E1975" s="5" t="inlineStr">
        <is>
          <t>Washing Machine 3</t>
        </is>
      </c>
      <c r="F1975" s="5" t="inlineStr">
        <is>
          <t>2024-04-28 08:00</t>
        </is>
      </c>
      <c r="G1975" s="11" t="n">
        <v>91458.11</v>
      </c>
      <c r="H1975" s="5" t="inlineStr">
        <is>
          <t>m3</t>
        </is>
      </c>
      <c r="I1975" s="5" t="inlineStr">
        <is>
          <t>cumulative</t>
        </is>
      </c>
      <c r="J1975" s="5" t="inlineStr">
        <is>
          <t>AB</t>
        </is>
      </c>
      <c r="K1975" s="5" t="inlineStr"/>
      <c r="L1975" s="7">
        <f>IFERROR(IF(F1975&lt;F1974,"NEGATIVE",ROUND(F1975-F1974,2)),"")</f>
        <v/>
      </c>
    </row>
    <row r="1976" ht="22" customHeight="1">
      <c r="B1976" s="8" t="inlineStr">
        <is>
          <t>R01972</t>
        </is>
      </c>
      <c r="C1976" s="8" t="inlineStr">
        <is>
          <t>MTR-WSH-002</t>
        </is>
      </c>
      <c r="D1976" s="8" t="inlineStr">
        <is>
          <t>Washing Hall</t>
        </is>
      </c>
      <c r="E1976" s="8" t="inlineStr">
        <is>
          <t>Washing Machine 3</t>
        </is>
      </c>
      <c r="F1976" s="8" t="inlineStr">
        <is>
          <t>2024-04-29 08:00</t>
        </is>
      </c>
      <c r="G1976" s="12" t="n">
        <v>91492.17</v>
      </c>
      <c r="H1976" s="8" t="inlineStr">
        <is>
          <t>m3</t>
        </is>
      </c>
      <c r="I1976" s="8" t="inlineStr">
        <is>
          <t>cumulative</t>
        </is>
      </c>
      <c r="J1976" s="8" t="inlineStr">
        <is>
          <t>GH</t>
        </is>
      </c>
      <c r="K1976" s="8" t="inlineStr"/>
      <c r="L1976" s="10">
        <f>IFERROR(IF(F1976&lt;F1975,"NEGATIVE",ROUND(F1976-F1975,2)),"")</f>
        <v/>
      </c>
    </row>
    <row r="1977" ht="22" customHeight="1">
      <c r="B1977" s="5" t="inlineStr">
        <is>
          <t>R01973</t>
        </is>
      </c>
      <c r="C1977" s="5" t="inlineStr">
        <is>
          <t>MTR-WSH-002</t>
        </is>
      </c>
      <c r="D1977" s="5" t="inlineStr">
        <is>
          <t>Washing Hall</t>
        </is>
      </c>
      <c r="E1977" s="5" t="inlineStr">
        <is>
          <t>Washing Machine 3</t>
        </is>
      </c>
      <c r="F1977" s="5" t="inlineStr">
        <is>
          <t>2024-04-30 08:00</t>
        </is>
      </c>
      <c r="G1977" s="11" t="n">
        <v>91523.61</v>
      </c>
      <c r="H1977" s="5" t="inlineStr">
        <is>
          <t>m3</t>
        </is>
      </c>
      <c r="I1977" s="5" t="inlineStr">
        <is>
          <t>cumulative</t>
        </is>
      </c>
      <c r="J1977" s="5" t="inlineStr">
        <is>
          <t>AB</t>
        </is>
      </c>
      <c r="K1977" s="5" t="inlineStr"/>
      <c r="L1977" s="7">
        <f>IFERROR(IF(F1977&lt;F1976,"NEGATIVE",ROUND(F1977-F1976,2)),"")</f>
        <v/>
      </c>
    </row>
    <row r="1978" ht="22" customHeight="1">
      <c r="B1978" s="8" t="inlineStr">
        <is>
          <t>R01974</t>
        </is>
      </c>
      <c r="C1978" s="8" t="inlineStr">
        <is>
          <t>MTR-WSH-002</t>
        </is>
      </c>
      <c r="D1978" s="8" t="inlineStr">
        <is>
          <t>Washing Hall</t>
        </is>
      </c>
      <c r="E1978" s="8" t="inlineStr">
        <is>
          <t>Washing Machine 3</t>
        </is>
      </c>
      <c r="F1978" s="8" t="inlineStr">
        <is>
          <t>2024-05-01 08:00</t>
        </is>
      </c>
      <c r="G1978" s="12" t="n">
        <v>91552.35000000001</v>
      </c>
      <c r="H1978" s="8" t="inlineStr">
        <is>
          <t>m3</t>
        </is>
      </c>
      <c r="I1978" s="8" t="inlineStr">
        <is>
          <t>cumulative</t>
        </is>
      </c>
      <c r="J1978" s="8" t="inlineStr">
        <is>
          <t>KL</t>
        </is>
      </c>
      <c r="K1978" s="8" t="inlineStr"/>
      <c r="L1978" s="10">
        <f>IFERROR(IF(F1978&lt;F1977,"NEGATIVE",ROUND(F1978-F1977,2)),"")</f>
        <v/>
      </c>
    </row>
    <row r="1979" ht="22" customHeight="1">
      <c r="B1979" s="5" t="inlineStr">
        <is>
          <t>R01975</t>
        </is>
      </c>
      <c r="C1979" s="5" t="inlineStr">
        <is>
          <t>MTR-WSH-002</t>
        </is>
      </c>
      <c r="D1979" s="5" t="inlineStr">
        <is>
          <t>Washing Hall</t>
        </is>
      </c>
      <c r="E1979" s="5" t="inlineStr">
        <is>
          <t>Washing Machine 3</t>
        </is>
      </c>
      <c r="F1979" s="5" t="inlineStr">
        <is>
          <t>2024-05-02 08:00</t>
        </is>
      </c>
      <c r="G1979" s="11" t="n">
        <v>91582.28999999999</v>
      </c>
      <c r="H1979" s="5" t="inlineStr">
        <is>
          <t>m3</t>
        </is>
      </c>
      <c r="I1979" s="5" t="inlineStr">
        <is>
          <t>cumulative</t>
        </is>
      </c>
      <c r="J1979" s="5" t="inlineStr">
        <is>
          <t>IJ</t>
        </is>
      </c>
      <c r="K1979" s="5" t="inlineStr"/>
      <c r="L1979" s="7">
        <f>IFERROR(IF(F1979&lt;F1978,"NEGATIVE",ROUND(F1979-F1978,2)),"")</f>
        <v/>
      </c>
    </row>
    <row r="1980" ht="22" customHeight="1">
      <c r="B1980" s="8" t="inlineStr">
        <is>
          <t>R01976</t>
        </is>
      </c>
      <c r="C1980" s="8" t="inlineStr">
        <is>
          <t>MTR-WSH-002</t>
        </is>
      </c>
      <c r="D1980" s="8" t="inlineStr">
        <is>
          <t>Washing Hall</t>
        </is>
      </c>
      <c r="E1980" s="8" t="inlineStr">
        <is>
          <t>Washing Machine 3</t>
        </is>
      </c>
      <c r="F1980" s="8" t="inlineStr">
        <is>
          <t>2024-05-03 08:00</t>
        </is>
      </c>
      <c r="G1980" s="12" t="n">
        <v>91616.63</v>
      </c>
      <c r="H1980" s="8" t="inlineStr">
        <is>
          <t>m3</t>
        </is>
      </c>
      <c r="I1980" s="8" t="inlineStr">
        <is>
          <t>cumulative</t>
        </is>
      </c>
      <c r="J1980" s="8" t="inlineStr">
        <is>
          <t>IJ</t>
        </is>
      </c>
      <c r="K1980" s="8" t="inlineStr"/>
      <c r="L1980" s="10">
        <f>IFERROR(IF(F1980&lt;F1979,"NEGATIVE",ROUND(F1980-F1979,2)),"")</f>
        <v/>
      </c>
    </row>
    <row r="1981" ht="22" customHeight="1">
      <c r="B1981" s="5" t="inlineStr">
        <is>
          <t>R01977</t>
        </is>
      </c>
      <c r="C1981" s="5" t="inlineStr">
        <is>
          <t>MTR-WSH-002</t>
        </is>
      </c>
      <c r="D1981" s="5" t="inlineStr">
        <is>
          <t>Washing Hall</t>
        </is>
      </c>
      <c r="E1981" s="5" t="inlineStr">
        <is>
          <t>Washing Machine 3</t>
        </is>
      </c>
      <c r="F1981" s="5" t="inlineStr">
        <is>
          <t>2024-05-04 08:00</t>
        </is>
      </c>
      <c r="G1981" s="11" t="n">
        <v>91643.34</v>
      </c>
      <c r="H1981" s="5" t="inlineStr">
        <is>
          <t>m3</t>
        </is>
      </c>
      <c r="I1981" s="5" t="inlineStr">
        <is>
          <t>cumulative</t>
        </is>
      </c>
      <c r="J1981" s="5" t="inlineStr">
        <is>
          <t>EF</t>
        </is>
      </c>
      <c r="K1981" s="5" t="inlineStr"/>
      <c r="L1981" s="7">
        <f>IFERROR(IF(F1981&lt;F1980,"NEGATIVE",ROUND(F1981-F1980,2)),"")</f>
        <v/>
      </c>
    </row>
    <row r="1982" ht="22" customHeight="1">
      <c r="B1982" s="8" t="inlineStr">
        <is>
          <t>R01978</t>
        </is>
      </c>
      <c r="C1982" s="8" t="inlineStr">
        <is>
          <t>MTR-WSH-002</t>
        </is>
      </c>
      <c r="D1982" s="8" t="inlineStr">
        <is>
          <t>Washing Hall</t>
        </is>
      </c>
      <c r="E1982" s="8" t="inlineStr">
        <is>
          <t>Washing Machine 3</t>
        </is>
      </c>
      <c r="F1982" s="8" t="inlineStr">
        <is>
          <t>2024-05-05 08:00</t>
        </is>
      </c>
      <c r="G1982" s="12" t="n">
        <v>91660.87</v>
      </c>
      <c r="H1982" s="8" t="inlineStr">
        <is>
          <t>m3</t>
        </is>
      </c>
      <c r="I1982" s="8" t="inlineStr">
        <is>
          <t>cumulative</t>
        </is>
      </c>
      <c r="J1982" s="8" t="inlineStr">
        <is>
          <t>KL</t>
        </is>
      </c>
      <c r="K1982" s="8" t="inlineStr"/>
      <c r="L1982" s="10">
        <f>IFERROR(IF(F1982&lt;F1981,"NEGATIVE",ROUND(F1982-F1981,2)),"")</f>
        <v/>
      </c>
    </row>
    <row r="1983" ht="22" customHeight="1">
      <c r="B1983" s="5" t="inlineStr">
        <is>
          <t>R01979</t>
        </is>
      </c>
      <c r="C1983" s="5" t="inlineStr">
        <is>
          <t>MTR-WSH-002</t>
        </is>
      </c>
      <c r="D1983" s="5" t="inlineStr">
        <is>
          <t>Washing Hall</t>
        </is>
      </c>
      <c r="E1983" s="5" t="inlineStr">
        <is>
          <t>Washing Machine 3</t>
        </is>
      </c>
      <c r="F1983" s="5" t="inlineStr">
        <is>
          <t>2024-05-06 08:00</t>
        </is>
      </c>
      <c r="G1983" s="11" t="n">
        <v>91693.31</v>
      </c>
      <c r="H1983" s="5" t="inlineStr">
        <is>
          <t>m3</t>
        </is>
      </c>
      <c r="I1983" s="5" t="inlineStr">
        <is>
          <t>cumulative</t>
        </is>
      </c>
      <c r="J1983" s="5" t="inlineStr">
        <is>
          <t>EF</t>
        </is>
      </c>
      <c r="K1983" s="5" t="inlineStr"/>
      <c r="L1983" s="7">
        <f>IFERROR(IF(F1983&lt;F1982,"NEGATIVE",ROUND(F1983-F1982,2)),"")</f>
        <v/>
      </c>
    </row>
    <row r="1984" ht="22" customHeight="1">
      <c r="B1984" s="8" t="inlineStr">
        <is>
          <t>R01980</t>
        </is>
      </c>
      <c r="C1984" s="8" t="inlineStr">
        <is>
          <t>MTR-WSH-002</t>
        </is>
      </c>
      <c r="D1984" s="8" t="inlineStr">
        <is>
          <t>Washing Hall</t>
        </is>
      </c>
      <c r="E1984" s="8" t="inlineStr">
        <is>
          <t>Washing Machine 3</t>
        </is>
      </c>
      <c r="F1984" s="8" t="inlineStr">
        <is>
          <t>2024-05-07 08:00</t>
        </is>
      </c>
      <c r="G1984" s="12" t="n">
        <v>91722.87</v>
      </c>
      <c r="H1984" s="8" t="inlineStr">
        <is>
          <t>m3</t>
        </is>
      </c>
      <c r="I1984" s="8" t="inlineStr">
        <is>
          <t>cumulative</t>
        </is>
      </c>
      <c r="J1984" s="8" t="inlineStr">
        <is>
          <t>EF</t>
        </is>
      </c>
      <c r="K1984" s="8" t="inlineStr"/>
      <c r="L1984" s="10">
        <f>IFERROR(IF(F1984&lt;F1983,"NEGATIVE",ROUND(F1984-F1983,2)),"")</f>
        <v/>
      </c>
    </row>
    <row r="1985" ht="22" customHeight="1">
      <c r="B1985" s="5" t="inlineStr">
        <is>
          <t>R01981</t>
        </is>
      </c>
      <c r="C1985" s="5" t="inlineStr">
        <is>
          <t>MTR-WSH-002</t>
        </is>
      </c>
      <c r="D1985" s="5" t="inlineStr">
        <is>
          <t>Washing Hall</t>
        </is>
      </c>
      <c r="E1985" s="5" t="inlineStr">
        <is>
          <t>Washing Machine 3</t>
        </is>
      </c>
      <c r="F1985" s="5" t="inlineStr">
        <is>
          <t>2024-05-08 08:00</t>
        </is>
      </c>
      <c r="G1985" s="11" t="n">
        <v>91751.78999999999</v>
      </c>
      <c r="H1985" s="5" t="inlineStr">
        <is>
          <t>m3</t>
        </is>
      </c>
      <c r="I1985" s="5" t="inlineStr">
        <is>
          <t>cumulative</t>
        </is>
      </c>
      <c r="J1985" s="5" t="inlineStr">
        <is>
          <t>KL</t>
        </is>
      </c>
      <c r="K1985" s="5" t="inlineStr"/>
      <c r="L1985" s="7">
        <f>IFERROR(IF(F1985&lt;F1984,"NEGATIVE",ROUND(F1985-F1984,2)),"")</f>
        <v/>
      </c>
    </row>
    <row r="1986" ht="22" customHeight="1">
      <c r="B1986" s="8" t="inlineStr">
        <is>
          <t>R01982</t>
        </is>
      </c>
      <c r="C1986" s="8" t="inlineStr">
        <is>
          <t>MTR-WSH-002</t>
        </is>
      </c>
      <c r="D1986" s="8" t="inlineStr">
        <is>
          <t>Washing Hall</t>
        </is>
      </c>
      <c r="E1986" s="8" t="inlineStr">
        <is>
          <t>Washing Machine 3</t>
        </is>
      </c>
      <c r="F1986" s="8" t="inlineStr">
        <is>
          <t>2024-05-09 08:00</t>
        </is>
      </c>
      <c r="G1986" s="12" t="n">
        <v>91781.17999999999</v>
      </c>
      <c r="H1986" s="8" t="inlineStr">
        <is>
          <t>m3</t>
        </is>
      </c>
      <c r="I1986" s="8" t="inlineStr">
        <is>
          <t>cumulative</t>
        </is>
      </c>
      <c r="J1986" s="8" t="inlineStr">
        <is>
          <t>EF</t>
        </is>
      </c>
      <c r="K1986" s="8" t="inlineStr"/>
      <c r="L1986" s="10">
        <f>IFERROR(IF(F1986&lt;F1985,"NEGATIVE",ROUND(F1986-F1985,2)),"")</f>
        <v/>
      </c>
    </row>
    <row r="1987" ht="22" customHeight="1">
      <c r="B1987" s="5" t="inlineStr">
        <is>
          <t>R01983</t>
        </is>
      </c>
      <c r="C1987" s="5" t="inlineStr">
        <is>
          <t>MTR-WSH-002</t>
        </is>
      </c>
      <c r="D1987" s="5" t="inlineStr">
        <is>
          <t>Washing Hall</t>
        </is>
      </c>
      <c r="E1987" s="5" t="inlineStr">
        <is>
          <t>Washing Machine 3</t>
        </is>
      </c>
      <c r="F1987" s="5" t="inlineStr">
        <is>
          <t>2024-05-10 08:00</t>
        </is>
      </c>
      <c r="G1987" s="11" t="n">
        <v>91816.99000000001</v>
      </c>
      <c r="H1987" s="5" t="inlineStr">
        <is>
          <t>m3</t>
        </is>
      </c>
      <c r="I1987" s="5" t="inlineStr">
        <is>
          <t>cumulative</t>
        </is>
      </c>
      <c r="J1987" s="5" t="inlineStr">
        <is>
          <t>CD</t>
        </is>
      </c>
      <c r="K1987" s="5" t="inlineStr"/>
      <c r="L1987" s="7">
        <f>IFERROR(IF(F1987&lt;F1986,"NEGATIVE",ROUND(F1987-F1986,2)),"")</f>
        <v/>
      </c>
    </row>
    <row r="1988" ht="22" customHeight="1">
      <c r="B1988" s="8" t="inlineStr">
        <is>
          <t>R01984</t>
        </is>
      </c>
      <c r="C1988" s="8" t="inlineStr">
        <is>
          <t>MTR-WSH-002</t>
        </is>
      </c>
      <c r="D1988" s="8" t="inlineStr">
        <is>
          <t>Washing Hall</t>
        </is>
      </c>
      <c r="E1988" s="8" t="inlineStr">
        <is>
          <t>Washing Machine 3</t>
        </is>
      </c>
      <c r="F1988" s="8" t="inlineStr">
        <is>
          <t>2024-05-10 08:00</t>
        </is>
      </c>
      <c r="G1988" s="12" t="n">
        <v>91818.49000000001</v>
      </c>
      <c r="H1988" s="8" t="inlineStr">
        <is>
          <t>m3</t>
        </is>
      </c>
      <c r="I1988" s="8" t="inlineStr">
        <is>
          <t>cumulative</t>
        </is>
      </c>
      <c r="J1988" s="8" t="inlineStr">
        <is>
          <t>CD</t>
        </is>
      </c>
      <c r="K1988" s="8" t="inlineStr"/>
      <c r="L1988" s="10">
        <f>IFERROR(IF(F1988&lt;F1987,"NEGATIVE",ROUND(F1988-F1987,2)),"")</f>
        <v/>
      </c>
    </row>
    <row r="1989" ht="22" customHeight="1">
      <c r="B1989" s="5" t="inlineStr">
        <is>
          <t>R01985</t>
        </is>
      </c>
      <c r="C1989" s="5" t="inlineStr">
        <is>
          <t>MTR-WSH-002</t>
        </is>
      </c>
      <c r="D1989" s="5" t="inlineStr">
        <is>
          <t>Washing Hall</t>
        </is>
      </c>
      <c r="E1989" s="5" t="inlineStr">
        <is>
          <t>Washing Machine 3</t>
        </is>
      </c>
      <c r="F1989" s="5" t="inlineStr">
        <is>
          <t>2024-05-11 08:00</t>
        </is>
      </c>
      <c r="G1989" s="11" t="n">
        <v>91841.09</v>
      </c>
      <c r="H1989" s="5" t="inlineStr">
        <is>
          <t>m3</t>
        </is>
      </c>
      <c r="I1989" s="5" t="inlineStr">
        <is>
          <t>cumulative</t>
        </is>
      </c>
      <c r="J1989" s="5" t="inlineStr">
        <is>
          <t>CD</t>
        </is>
      </c>
      <c r="K1989" s="5" t="inlineStr"/>
      <c r="L1989" s="7">
        <f>IFERROR(IF(F1989&lt;F1988,"NEGATIVE",ROUND(F1989-F1988,2)),"")</f>
        <v/>
      </c>
    </row>
    <row r="1990" ht="22" customHeight="1">
      <c r="B1990" s="8" t="inlineStr">
        <is>
          <t>R01986</t>
        </is>
      </c>
      <c r="C1990" s="8" t="inlineStr">
        <is>
          <t>MTR-WSH-002</t>
        </is>
      </c>
      <c r="D1990" s="8" t="inlineStr">
        <is>
          <t>Washing Hall</t>
        </is>
      </c>
      <c r="E1990" s="8" t="inlineStr">
        <is>
          <t>Washing Machine 3</t>
        </is>
      </c>
      <c r="F1990" s="8" t="inlineStr">
        <is>
          <t>2024-05-12 08:00</t>
        </is>
      </c>
      <c r="G1990" s="12" t="n">
        <v>91860.07000000001</v>
      </c>
      <c r="H1990" s="8" t="inlineStr">
        <is>
          <t>m3</t>
        </is>
      </c>
      <c r="I1990" s="8" t="inlineStr">
        <is>
          <t>cumulative</t>
        </is>
      </c>
      <c r="J1990" s="8" t="inlineStr">
        <is>
          <t>IJ</t>
        </is>
      </c>
      <c r="K1990" s="8" t="inlineStr"/>
      <c r="L1990" s="10">
        <f>IFERROR(IF(F1990&lt;F1989,"NEGATIVE",ROUND(F1990-F1989,2)),"")</f>
        <v/>
      </c>
    </row>
    <row r="1991" ht="22" customHeight="1">
      <c r="B1991" s="5" t="inlineStr">
        <is>
          <t>R01987</t>
        </is>
      </c>
      <c r="C1991" s="5" t="inlineStr">
        <is>
          <t>MTR-WSH-002</t>
        </is>
      </c>
      <c r="D1991" s="5" t="inlineStr">
        <is>
          <t>Washing Hall</t>
        </is>
      </c>
      <c r="E1991" s="5" t="inlineStr">
        <is>
          <t>Washing Machine 3</t>
        </is>
      </c>
      <c r="F1991" s="5" t="inlineStr">
        <is>
          <t>2024-05-13 08:00</t>
        </is>
      </c>
      <c r="G1991" s="11" t="n">
        <v>91896.05</v>
      </c>
      <c r="H1991" s="5" t="inlineStr">
        <is>
          <t>m3</t>
        </is>
      </c>
      <c r="I1991" s="5" t="inlineStr">
        <is>
          <t>cumulative</t>
        </is>
      </c>
      <c r="J1991" s="5" t="inlineStr">
        <is>
          <t>CD</t>
        </is>
      </c>
      <c r="K1991" s="5" t="inlineStr"/>
      <c r="L1991" s="7">
        <f>IFERROR(IF(F1991&lt;F1990,"NEGATIVE",ROUND(F1991-F1990,2)),"")</f>
        <v/>
      </c>
    </row>
    <row r="1992" ht="22" customHeight="1">
      <c r="B1992" s="8" t="inlineStr">
        <is>
          <t>R01988</t>
        </is>
      </c>
      <c r="C1992" s="8" t="inlineStr">
        <is>
          <t>MTR-WSH-002</t>
        </is>
      </c>
      <c r="D1992" s="8" t="inlineStr">
        <is>
          <t>Washing Hall</t>
        </is>
      </c>
      <c r="E1992" s="8" t="inlineStr">
        <is>
          <t>Washing Machine 3</t>
        </is>
      </c>
      <c r="F1992" s="8" t="inlineStr">
        <is>
          <t>2024-05-14 08:00</t>
        </is>
      </c>
      <c r="G1992" s="12" t="n">
        <v>91929.31</v>
      </c>
      <c r="H1992" s="8" t="inlineStr">
        <is>
          <t>m3</t>
        </is>
      </c>
      <c r="I1992" s="8" t="inlineStr">
        <is>
          <t>cumulative</t>
        </is>
      </c>
      <c r="J1992" s="8" t="inlineStr">
        <is>
          <t>EF</t>
        </is>
      </c>
      <c r="K1992" s="8" t="inlineStr"/>
      <c r="L1992" s="10">
        <f>IFERROR(IF(F1992&lt;F1991,"NEGATIVE",ROUND(F1992-F1991,2)),"")</f>
        <v/>
      </c>
    </row>
    <row r="1993" ht="22" customHeight="1">
      <c r="B1993" s="5" t="inlineStr">
        <is>
          <t>R01989</t>
        </is>
      </c>
      <c r="C1993" s="5" t="inlineStr">
        <is>
          <t>MTR-WSH-002</t>
        </is>
      </c>
      <c r="D1993" s="5" t="inlineStr">
        <is>
          <t>Washing Hall</t>
        </is>
      </c>
      <c r="E1993" s="5" t="inlineStr">
        <is>
          <t>Washing Machine 3</t>
        </is>
      </c>
      <c r="F1993" s="5" t="inlineStr">
        <is>
          <t>2024-05-15 08:00</t>
        </is>
      </c>
      <c r="G1993" s="11" t="n">
        <v>91962.27</v>
      </c>
      <c r="H1993" s="5" t="inlineStr">
        <is>
          <t>m3</t>
        </is>
      </c>
      <c r="I1993" s="5" t="inlineStr">
        <is>
          <t>cumulative</t>
        </is>
      </c>
      <c r="J1993" s="5" t="inlineStr">
        <is>
          <t>GH</t>
        </is>
      </c>
      <c r="K1993" s="5" t="inlineStr"/>
      <c r="L1993" s="7">
        <f>IFERROR(IF(F1993&lt;F1992,"NEGATIVE",ROUND(F1993-F1992,2)),"")</f>
        <v/>
      </c>
    </row>
    <row r="1994" ht="22" customHeight="1">
      <c r="B1994" s="8" t="inlineStr">
        <is>
          <t>R01990</t>
        </is>
      </c>
      <c r="C1994" s="8" t="inlineStr">
        <is>
          <t>MTR-WSH-002</t>
        </is>
      </c>
      <c r="D1994" s="8" t="inlineStr">
        <is>
          <t>Washing Hall</t>
        </is>
      </c>
      <c r="E1994" s="8" t="inlineStr">
        <is>
          <t>Washing Machine 3</t>
        </is>
      </c>
      <c r="F1994" s="8" t="inlineStr">
        <is>
          <t>2024-05-16 08:00</t>
        </is>
      </c>
      <c r="G1994" s="12" t="n">
        <v>91997.28999999999</v>
      </c>
      <c r="H1994" s="8" t="inlineStr">
        <is>
          <t>m3</t>
        </is>
      </c>
      <c r="I1994" s="8" t="inlineStr">
        <is>
          <t>cumulative</t>
        </is>
      </c>
      <c r="J1994" s="8" t="inlineStr">
        <is>
          <t>IJ</t>
        </is>
      </c>
      <c r="K1994" s="8" t="inlineStr"/>
      <c r="L1994" s="10">
        <f>IFERROR(IF(F1994&lt;F1993,"NEGATIVE",ROUND(F1994-F1993,2)),"")</f>
        <v/>
      </c>
    </row>
    <row r="1995" ht="22" customHeight="1">
      <c r="B1995" s="5" t="inlineStr">
        <is>
          <t>R01991</t>
        </is>
      </c>
      <c r="C1995" s="5" t="inlineStr">
        <is>
          <t>MTR-WSH-002</t>
        </is>
      </c>
      <c r="D1995" s="5" t="inlineStr">
        <is>
          <t>Washing Hall</t>
        </is>
      </c>
      <c r="E1995" s="5" t="inlineStr">
        <is>
          <t>Washing Machine 3</t>
        </is>
      </c>
      <c r="F1995" s="5" t="inlineStr">
        <is>
          <t>2024-05-17 08:00</t>
        </is>
      </c>
      <c r="G1995" s="11" t="n">
        <v>92033.35000000001</v>
      </c>
      <c r="H1995" s="5" t="inlineStr">
        <is>
          <t>m3</t>
        </is>
      </c>
      <c r="I1995" s="5" t="inlineStr">
        <is>
          <t>cumulative</t>
        </is>
      </c>
      <c r="J1995" s="5" t="inlineStr">
        <is>
          <t>EF</t>
        </is>
      </c>
      <c r="K1995" s="5" t="inlineStr"/>
      <c r="L1995" s="7">
        <f>IFERROR(IF(F1995&lt;F1994,"NEGATIVE",ROUND(F1995-F1994,2)),"")</f>
        <v/>
      </c>
    </row>
    <row r="1996" ht="22" customHeight="1">
      <c r="B1996" s="8" t="inlineStr">
        <is>
          <t>R01992</t>
        </is>
      </c>
      <c r="C1996" s="8" t="inlineStr">
        <is>
          <t>MTR-WSH-002</t>
        </is>
      </c>
      <c r="D1996" s="8" t="inlineStr">
        <is>
          <t>Washing Hall</t>
        </is>
      </c>
      <c r="E1996" s="8" t="inlineStr">
        <is>
          <t>Washing Machine 3</t>
        </is>
      </c>
      <c r="F1996" s="8" t="inlineStr">
        <is>
          <t>2024-05-18 08:00</t>
        </is>
      </c>
      <c r="G1996" s="12" t="n">
        <v>92063.45</v>
      </c>
      <c r="H1996" s="8" t="inlineStr">
        <is>
          <t>m3</t>
        </is>
      </c>
      <c r="I1996" s="8" t="inlineStr">
        <is>
          <t>cumulative</t>
        </is>
      </c>
      <c r="J1996" s="8" t="inlineStr">
        <is>
          <t>KL</t>
        </is>
      </c>
      <c r="K1996" s="8" t="inlineStr"/>
      <c r="L1996" s="10">
        <f>IFERROR(IF(F1996&lt;F1995,"NEGATIVE",ROUND(F1996-F1995,2)),"")</f>
        <v/>
      </c>
    </row>
    <row r="1997" ht="22" customHeight="1">
      <c r="B1997" s="5" t="inlineStr">
        <is>
          <t>R01993</t>
        </is>
      </c>
      <c r="C1997" s="5" t="inlineStr">
        <is>
          <t>MTR-WSH-002</t>
        </is>
      </c>
      <c r="D1997" s="5" t="inlineStr">
        <is>
          <t>Washing Hall</t>
        </is>
      </c>
      <c r="E1997" s="5" t="inlineStr">
        <is>
          <t>Washing Machine 3</t>
        </is>
      </c>
      <c r="F1997" s="5" t="inlineStr">
        <is>
          <t>2024-05-19 08:00</t>
        </is>
      </c>
      <c r="G1997" s="11" t="n">
        <v>92080.42999999999</v>
      </c>
      <c r="H1997" s="5" t="inlineStr">
        <is>
          <t>m3</t>
        </is>
      </c>
      <c r="I1997" s="5" t="inlineStr">
        <is>
          <t>cumulative</t>
        </is>
      </c>
      <c r="J1997" s="5" t="inlineStr">
        <is>
          <t>AB</t>
        </is>
      </c>
      <c r="K1997" s="5" t="inlineStr"/>
      <c r="L1997" s="7">
        <f>IFERROR(IF(F1997&lt;F1996,"NEGATIVE",ROUND(F1997-F1996,2)),"")</f>
        <v/>
      </c>
    </row>
    <row r="1998" ht="22" customHeight="1">
      <c r="B1998" s="8" t="inlineStr">
        <is>
          <t>R01994</t>
        </is>
      </c>
      <c r="C1998" s="8" t="inlineStr">
        <is>
          <t>MTR-WSH-002</t>
        </is>
      </c>
      <c r="D1998" s="8" t="inlineStr">
        <is>
          <t>Washing Hall</t>
        </is>
      </c>
      <c r="E1998" s="8" t="inlineStr">
        <is>
          <t>Washing Machine 3</t>
        </is>
      </c>
      <c r="F1998" s="8" t="inlineStr">
        <is>
          <t>2024-05-20 08:00</t>
        </is>
      </c>
      <c r="G1998" s="12" t="n">
        <v>92110.77</v>
      </c>
      <c r="H1998" s="8" t="inlineStr">
        <is>
          <t>m3</t>
        </is>
      </c>
      <c r="I1998" s="8" t="inlineStr">
        <is>
          <t>cumulative</t>
        </is>
      </c>
      <c r="J1998" s="8" t="inlineStr">
        <is>
          <t>AB</t>
        </is>
      </c>
      <c r="K1998" s="8" t="inlineStr"/>
      <c r="L1998" s="10">
        <f>IFERROR(IF(F1998&lt;F1997,"NEGATIVE",ROUND(F1998-F1997,2)),"")</f>
        <v/>
      </c>
    </row>
    <row r="1999" ht="22" customHeight="1">
      <c r="B1999" s="5" t="inlineStr">
        <is>
          <t>R01995</t>
        </is>
      </c>
      <c r="C1999" s="5" t="inlineStr">
        <is>
          <t>MTR-WSH-002</t>
        </is>
      </c>
      <c r="D1999" s="5" t="inlineStr">
        <is>
          <t>Washing Hall</t>
        </is>
      </c>
      <c r="E1999" s="5" t="inlineStr">
        <is>
          <t>Washing Machine 3</t>
        </is>
      </c>
      <c r="F1999" s="5" t="inlineStr">
        <is>
          <t>2024-05-21 08:00</t>
        </is>
      </c>
      <c r="G1999" s="11" t="n">
        <v>92145</v>
      </c>
      <c r="H1999" s="5" t="inlineStr">
        <is>
          <t>m3</t>
        </is>
      </c>
      <c r="I1999" s="5" t="inlineStr">
        <is>
          <t>cumulative</t>
        </is>
      </c>
      <c r="J1999" s="5" t="inlineStr">
        <is>
          <t>IJ</t>
        </is>
      </c>
      <c r="K1999" s="5" t="inlineStr"/>
      <c r="L1999" s="7">
        <f>IFERROR(IF(F1999&lt;F1998,"NEGATIVE",ROUND(F1999-F1998,2)),"")</f>
        <v/>
      </c>
    </row>
    <row r="2000" ht="22" customHeight="1">
      <c r="B2000" s="8" t="inlineStr">
        <is>
          <t>R01996</t>
        </is>
      </c>
      <c r="C2000" s="8" t="inlineStr">
        <is>
          <t>MTR-WSH-002</t>
        </is>
      </c>
      <c r="D2000" s="8" t="inlineStr">
        <is>
          <t>Washing Hall</t>
        </is>
      </c>
      <c r="E2000" s="8" t="inlineStr">
        <is>
          <t>Washing Machine 3</t>
        </is>
      </c>
      <c r="F2000" s="8" t="inlineStr">
        <is>
          <t>2024-05-22 08:00</t>
        </is>
      </c>
      <c r="G2000" s="12" t="n">
        <v>92178.16</v>
      </c>
      <c r="H2000" s="8" t="inlineStr">
        <is>
          <t>m3</t>
        </is>
      </c>
      <c r="I2000" s="8" t="inlineStr">
        <is>
          <t>cumulative</t>
        </is>
      </c>
      <c r="J2000" s="8" t="inlineStr">
        <is>
          <t>EF</t>
        </is>
      </c>
      <c r="K2000" s="8" t="inlineStr"/>
      <c r="L2000" s="10">
        <f>IFERROR(IF(F2000&lt;F1999,"NEGATIVE",ROUND(F2000-F1999,2)),"")</f>
        <v/>
      </c>
    </row>
    <row r="2001" ht="22" customHeight="1">
      <c r="B2001" s="5" t="inlineStr">
        <is>
          <t>R01997</t>
        </is>
      </c>
      <c r="C2001" s="5" t="inlineStr">
        <is>
          <t>MTR-WSH-002</t>
        </is>
      </c>
      <c r="D2001" s="5" t="inlineStr">
        <is>
          <t>Washing Hall</t>
        </is>
      </c>
      <c r="E2001" s="5" t="inlineStr">
        <is>
          <t>Washing Machine 3</t>
        </is>
      </c>
      <c r="F2001" s="5" t="inlineStr">
        <is>
          <t>2024-05-23 08:00</t>
        </is>
      </c>
      <c r="G2001" s="11" t="n">
        <v>92208.64999999999</v>
      </c>
      <c r="H2001" s="5" t="inlineStr">
        <is>
          <t>m3</t>
        </is>
      </c>
      <c r="I2001" s="5" t="inlineStr">
        <is>
          <t>cumulative</t>
        </is>
      </c>
      <c r="J2001" s="5" t="inlineStr">
        <is>
          <t>AB</t>
        </is>
      </c>
      <c r="K2001" s="5" t="inlineStr"/>
      <c r="L2001" s="7">
        <f>IFERROR(IF(F2001&lt;F2000,"NEGATIVE",ROUND(F2001-F2000,2)),"")</f>
        <v/>
      </c>
    </row>
    <row r="2002" ht="22" customHeight="1">
      <c r="B2002" s="8" t="inlineStr">
        <is>
          <t>R01998</t>
        </is>
      </c>
      <c r="C2002" s="8" t="inlineStr">
        <is>
          <t>MTR-WSH-002</t>
        </is>
      </c>
      <c r="D2002" s="8" t="inlineStr">
        <is>
          <t>Washing Hall</t>
        </is>
      </c>
      <c r="E2002" s="8" t="inlineStr">
        <is>
          <t>Washing Machine 3</t>
        </is>
      </c>
      <c r="F2002" s="8" t="inlineStr">
        <is>
          <t>2024-05-24 08:00</t>
        </is>
      </c>
      <c r="G2002" s="12" t="n">
        <v>92237.08</v>
      </c>
      <c r="H2002" s="8" t="inlineStr">
        <is>
          <t>m3</t>
        </is>
      </c>
      <c r="I2002" s="8" t="inlineStr">
        <is>
          <t>cumulative</t>
        </is>
      </c>
      <c r="J2002" s="8" t="inlineStr">
        <is>
          <t>IJ</t>
        </is>
      </c>
      <c r="K2002" s="8" t="inlineStr"/>
      <c r="L2002" s="10">
        <f>IFERROR(IF(F2002&lt;F2001,"NEGATIVE",ROUND(F2002-F2001,2)),"")</f>
        <v/>
      </c>
    </row>
    <row r="2003" ht="22" customHeight="1">
      <c r="B2003" s="5" t="inlineStr">
        <is>
          <t>R01999</t>
        </is>
      </c>
      <c r="C2003" s="5" t="inlineStr">
        <is>
          <t>MTR-WSH-002</t>
        </is>
      </c>
      <c r="D2003" s="5" t="inlineStr">
        <is>
          <t>Washing Hall</t>
        </is>
      </c>
      <c r="E2003" s="5" t="inlineStr">
        <is>
          <t>Washing Machine 3</t>
        </is>
      </c>
      <c r="F2003" s="5" t="inlineStr">
        <is>
          <t>2024-05-25 08:00</t>
        </is>
      </c>
      <c r="G2003" s="11" t="n">
        <v>92265.46000000001</v>
      </c>
      <c r="H2003" s="5" t="inlineStr">
        <is>
          <t>m3</t>
        </is>
      </c>
      <c r="I2003" s="5" t="inlineStr">
        <is>
          <t>cumulative</t>
        </is>
      </c>
      <c r="J2003" s="5" t="inlineStr">
        <is>
          <t>GH</t>
        </is>
      </c>
      <c r="K2003" s="5" t="inlineStr"/>
      <c r="L2003" s="7">
        <f>IFERROR(IF(F2003&lt;F2002,"NEGATIVE",ROUND(F2003-F2002,2)),"")</f>
        <v/>
      </c>
    </row>
    <row r="2004" ht="22" customHeight="1">
      <c r="B2004" s="8" t="inlineStr">
        <is>
          <t>R02000</t>
        </is>
      </c>
      <c r="C2004" s="8" t="inlineStr">
        <is>
          <t>MTR-WSH-002</t>
        </is>
      </c>
      <c r="D2004" s="8" t="inlineStr">
        <is>
          <t>Washing Hall</t>
        </is>
      </c>
      <c r="E2004" s="8" t="inlineStr">
        <is>
          <t>Washing Machine 3</t>
        </is>
      </c>
      <c r="F2004" s="8" t="inlineStr">
        <is>
          <t>2024-05-26 08:00</t>
        </is>
      </c>
      <c r="G2004" s="12" t="n">
        <v>92282.57000000001</v>
      </c>
      <c r="H2004" s="8" t="inlineStr">
        <is>
          <t>m3</t>
        </is>
      </c>
      <c r="I2004" s="8" t="inlineStr">
        <is>
          <t>cumulative</t>
        </is>
      </c>
      <c r="J2004" s="8" t="inlineStr">
        <is>
          <t>AB</t>
        </is>
      </c>
      <c r="K2004" s="8" t="inlineStr"/>
      <c r="L2004" s="10">
        <f>IFERROR(IF(F2004&lt;F2003,"NEGATIVE",ROUND(F2004-F2003,2)),"")</f>
        <v/>
      </c>
    </row>
    <row r="2005" ht="22" customHeight="1">
      <c r="B2005" s="5" t="inlineStr">
        <is>
          <t>R02001</t>
        </is>
      </c>
      <c r="C2005" s="5" t="inlineStr">
        <is>
          <t>MTR-WSH-002</t>
        </is>
      </c>
      <c r="D2005" s="5" t="inlineStr">
        <is>
          <t>Washing Hall</t>
        </is>
      </c>
      <c r="E2005" s="5" t="inlineStr">
        <is>
          <t>Washing Machine 3</t>
        </is>
      </c>
      <c r="F2005" s="5" t="inlineStr">
        <is>
          <t>2024-05-27 08:00</t>
        </is>
      </c>
      <c r="G2005" s="11" t="n">
        <v>92317.89999999999</v>
      </c>
      <c r="H2005" s="5" t="inlineStr">
        <is>
          <t>m3</t>
        </is>
      </c>
      <c r="I2005" s="5" t="inlineStr">
        <is>
          <t>cumulative</t>
        </is>
      </c>
      <c r="J2005" s="5" t="inlineStr">
        <is>
          <t>GH</t>
        </is>
      </c>
      <c r="K2005" s="5" t="inlineStr"/>
      <c r="L2005" s="7">
        <f>IFERROR(IF(F2005&lt;F2004,"NEGATIVE",ROUND(F2005-F2004,2)),"")</f>
        <v/>
      </c>
    </row>
    <row r="2006" ht="22" customHeight="1">
      <c r="B2006" s="8" t="inlineStr">
        <is>
          <t>R02002</t>
        </is>
      </c>
      <c r="C2006" s="8" t="inlineStr">
        <is>
          <t>MTR-WSH-002</t>
        </is>
      </c>
      <c r="D2006" s="8" t="inlineStr">
        <is>
          <t>Washing Hall</t>
        </is>
      </c>
      <c r="E2006" s="8" t="inlineStr">
        <is>
          <t>Washing Machine 3</t>
        </is>
      </c>
      <c r="F2006" s="8" t="inlineStr">
        <is>
          <t>2024-05-28 08:00</t>
        </is>
      </c>
      <c r="G2006" s="12" t="n">
        <v>92350.14</v>
      </c>
      <c r="H2006" s="8" t="inlineStr">
        <is>
          <t>m3</t>
        </is>
      </c>
      <c r="I2006" s="8" t="inlineStr">
        <is>
          <t>cumulative</t>
        </is>
      </c>
      <c r="J2006" s="8" t="inlineStr">
        <is>
          <t>CD</t>
        </is>
      </c>
      <c r="K2006" s="8" t="inlineStr"/>
      <c r="L2006" s="10">
        <f>IFERROR(IF(F2006&lt;F2005,"NEGATIVE",ROUND(F2006-F2005,2)),"")</f>
        <v/>
      </c>
    </row>
    <row r="2007" ht="22" customHeight="1">
      <c r="B2007" s="5" t="inlineStr">
        <is>
          <t>R02003</t>
        </is>
      </c>
      <c r="C2007" s="5" t="inlineStr">
        <is>
          <t>MTR-WSH-002</t>
        </is>
      </c>
      <c r="D2007" s="5" t="inlineStr">
        <is>
          <t>Washing Hall</t>
        </is>
      </c>
      <c r="E2007" s="5" t="inlineStr">
        <is>
          <t>Washing Machine 3</t>
        </is>
      </c>
      <c r="F2007" s="5" t="inlineStr">
        <is>
          <t>2024-05-29 08:00</t>
        </is>
      </c>
      <c r="G2007" s="11" t="n">
        <v>92382.50999999999</v>
      </c>
      <c r="H2007" s="5" t="inlineStr">
        <is>
          <t>m3</t>
        </is>
      </c>
      <c r="I2007" s="5" t="inlineStr">
        <is>
          <t>cumulative</t>
        </is>
      </c>
      <c r="J2007" s="5" t="inlineStr">
        <is>
          <t>GH</t>
        </is>
      </c>
      <c r="K2007" s="5" t="inlineStr"/>
      <c r="L2007" s="7">
        <f>IFERROR(IF(F2007&lt;F2006,"NEGATIVE",ROUND(F2007-F2006,2)),"")</f>
        <v/>
      </c>
    </row>
    <row r="2008" ht="22" customHeight="1">
      <c r="B2008" s="8" t="inlineStr">
        <is>
          <t>R02004</t>
        </is>
      </c>
      <c r="C2008" s="8" t="inlineStr">
        <is>
          <t>MTR-WSH-002</t>
        </is>
      </c>
      <c r="D2008" s="8" t="inlineStr">
        <is>
          <t>Washing Hall</t>
        </is>
      </c>
      <c r="E2008" s="8" t="inlineStr">
        <is>
          <t>Washing Machine 3</t>
        </is>
      </c>
      <c r="F2008" s="8" t="inlineStr">
        <is>
          <t>2024-05-30 08:00</t>
        </is>
      </c>
      <c r="G2008" s="12" t="n">
        <v>92418.41</v>
      </c>
      <c r="H2008" s="8" t="inlineStr">
        <is>
          <t>m3</t>
        </is>
      </c>
      <c r="I2008" s="8" t="inlineStr">
        <is>
          <t>cumulative</t>
        </is>
      </c>
      <c r="J2008" s="8" t="inlineStr">
        <is>
          <t>KL</t>
        </is>
      </c>
      <c r="K2008" s="8" t="inlineStr"/>
      <c r="L2008" s="10">
        <f>IFERROR(IF(F2008&lt;F2007,"NEGATIVE",ROUND(F2008-F2007,2)),"")</f>
        <v/>
      </c>
    </row>
    <row r="2009" ht="22" customHeight="1">
      <c r="B2009" s="5" t="inlineStr">
        <is>
          <t>R02005</t>
        </is>
      </c>
      <c r="C2009" s="5" t="inlineStr">
        <is>
          <t>MTR-WSH-002</t>
        </is>
      </c>
      <c r="D2009" s="5" t="inlineStr">
        <is>
          <t>Washing Hall</t>
        </is>
      </c>
      <c r="E2009" s="5" t="inlineStr">
        <is>
          <t>Washing Machine 3</t>
        </is>
      </c>
      <c r="F2009" s="5" t="inlineStr">
        <is>
          <t>2024-05-31 08:00</t>
        </is>
      </c>
      <c r="G2009" s="11" t="n">
        <v>92450.02</v>
      </c>
      <c r="H2009" s="5" t="inlineStr">
        <is>
          <t>m3</t>
        </is>
      </c>
      <c r="I2009" s="5" t="inlineStr">
        <is>
          <t>cumulative</t>
        </is>
      </c>
      <c r="J2009" s="5" t="inlineStr">
        <is>
          <t>GH</t>
        </is>
      </c>
      <c r="K2009" s="5" t="inlineStr"/>
      <c r="L2009" s="7">
        <f>IFERROR(IF(F2009&lt;F2008,"NEGATIVE",ROUND(F2009-F2008,2)),"")</f>
        <v/>
      </c>
    </row>
    <row r="2010" ht="22" customHeight="1">
      <c r="B2010" s="8" t="inlineStr">
        <is>
          <t>R02006</t>
        </is>
      </c>
      <c r="C2010" s="8" t="inlineStr">
        <is>
          <t>MTR-WSH-002</t>
        </is>
      </c>
      <c r="D2010" s="8" t="inlineStr">
        <is>
          <t>Washing Hall</t>
        </is>
      </c>
      <c r="E2010" s="8" t="inlineStr">
        <is>
          <t>Washing Machine 3</t>
        </is>
      </c>
      <c r="F2010" s="8" t="inlineStr">
        <is>
          <t>2024-06-01 08:00</t>
        </is>
      </c>
      <c r="G2010" s="12" t="n">
        <v>92476.3</v>
      </c>
      <c r="H2010" s="8" t="inlineStr">
        <is>
          <t>m3</t>
        </is>
      </c>
      <c r="I2010" s="8" t="inlineStr">
        <is>
          <t>cumulative</t>
        </is>
      </c>
      <c r="J2010" s="8" t="inlineStr">
        <is>
          <t>EF</t>
        </is>
      </c>
      <c r="K2010" s="8" t="inlineStr"/>
      <c r="L2010" s="10">
        <f>IFERROR(IF(F2010&lt;F2009,"NEGATIVE",ROUND(F2010-F2009,2)),"")</f>
        <v/>
      </c>
    </row>
    <row r="2011" ht="22" customHeight="1">
      <c r="B2011" s="5" t="inlineStr">
        <is>
          <t>R02007</t>
        </is>
      </c>
      <c r="C2011" s="5" t="inlineStr">
        <is>
          <t>MTR-WSH-002</t>
        </is>
      </c>
      <c r="D2011" s="5" t="inlineStr">
        <is>
          <t>Washing Hall</t>
        </is>
      </c>
      <c r="E2011" s="5" t="inlineStr">
        <is>
          <t>Washing Machine 3</t>
        </is>
      </c>
      <c r="F2011" s="5" t="inlineStr">
        <is>
          <t>2024-06-02 08:00</t>
        </is>
      </c>
      <c r="G2011" s="11" t="n">
        <v>92495.09</v>
      </c>
      <c r="H2011" s="5" t="inlineStr">
        <is>
          <t>m3</t>
        </is>
      </c>
      <c r="I2011" s="5" t="inlineStr">
        <is>
          <t>cumulative</t>
        </is>
      </c>
      <c r="J2011" s="5" t="inlineStr">
        <is>
          <t>CD</t>
        </is>
      </c>
      <c r="K2011" s="5" t="inlineStr"/>
      <c r="L2011" s="7">
        <f>IFERROR(IF(F2011&lt;F2010,"NEGATIVE",ROUND(F2011-F2010,2)),"")</f>
        <v/>
      </c>
    </row>
    <row r="2012" ht="22" customHeight="1">
      <c r="B2012" s="8" t="inlineStr">
        <is>
          <t>R02008</t>
        </is>
      </c>
      <c r="C2012" s="8" t="inlineStr">
        <is>
          <t>MTR-WSH-002</t>
        </is>
      </c>
      <c r="D2012" s="8" t="inlineStr">
        <is>
          <t>Washing Hall</t>
        </is>
      </c>
      <c r="E2012" s="8" t="inlineStr">
        <is>
          <t>Washing Machine 3</t>
        </is>
      </c>
      <c r="F2012" s="8" t="inlineStr">
        <is>
          <t>2024-06-03 08:00</t>
        </is>
      </c>
      <c r="G2012" s="12" t="n">
        <v>92528.34</v>
      </c>
      <c r="H2012" s="8" t="inlineStr">
        <is>
          <t>m3</t>
        </is>
      </c>
      <c r="I2012" s="8" t="inlineStr">
        <is>
          <t>cumulative</t>
        </is>
      </c>
      <c r="J2012" s="8" t="inlineStr">
        <is>
          <t>AB</t>
        </is>
      </c>
      <c r="K2012" s="8" t="inlineStr"/>
      <c r="L2012" s="10">
        <f>IFERROR(IF(F2012&lt;F2011,"NEGATIVE",ROUND(F2012-F2011,2)),"")</f>
        <v/>
      </c>
    </row>
    <row r="2013" ht="22" customHeight="1">
      <c r="B2013" s="5" t="inlineStr">
        <is>
          <t>R02009</t>
        </is>
      </c>
      <c r="C2013" s="5" t="inlineStr">
        <is>
          <t>MTR-WSH-002</t>
        </is>
      </c>
      <c r="D2013" s="5" t="inlineStr">
        <is>
          <t>Washing Hall</t>
        </is>
      </c>
      <c r="E2013" s="5" t="inlineStr">
        <is>
          <t>Washing Machine 3</t>
        </is>
      </c>
      <c r="F2013" s="5" t="inlineStr">
        <is>
          <t>2024-06-04 08:00</t>
        </is>
      </c>
      <c r="G2013" s="11" t="n">
        <v>92564.28</v>
      </c>
      <c r="H2013" s="5" t="inlineStr">
        <is>
          <t>m3</t>
        </is>
      </c>
      <c r="I2013" s="5" t="inlineStr">
        <is>
          <t>cumulative</t>
        </is>
      </c>
      <c r="J2013" s="5" t="inlineStr">
        <is>
          <t>KL</t>
        </is>
      </c>
      <c r="K2013" s="5" t="inlineStr"/>
      <c r="L2013" s="7">
        <f>IFERROR(IF(F2013&lt;F2012,"NEGATIVE",ROUND(F2013-F2012,2)),"")</f>
        <v/>
      </c>
    </row>
    <row r="2014" ht="22" customHeight="1">
      <c r="B2014" s="8" t="inlineStr">
        <is>
          <t>R02010</t>
        </is>
      </c>
      <c r="C2014" s="8" t="inlineStr">
        <is>
          <t>MTR-WSH-002</t>
        </is>
      </c>
      <c r="D2014" s="8" t="inlineStr">
        <is>
          <t>Washing Hall</t>
        </is>
      </c>
      <c r="E2014" s="8" t="inlineStr">
        <is>
          <t>Washing Machine 3</t>
        </is>
      </c>
      <c r="F2014" s="8" t="inlineStr">
        <is>
          <t>2024-06-05 08:00</t>
        </is>
      </c>
      <c r="G2014" s="12" t="n">
        <v>92598.82000000001</v>
      </c>
      <c r="H2014" s="8" t="inlineStr">
        <is>
          <t>m3</t>
        </is>
      </c>
      <c r="I2014" s="8" t="inlineStr">
        <is>
          <t>cumulative</t>
        </is>
      </c>
      <c r="J2014" s="8" t="inlineStr">
        <is>
          <t>GH</t>
        </is>
      </c>
      <c r="K2014" s="8" t="inlineStr"/>
      <c r="L2014" s="10">
        <f>IFERROR(IF(F2014&lt;F2013,"NEGATIVE",ROUND(F2014-F2013,2)),"")</f>
        <v/>
      </c>
    </row>
    <row r="2015" ht="22" customHeight="1">
      <c r="B2015" s="5" t="inlineStr">
        <is>
          <t>R02011</t>
        </is>
      </c>
      <c r="C2015" s="5" t="inlineStr">
        <is>
          <t>MTR-WSH-002</t>
        </is>
      </c>
      <c r="D2015" s="5" t="inlineStr">
        <is>
          <t>Washing Hall</t>
        </is>
      </c>
      <c r="E2015" s="5" t="inlineStr">
        <is>
          <t>Washing Machine 3</t>
        </is>
      </c>
      <c r="F2015" s="5" t="inlineStr">
        <is>
          <t>2024-06-06 08:00</t>
        </is>
      </c>
      <c r="G2015" s="11" t="n">
        <v>92635.36</v>
      </c>
      <c r="H2015" s="5" t="inlineStr">
        <is>
          <t>m3</t>
        </is>
      </c>
      <c r="I2015" s="5" t="inlineStr">
        <is>
          <t>cumulative</t>
        </is>
      </c>
      <c r="J2015" s="5" t="inlineStr">
        <is>
          <t>IJ</t>
        </is>
      </c>
      <c r="K2015" s="5" t="inlineStr"/>
      <c r="L2015" s="7">
        <f>IFERROR(IF(F2015&lt;F2014,"NEGATIVE",ROUND(F2015-F2014,2)),"")</f>
        <v/>
      </c>
    </row>
    <row r="2016" ht="22" customHeight="1">
      <c r="B2016" s="8" t="inlineStr">
        <is>
          <t>R02012</t>
        </is>
      </c>
      <c r="C2016" s="8" t="inlineStr">
        <is>
          <t>MTR-WSH-002</t>
        </is>
      </c>
      <c r="D2016" s="8" t="inlineStr">
        <is>
          <t>Washing Hall</t>
        </is>
      </c>
      <c r="E2016" s="8" t="inlineStr">
        <is>
          <t>Washing Machine 3</t>
        </is>
      </c>
      <c r="F2016" s="8" t="inlineStr">
        <is>
          <t>2024-06-07 08:00</t>
        </is>
      </c>
      <c r="G2016" s="12" t="n">
        <v>92671.89</v>
      </c>
      <c r="H2016" s="8" t="inlineStr">
        <is>
          <t>m3</t>
        </is>
      </c>
      <c r="I2016" s="8" t="inlineStr">
        <is>
          <t>cumulative</t>
        </is>
      </c>
      <c r="J2016" s="8" t="inlineStr">
        <is>
          <t>CD</t>
        </is>
      </c>
      <c r="K2016" s="8" t="inlineStr"/>
      <c r="L2016" s="10">
        <f>IFERROR(IF(F2016&lt;F2015,"NEGATIVE",ROUND(F2016-F2015,2)),"")</f>
        <v/>
      </c>
    </row>
    <row r="2017" ht="22" customHeight="1">
      <c r="B2017" s="5" t="inlineStr">
        <is>
          <t>R02013</t>
        </is>
      </c>
      <c r="C2017" s="5" t="inlineStr">
        <is>
          <t>MTR-WSH-002</t>
        </is>
      </c>
      <c r="D2017" s="5" t="inlineStr">
        <is>
          <t>Washing Hall</t>
        </is>
      </c>
      <c r="E2017" s="5" t="inlineStr">
        <is>
          <t>Washing Machine 3</t>
        </is>
      </c>
      <c r="F2017" s="5" t="inlineStr">
        <is>
          <t>2024-06-08 08:00</t>
        </is>
      </c>
      <c r="G2017" s="11" t="n">
        <v>92702.5</v>
      </c>
      <c r="H2017" s="5" t="inlineStr">
        <is>
          <t>m3</t>
        </is>
      </c>
      <c r="I2017" s="5" t="inlineStr">
        <is>
          <t>cumulative</t>
        </is>
      </c>
      <c r="J2017" s="5" t="inlineStr">
        <is>
          <t>AB</t>
        </is>
      </c>
      <c r="K2017" s="5" t="inlineStr"/>
      <c r="L2017" s="7">
        <f>IFERROR(IF(F2017&lt;F2016,"NEGATIVE",ROUND(F2017-F2016,2)),"")</f>
        <v/>
      </c>
    </row>
    <row r="2018" ht="22" customHeight="1">
      <c r="B2018" s="8" t="inlineStr">
        <is>
          <t>R02014</t>
        </is>
      </c>
      <c r="C2018" s="8" t="inlineStr">
        <is>
          <t>MTR-WSH-002</t>
        </is>
      </c>
      <c r="D2018" s="8" t="inlineStr">
        <is>
          <t>Washing Hall</t>
        </is>
      </c>
      <c r="E2018" s="8" t="inlineStr">
        <is>
          <t>Washing Machine 3</t>
        </is>
      </c>
      <c r="F2018" s="8" t="inlineStr">
        <is>
          <t>2024-06-09 08:00</t>
        </is>
      </c>
      <c r="G2018" s="12" t="n">
        <v>92720.7</v>
      </c>
      <c r="H2018" s="8" t="inlineStr">
        <is>
          <t>m3</t>
        </is>
      </c>
      <c r="I2018" s="8" t="inlineStr">
        <is>
          <t>cumulative</t>
        </is>
      </c>
      <c r="J2018" s="8" t="inlineStr">
        <is>
          <t>IJ</t>
        </is>
      </c>
      <c r="K2018" s="8" t="inlineStr"/>
      <c r="L2018" s="10">
        <f>IFERROR(IF(F2018&lt;F2017,"NEGATIVE",ROUND(F2018-F2017,2)),"")</f>
        <v/>
      </c>
    </row>
    <row r="2019" ht="22" customHeight="1">
      <c r="B2019" s="5" t="inlineStr">
        <is>
          <t>R02015</t>
        </is>
      </c>
      <c r="C2019" s="5" t="inlineStr">
        <is>
          <t>MTR-WSH-002</t>
        </is>
      </c>
      <c r="D2019" s="5" t="inlineStr">
        <is>
          <t>Washing Hall</t>
        </is>
      </c>
      <c r="E2019" s="5" t="inlineStr">
        <is>
          <t>Washing Machine 3</t>
        </is>
      </c>
      <c r="F2019" s="5" t="inlineStr">
        <is>
          <t>2024-06-10 08:00</t>
        </is>
      </c>
      <c r="G2019" s="11" t="n">
        <v>92757.25999999999</v>
      </c>
      <c r="H2019" s="5" t="inlineStr">
        <is>
          <t>m3</t>
        </is>
      </c>
      <c r="I2019" s="5" t="inlineStr">
        <is>
          <t>cumulative</t>
        </is>
      </c>
      <c r="J2019" s="5" t="inlineStr">
        <is>
          <t>EF</t>
        </is>
      </c>
      <c r="K2019" s="5" t="inlineStr"/>
      <c r="L2019" s="7">
        <f>IFERROR(IF(F2019&lt;F2018,"NEGATIVE",ROUND(F2019-F2018,2)),"")</f>
        <v/>
      </c>
    </row>
    <row r="2020" ht="22" customHeight="1">
      <c r="B2020" s="8" t="inlineStr">
        <is>
          <t>R02016</t>
        </is>
      </c>
      <c r="C2020" s="8" t="inlineStr">
        <is>
          <t>MTR-WSH-002</t>
        </is>
      </c>
      <c r="D2020" s="8" t="inlineStr">
        <is>
          <t>Washing Hall</t>
        </is>
      </c>
      <c r="E2020" s="8" t="inlineStr">
        <is>
          <t>Washing Machine 3</t>
        </is>
      </c>
      <c r="F2020" s="8" t="inlineStr">
        <is>
          <t>2024-06-11 08:00</t>
        </is>
      </c>
      <c r="G2020" s="12" t="n">
        <v>92788.48</v>
      </c>
      <c r="H2020" s="8" t="inlineStr">
        <is>
          <t>m3</t>
        </is>
      </c>
      <c r="I2020" s="8" t="inlineStr">
        <is>
          <t>cumulative</t>
        </is>
      </c>
      <c r="J2020" s="8" t="inlineStr">
        <is>
          <t>KL</t>
        </is>
      </c>
      <c r="K2020" s="8" t="inlineStr"/>
      <c r="L2020" s="10">
        <f>IFERROR(IF(F2020&lt;F2019,"NEGATIVE",ROUND(F2020-F2019,2)),"")</f>
        <v/>
      </c>
    </row>
    <row r="2021" ht="22" customHeight="1">
      <c r="B2021" s="5" t="inlineStr">
        <is>
          <t>R02017</t>
        </is>
      </c>
      <c r="C2021" s="5" t="inlineStr">
        <is>
          <t>MTR-WSH-002</t>
        </is>
      </c>
      <c r="D2021" s="5" t="inlineStr">
        <is>
          <t>Washing Hall</t>
        </is>
      </c>
      <c r="E2021" s="5" t="inlineStr">
        <is>
          <t>Washing Machine 3</t>
        </is>
      </c>
      <c r="F2021" s="5" t="inlineStr">
        <is>
          <t>2024-06-12 08:00</t>
        </is>
      </c>
      <c r="G2021" s="11" t="n">
        <v>92820.39</v>
      </c>
      <c r="H2021" s="5" t="inlineStr">
        <is>
          <t>m3</t>
        </is>
      </c>
      <c r="I2021" s="5" t="inlineStr">
        <is>
          <t>cumulative</t>
        </is>
      </c>
      <c r="J2021" s="5" t="inlineStr">
        <is>
          <t>KL</t>
        </is>
      </c>
      <c r="K2021" s="5" t="inlineStr"/>
      <c r="L2021" s="7">
        <f>IFERROR(IF(F2021&lt;F2020,"NEGATIVE",ROUND(F2021-F2020,2)),"")</f>
        <v/>
      </c>
    </row>
    <row r="2022" ht="22" customHeight="1">
      <c r="B2022" s="8" t="inlineStr">
        <is>
          <t>R02018</t>
        </is>
      </c>
      <c r="C2022" s="8" t="inlineStr">
        <is>
          <t>MTR-WSH-002</t>
        </is>
      </c>
      <c r="D2022" s="8" t="inlineStr">
        <is>
          <t>Washing Hall</t>
        </is>
      </c>
      <c r="E2022" s="8" t="inlineStr">
        <is>
          <t>Washing Machine 3</t>
        </is>
      </c>
      <c r="F2022" s="8" t="inlineStr">
        <is>
          <t>2024-06-13 08:00</t>
        </is>
      </c>
      <c r="G2022" s="12" t="n">
        <v>92851.84</v>
      </c>
      <c r="H2022" s="8" t="inlineStr">
        <is>
          <t>m3</t>
        </is>
      </c>
      <c r="I2022" s="8" t="inlineStr">
        <is>
          <t>cumulative</t>
        </is>
      </c>
      <c r="J2022" s="8" t="inlineStr">
        <is>
          <t>CD</t>
        </is>
      </c>
      <c r="K2022" s="8" t="inlineStr"/>
      <c r="L2022" s="10">
        <f>IFERROR(IF(F2022&lt;F2021,"NEGATIVE",ROUND(F2022-F2021,2)),"")</f>
        <v/>
      </c>
    </row>
    <row r="2023" ht="22" customHeight="1">
      <c r="B2023" s="5" t="inlineStr">
        <is>
          <t>R02019</t>
        </is>
      </c>
      <c r="C2023" s="5" t="inlineStr">
        <is>
          <t>MTR-WSH-002</t>
        </is>
      </c>
      <c r="D2023" s="5" t="inlineStr">
        <is>
          <t>Washing Hall</t>
        </is>
      </c>
      <c r="E2023" s="5" t="inlineStr">
        <is>
          <t>Washing Machine 3</t>
        </is>
      </c>
      <c r="F2023" s="5" t="inlineStr">
        <is>
          <t>2024-06-14 08:00</t>
        </is>
      </c>
      <c r="G2023" s="11" t="n">
        <v>92887.89</v>
      </c>
      <c r="H2023" s="5" t="inlineStr">
        <is>
          <t>m3</t>
        </is>
      </c>
      <c r="I2023" s="5" t="inlineStr">
        <is>
          <t>cumulative</t>
        </is>
      </c>
      <c r="J2023" s="5" t="inlineStr">
        <is>
          <t>CD</t>
        </is>
      </c>
      <c r="K2023" s="5" t="inlineStr"/>
      <c r="L2023" s="7">
        <f>IFERROR(IF(F2023&lt;F2022,"NEGATIVE",ROUND(F2023-F2022,2)),"")</f>
        <v/>
      </c>
    </row>
    <row r="2024" ht="22" customHeight="1">
      <c r="B2024" s="8" t="inlineStr">
        <is>
          <t>R02020</t>
        </is>
      </c>
      <c r="C2024" s="8" t="inlineStr">
        <is>
          <t>MTR-WSH-002</t>
        </is>
      </c>
      <c r="D2024" s="8" t="inlineStr">
        <is>
          <t>Washing Hall</t>
        </is>
      </c>
      <c r="E2024" s="8" t="inlineStr">
        <is>
          <t>Washing Machine 3</t>
        </is>
      </c>
      <c r="F2024" s="8" t="inlineStr">
        <is>
          <t>2024-06-15 08:00</t>
        </is>
      </c>
      <c r="G2024" s="12" t="n">
        <v>92914.91</v>
      </c>
      <c r="H2024" s="8" t="inlineStr">
        <is>
          <t>m3</t>
        </is>
      </c>
      <c r="I2024" s="8" t="inlineStr">
        <is>
          <t>cumulative</t>
        </is>
      </c>
      <c r="J2024" s="8" t="inlineStr">
        <is>
          <t>CD</t>
        </is>
      </c>
      <c r="K2024" s="8" t="inlineStr"/>
      <c r="L2024" s="10">
        <f>IFERROR(IF(F2024&lt;F2023,"NEGATIVE",ROUND(F2024-F2023,2)),"")</f>
        <v/>
      </c>
    </row>
    <row r="2025" ht="22" customHeight="1">
      <c r="B2025" s="5" t="inlineStr">
        <is>
          <t>R02021</t>
        </is>
      </c>
      <c r="C2025" s="5" t="inlineStr">
        <is>
          <t>MTR-WSH-002</t>
        </is>
      </c>
      <c r="D2025" s="5" t="inlineStr">
        <is>
          <t>Washing Hall</t>
        </is>
      </c>
      <c r="E2025" s="5" t="inlineStr">
        <is>
          <t>Washing Machine 3</t>
        </is>
      </c>
      <c r="F2025" s="5" t="inlineStr">
        <is>
          <t>2024-06-16 08:00</t>
        </is>
      </c>
      <c r="G2025" s="11" t="n">
        <v>92932.25</v>
      </c>
      <c r="H2025" s="5" t="inlineStr">
        <is>
          <t>m3</t>
        </is>
      </c>
      <c r="I2025" s="5" t="inlineStr">
        <is>
          <t>cumulative</t>
        </is>
      </c>
      <c r="J2025" s="5" t="inlineStr">
        <is>
          <t>EF</t>
        </is>
      </c>
      <c r="K2025" s="5" t="inlineStr"/>
      <c r="L2025" s="7">
        <f>IFERROR(IF(F2025&lt;F2024,"NEGATIVE",ROUND(F2025-F2024,2)),"")</f>
        <v/>
      </c>
    </row>
    <row r="2026" ht="22" customHeight="1">
      <c r="B2026" s="8" t="inlineStr">
        <is>
          <t>R02022</t>
        </is>
      </c>
      <c r="C2026" s="8" t="inlineStr">
        <is>
          <t>MTR-WSH-002</t>
        </is>
      </c>
      <c r="D2026" s="8" t="inlineStr">
        <is>
          <t>Washing Hall</t>
        </is>
      </c>
      <c r="E2026" s="8" t="inlineStr">
        <is>
          <t>Washing Machine 3</t>
        </is>
      </c>
      <c r="F2026" s="8" t="inlineStr">
        <is>
          <t>2024-06-17 08:00</t>
        </is>
      </c>
      <c r="G2026" s="12" t="n">
        <v>92966.10000000001</v>
      </c>
      <c r="H2026" s="8" t="inlineStr">
        <is>
          <t>m3</t>
        </is>
      </c>
      <c r="I2026" s="8" t="inlineStr">
        <is>
          <t>cumulative</t>
        </is>
      </c>
      <c r="J2026" s="8" t="inlineStr">
        <is>
          <t>IJ</t>
        </is>
      </c>
      <c r="K2026" s="8" t="inlineStr"/>
      <c r="L2026" s="10">
        <f>IFERROR(IF(F2026&lt;F2025,"NEGATIVE",ROUND(F2026-F2025,2)),"")</f>
        <v/>
      </c>
    </row>
    <row r="2027" ht="22" customHeight="1">
      <c r="B2027" s="5" t="inlineStr">
        <is>
          <t>R02023</t>
        </is>
      </c>
      <c r="C2027" s="5" t="inlineStr">
        <is>
          <t>MTR-WSH-002</t>
        </is>
      </c>
      <c r="D2027" s="5" t="inlineStr">
        <is>
          <t>Washing Hall</t>
        </is>
      </c>
      <c r="E2027" s="5" t="inlineStr">
        <is>
          <t>Washing Machine 3</t>
        </is>
      </c>
      <c r="F2027" s="5" t="inlineStr">
        <is>
          <t>2024-06-18 08:00</t>
        </is>
      </c>
      <c r="G2027" s="11" t="n">
        <v>93002.5</v>
      </c>
      <c r="H2027" s="5" t="inlineStr">
        <is>
          <t>m3</t>
        </is>
      </c>
      <c r="I2027" s="5" t="inlineStr">
        <is>
          <t>cumulative</t>
        </is>
      </c>
      <c r="J2027" s="5" t="inlineStr">
        <is>
          <t>CD</t>
        </is>
      </c>
      <c r="K2027" s="5" t="inlineStr"/>
      <c r="L2027" s="7">
        <f>IFERROR(IF(F2027&lt;F2026,"NEGATIVE",ROUND(F2027-F2026,2)),"")</f>
        <v/>
      </c>
    </row>
    <row r="2028" ht="22" customHeight="1">
      <c r="B2028" s="8" t="inlineStr">
        <is>
          <t>R02024</t>
        </is>
      </c>
      <c r="C2028" s="8" t="inlineStr">
        <is>
          <t>MTR-WSH-002</t>
        </is>
      </c>
      <c r="D2028" s="8" t="inlineStr">
        <is>
          <t>Washing Hall</t>
        </is>
      </c>
      <c r="E2028" s="8" t="inlineStr">
        <is>
          <t>Washing Machine 3</t>
        </is>
      </c>
      <c r="F2028" s="8" t="inlineStr">
        <is>
          <t>2024-06-19 08:00</t>
        </is>
      </c>
      <c r="G2028" s="12" t="n">
        <v>93037.39</v>
      </c>
      <c r="H2028" s="8" t="inlineStr">
        <is>
          <t>m3</t>
        </is>
      </c>
      <c r="I2028" s="8" t="inlineStr">
        <is>
          <t>cumulative</t>
        </is>
      </c>
      <c r="J2028" s="8" t="inlineStr">
        <is>
          <t>IJ</t>
        </is>
      </c>
      <c r="K2028" s="8" t="inlineStr"/>
      <c r="L2028" s="10">
        <f>IFERROR(IF(F2028&lt;F2027,"NEGATIVE",ROUND(F2028-F2027,2)),"")</f>
        <v/>
      </c>
    </row>
    <row r="2029" ht="22" customHeight="1">
      <c r="B2029" s="5" t="inlineStr">
        <is>
          <t>R02025</t>
        </is>
      </c>
      <c r="C2029" s="5" t="inlineStr">
        <is>
          <t>MTR-WSH-002</t>
        </is>
      </c>
      <c r="D2029" s="5" t="inlineStr">
        <is>
          <t>Washing Hall</t>
        </is>
      </c>
      <c r="E2029" s="5" t="inlineStr">
        <is>
          <t>Washing Machine 3</t>
        </is>
      </c>
      <c r="F2029" s="5" t="inlineStr">
        <is>
          <t>2024-06-20 08:00</t>
        </is>
      </c>
      <c r="G2029" s="11" t="n">
        <v>93071.53</v>
      </c>
      <c r="H2029" s="5" t="inlineStr">
        <is>
          <t>m3</t>
        </is>
      </c>
      <c r="I2029" s="5" t="inlineStr">
        <is>
          <t>cumulative</t>
        </is>
      </c>
      <c r="J2029" s="5" t="inlineStr">
        <is>
          <t>KL</t>
        </is>
      </c>
      <c r="K2029" s="5" t="inlineStr"/>
      <c r="L2029" s="7">
        <f>IFERROR(IF(F2029&lt;F2028,"NEGATIVE",ROUND(F2029-F2028,2)),"")</f>
        <v/>
      </c>
    </row>
    <row r="2030" ht="22" customHeight="1">
      <c r="B2030" s="8" t="inlineStr">
        <is>
          <t>R02026</t>
        </is>
      </c>
      <c r="C2030" s="8" t="inlineStr">
        <is>
          <t>MTR-WSH-002</t>
        </is>
      </c>
      <c r="D2030" s="8" t="inlineStr">
        <is>
          <t>Washing Hall</t>
        </is>
      </c>
      <c r="E2030" s="8" t="inlineStr">
        <is>
          <t>Washing Machine 3</t>
        </is>
      </c>
      <c r="F2030" s="8" t="inlineStr">
        <is>
          <t>2024-06-21 08:00</t>
        </is>
      </c>
      <c r="G2030" s="12" t="n">
        <v>93109.11</v>
      </c>
      <c r="H2030" s="8" t="inlineStr">
        <is>
          <t>m3</t>
        </is>
      </c>
      <c r="I2030" s="8" t="inlineStr">
        <is>
          <t>cumulative</t>
        </is>
      </c>
      <c r="J2030" s="8" t="inlineStr">
        <is>
          <t>KL</t>
        </is>
      </c>
      <c r="K2030" s="8" t="inlineStr"/>
      <c r="L2030" s="10">
        <f>IFERROR(IF(F2030&lt;F2029,"NEGATIVE",ROUND(F2030-F2029,2)),"")</f>
        <v/>
      </c>
    </row>
    <row r="2031" ht="22" customHeight="1">
      <c r="B2031" s="5" t="inlineStr">
        <is>
          <t>R02027</t>
        </is>
      </c>
      <c r="C2031" s="5" t="inlineStr">
        <is>
          <t>MTR-WSH-002</t>
        </is>
      </c>
      <c r="D2031" s="5" t="inlineStr">
        <is>
          <t>Washing Hall</t>
        </is>
      </c>
      <c r="E2031" s="5" t="inlineStr">
        <is>
          <t>Washing Machine 3</t>
        </is>
      </c>
      <c r="F2031" s="5" t="inlineStr">
        <is>
          <t>2024-06-22 08:00</t>
        </is>
      </c>
      <c r="G2031" s="11" t="n">
        <v>93133.77</v>
      </c>
      <c r="H2031" s="5" t="inlineStr">
        <is>
          <t>m3</t>
        </is>
      </c>
      <c r="I2031" s="5" t="inlineStr">
        <is>
          <t>cumulative</t>
        </is>
      </c>
      <c r="J2031" s="5" t="inlineStr">
        <is>
          <t>KL</t>
        </is>
      </c>
      <c r="K2031" s="5" t="inlineStr"/>
      <c r="L2031" s="7">
        <f>IFERROR(IF(F2031&lt;F2030,"NEGATIVE",ROUND(F2031-F2030,2)),"")</f>
        <v/>
      </c>
    </row>
    <row r="2032" ht="22" customHeight="1">
      <c r="B2032" s="8" t="inlineStr">
        <is>
          <t>R02028</t>
        </is>
      </c>
      <c r="C2032" s="8" t="inlineStr">
        <is>
          <t>MTR-WSH-002</t>
        </is>
      </c>
      <c r="D2032" s="8" t="inlineStr">
        <is>
          <t>Washing Hall</t>
        </is>
      </c>
      <c r="E2032" s="8" t="inlineStr">
        <is>
          <t>Washing Machine 3</t>
        </is>
      </c>
      <c r="F2032" s="8" t="inlineStr">
        <is>
          <t>2024-06-23 08:00</t>
        </is>
      </c>
      <c r="G2032" s="12" t="n">
        <v>93150.49000000001</v>
      </c>
      <c r="H2032" s="8" t="inlineStr">
        <is>
          <t>m3</t>
        </is>
      </c>
      <c r="I2032" s="8" t="inlineStr">
        <is>
          <t>cumulative</t>
        </is>
      </c>
      <c r="J2032" s="8" t="inlineStr">
        <is>
          <t>CD</t>
        </is>
      </c>
      <c r="K2032" s="8" t="inlineStr"/>
      <c r="L2032" s="10">
        <f>IFERROR(IF(F2032&lt;F2031,"NEGATIVE",ROUND(F2032-F2031,2)),"")</f>
        <v/>
      </c>
    </row>
    <row r="2033" ht="22" customHeight="1">
      <c r="B2033" s="5" t="inlineStr">
        <is>
          <t>R02029</t>
        </is>
      </c>
      <c r="C2033" s="5" t="inlineStr">
        <is>
          <t>MTR-WSH-002</t>
        </is>
      </c>
      <c r="D2033" s="5" t="inlineStr">
        <is>
          <t>Washing Hall</t>
        </is>
      </c>
      <c r="E2033" s="5" t="inlineStr">
        <is>
          <t>Washing Machine 3</t>
        </is>
      </c>
      <c r="F2033" s="5" t="inlineStr">
        <is>
          <t>2024-06-24 08:00</t>
        </is>
      </c>
      <c r="G2033" s="11" t="n">
        <v>93184.92</v>
      </c>
      <c r="H2033" s="5" t="inlineStr">
        <is>
          <t>m3</t>
        </is>
      </c>
      <c r="I2033" s="5" t="inlineStr">
        <is>
          <t>cumulative</t>
        </is>
      </c>
      <c r="J2033" s="5" t="inlineStr">
        <is>
          <t>KL</t>
        </is>
      </c>
      <c r="K2033" s="5" t="inlineStr"/>
      <c r="L2033" s="7">
        <f>IFERROR(IF(F2033&lt;F2032,"NEGATIVE",ROUND(F2033-F2032,2)),"")</f>
        <v/>
      </c>
    </row>
    <row r="2034" ht="22" customHeight="1">
      <c r="B2034" s="8" t="inlineStr">
        <is>
          <t>R02030</t>
        </is>
      </c>
      <c r="C2034" s="8" t="inlineStr">
        <is>
          <t>MTR-WSH-002</t>
        </is>
      </c>
      <c r="D2034" s="8" t="inlineStr">
        <is>
          <t>Washing Hall</t>
        </is>
      </c>
      <c r="E2034" s="8" t="inlineStr">
        <is>
          <t>Washing Machine 3</t>
        </is>
      </c>
      <c r="F2034" s="8" t="inlineStr">
        <is>
          <t>2024-06-25 08:00</t>
        </is>
      </c>
      <c r="G2034" s="12" t="n">
        <v>93220.56</v>
      </c>
      <c r="H2034" s="8" t="inlineStr">
        <is>
          <t>m3</t>
        </is>
      </c>
      <c r="I2034" s="8" t="inlineStr">
        <is>
          <t>cumulative</t>
        </is>
      </c>
      <c r="J2034" s="8" t="inlineStr">
        <is>
          <t>KL</t>
        </is>
      </c>
      <c r="K2034" s="8" t="inlineStr"/>
      <c r="L2034" s="10">
        <f>IFERROR(IF(F2034&lt;F2033,"NEGATIVE",ROUND(F2034-F2033,2)),"")</f>
        <v/>
      </c>
    </row>
    <row r="2035" ht="22" customHeight="1">
      <c r="B2035" s="5" t="inlineStr">
        <is>
          <t>R02031</t>
        </is>
      </c>
      <c r="C2035" s="5" t="inlineStr">
        <is>
          <t>MTR-WSH-002</t>
        </is>
      </c>
      <c r="D2035" s="5" t="inlineStr">
        <is>
          <t>Washing Hall</t>
        </is>
      </c>
      <c r="E2035" s="5" t="inlineStr">
        <is>
          <t>Washing Machine 3</t>
        </is>
      </c>
      <c r="F2035" s="5" t="inlineStr">
        <is>
          <t>2024-06-26 08:00</t>
        </is>
      </c>
      <c r="G2035" s="11" t="n">
        <v>93251.39999999999</v>
      </c>
      <c r="H2035" s="5" t="inlineStr">
        <is>
          <t>m3</t>
        </is>
      </c>
      <c r="I2035" s="5" t="inlineStr">
        <is>
          <t>cumulative</t>
        </is>
      </c>
      <c r="J2035" s="5" t="inlineStr">
        <is>
          <t>KL</t>
        </is>
      </c>
      <c r="K2035" s="5" t="inlineStr"/>
      <c r="L2035" s="7">
        <f>IFERROR(IF(F2035&lt;F2034,"NEGATIVE",ROUND(F2035-F2034,2)),"")</f>
        <v/>
      </c>
    </row>
    <row r="2036" ht="22" customHeight="1">
      <c r="B2036" s="8" t="inlineStr">
        <is>
          <t>R02032</t>
        </is>
      </c>
      <c r="C2036" s="8" t="inlineStr">
        <is>
          <t>MTR-WSH-002</t>
        </is>
      </c>
      <c r="D2036" s="8" t="inlineStr">
        <is>
          <t>Washing Hall</t>
        </is>
      </c>
      <c r="E2036" s="8" t="inlineStr">
        <is>
          <t>Washing Machine 3</t>
        </is>
      </c>
      <c r="F2036" s="8" t="inlineStr">
        <is>
          <t>2024-06-27 08:00</t>
        </is>
      </c>
      <c r="G2036" s="12" t="n">
        <v>93288.44</v>
      </c>
      <c r="H2036" s="8" t="inlineStr">
        <is>
          <t>m3</t>
        </is>
      </c>
      <c r="I2036" s="8" t="inlineStr">
        <is>
          <t>cumulative</t>
        </is>
      </c>
      <c r="J2036" s="8" t="inlineStr">
        <is>
          <t>CD</t>
        </is>
      </c>
      <c r="K2036" s="8" t="inlineStr"/>
      <c r="L2036" s="10">
        <f>IFERROR(IF(F2036&lt;F2035,"NEGATIVE",ROUND(F2036-F2035,2)),"")</f>
        <v/>
      </c>
    </row>
    <row r="2037" ht="22" customHeight="1">
      <c r="B2037" s="5" t="inlineStr">
        <is>
          <t>R02033</t>
        </is>
      </c>
      <c r="C2037" s="5" t="inlineStr">
        <is>
          <t>MTR-WSH-002</t>
        </is>
      </c>
      <c r="D2037" s="5" t="inlineStr">
        <is>
          <t>Washing Hall</t>
        </is>
      </c>
      <c r="E2037" s="5" t="inlineStr">
        <is>
          <t>Washing Machine 3</t>
        </is>
      </c>
      <c r="F2037" s="5" t="inlineStr">
        <is>
          <t>2024-06-28 08:00</t>
        </is>
      </c>
      <c r="G2037" s="11" t="n">
        <v>93325.58</v>
      </c>
      <c r="H2037" s="5" t="inlineStr">
        <is>
          <t>m3</t>
        </is>
      </c>
      <c r="I2037" s="5" t="inlineStr">
        <is>
          <t>cumulative</t>
        </is>
      </c>
      <c r="J2037" s="5" t="inlineStr">
        <is>
          <t>EF</t>
        </is>
      </c>
      <c r="K2037" s="5" t="inlineStr"/>
      <c r="L2037" s="7">
        <f>IFERROR(IF(F2037&lt;F2036,"NEGATIVE",ROUND(F2037-F2036,2)),"")</f>
        <v/>
      </c>
    </row>
    <row r="2038" ht="22" customHeight="1">
      <c r="B2038" s="8" t="inlineStr">
        <is>
          <t>R02034</t>
        </is>
      </c>
      <c r="C2038" s="8" t="inlineStr">
        <is>
          <t>MTR-WSH-002</t>
        </is>
      </c>
      <c r="D2038" s="8" t="inlineStr">
        <is>
          <t>Washing Hall</t>
        </is>
      </c>
      <c r="E2038" s="8" t="inlineStr">
        <is>
          <t>Washing Machine 3</t>
        </is>
      </c>
      <c r="F2038" s="8" t="inlineStr">
        <is>
          <t>2024-06-29 08:00</t>
        </is>
      </c>
      <c r="G2038" s="12" t="n">
        <v>93350.7</v>
      </c>
      <c r="H2038" s="8" t="inlineStr">
        <is>
          <t>m3</t>
        </is>
      </c>
      <c r="I2038" s="8" t="inlineStr">
        <is>
          <t>cumulative</t>
        </is>
      </c>
      <c r="J2038" s="8" t="inlineStr">
        <is>
          <t>CD</t>
        </is>
      </c>
      <c r="K2038" s="8" t="inlineStr"/>
      <c r="L2038" s="10">
        <f>IFERROR(IF(F2038&lt;F2037,"NEGATIVE",ROUND(F2038-F2037,2)),"")</f>
        <v/>
      </c>
    </row>
    <row r="2039" ht="22" customHeight="1">
      <c r="B2039" s="5" t="inlineStr">
        <is>
          <t>R02035</t>
        </is>
      </c>
      <c r="C2039" s="5" t="inlineStr">
        <is>
          <t>MTR-WSH-002</t>
        </is>
      </c>
      <c r="D2039" s="5" t="inlineStr">
        <is>
          <t>Washing Hall</t>
        </is>
      </c>
      <c r="E2039" s="5" t="inlineStr">
        <is>
          <t>Washing Machine 3</t>
        </is>
      </c>
      <c r="F2039" s="5" t="inlineStr">
        <is>
          <t>2024-06-30 08:00</t>
        </is>
      </c>
      <c r="G2039" s="11" t="n">
        <v>93367.92</v>
      </c>
      <c r="H2039" s="5" t="inlineStr">
        <is>
          <t>m3</t>
        </is>
      </c>
      <c r="I2039" s="5" t="inlineStr">
        <is>
          <t>cumulative</t>
        </is>
      </c>
      <c r="J2039" s="5" t="inlineStr">
        <is>
          <t>GH</t>
        </is>
      </c>
      <c r="K2039" s="5" t="inlineStr"/>
      <c r="L2039" s="7">
        <f>IFERROR(IF(F2039&lt;F2038,"NEGATIVE",ROUND(F2039-F2038,2)),"")</f>
        <v/>
      </c>
    </row>
    <row r="2040" ht="22" customHeight="1">
      <c r="B2040" s="8" t="inlineStr">
        <is>
          <t>R02036</t>
        </is>
      </c>
      <c r="C2040" s="8" t="inlineStr">
        <is>
          <t>MTR-WSH-002</t>
        </is>
      </c>
      <c r="D2040" s="8" t="inlineStr">
        <is>
          <t>Washing Hall</t>
        </is>
      </c>
      <c r="E2040" s="8" t="inlineStr">
        <is>
          <t>Washing Machine 3</t>
        </is>
      </c>
      <c r="F2040" s="8" t="inlineStr">
        <is>
          <t>2024-07-01 08:00</t>
        </is>
      </c>
      <c r="G2040" s="12" t="n">
        <v>93402.98</v>
      </c>
      <c r="H2040" s="8" t="inlineStr">
        <is>
          <t>m3</t>
        </is>
      </c>
      <c r="I2040" s="8" t="inlineStr">
        <is>
          <t>cumulative</t>
        </is>
      </c>
      <c r="J2040" s="8" t="inlineStr">
        <is>
          <t>KL</t>
        </is>
      </c>
      <c r="K2040" s="8" t="inlineStr"/>
      <c r="L2040" s="10">
        <f>IFERROR(IF(F2040&lt;F2039,"NEGATIVE",ROUND(F2040-F2039,2)),"")</f>
        <v/>
      </c>
    </row>
    <row r="2041" ht="22" customHeight="1">
      <c r="B2041" s="5" t="inlineStr">
        <is>
          <t>R02037</t>
        </is>
      </c>
      <c r="C2041" s="5" t="inlineStr">
        <is>
          <t>MTR-WSH-002</t>
        </is>
      </c>
      <c r="D2041" s="5" t="inlineStr">
        <is>
          <t>Washing Hall</t>
        </is>
      </c>
      <c r="E2041" s="5" t="inlineStr">
        <is>
          <t>Washing Machine 3</t>
        </is>
      </c>
      <c r="F2041" s="5" t="inlineStr">
        <is>
          <t>2024-07-02 08:00</t>
        </is>
      </c>
      <c r="G2041" s="11" t="n">
        <v>93440.67</v>
      </c>
      <c r="H2041" s="5" t="inlineStr">
        <is>
          <t>m3</t>
        </is>
      </c>
      <c r="I2041" s="5" t="inlineStr">
        <is>
          <t>cumulative</t>
        </is>
      </c>
      <c r="J2041" s="5" t="inlineStr">
        <is>
          <t>CD</t>
        </is>
      </c>
      <c r="K2041" s="5" t="inlineStr"/>
      <c r="L2041" s="7">
        <f>IFERROR(IF(F2041&lt;F2040,"NEGATIVE",ROUND(F2041-F2040,2)),"")</f>
        <v/>
      </c>
    </row>
    <row r="2042" ht="22" customHeight="1">
      <c r="B2042" s="8" t="inlineStr">
        <is>
          <t>R02038</t>
        </is>
      </c>
      <c r="C2042" s="8" t="inlineStr">
        <is>
          <t>MTR-WSH-002</t>
        </is>
      </c>
      <c r="D2042" s="8" t="inlineStr">
        <is>
          <t>Washing Hall</t>
        </is>
      </c>
      <c r="E2042" s="8" t="inlineStr">
        <is>
          <t>Washing Machine 3</t>
        </is>
      </c>
      <c r="F2042" s="8" t="inlineStr">
        <is>
          <t>2024-07-03 08:00</t>
        </is>
      </c>
      <c r="G2042" s="12" t="n">
        <v>93475.81</v>
      </c>
      <c r="H2042" s="8" t="inlineStr">
        <is>
          <t>m3</t>
        </is>
      </c>
      <c r="I2042" s="8" t="inlineStr">
        <is>
          <t>cumulative</t>
        </is>
      </c>
      <c r="J2042" s="8" t="inlineStr">
        <is>
          <t>GH</t>
        </is>
      </c>
      <c r="K2042" s="8" t="inlineStr"/>
      <c r="L2042" s="10">
        <f>IFERROR(IF(F2042&lt;F2041,"NEGATIVE",ROUND(F2042-F2041,2)),"")</f>
        <v/>
      </c>
    </row>
    <row r="2043" ht="22" customHeight="1">
      <c r="B2043" s="5" t="inlineStr">
        <is>
          <t>R02039</t>
        </is>
      </c>
      <c r="C2043" s="5" t="inlineStr">
        <is>
          <t>MTR-WSH-002</t>
        </is>
      </c>
      <c r="D2043" s="5" t="inlineStr">
        <is>
          <t>Washing Hall</t>
        </is>
      </c>
      <c r="E2043" s="5" t="inlineStr">
        <is>
          <t>Washing Machine 3</t>
        </is>
      </c>
      <c r="F2043" s="5" t="inlineStr">
        <is>
          <t>2024-07-04 08:00</t>
        </is>
      </c>
      <c r="G2043" s="11" t="n">
        <v>93512.78</v>
      </c>
      <c r="H2043" s="5" t="inlineStr">
        <is>
          <t>m3</t>
        </is>
      </c>
      <c r="I2043" s="5" t="inlineStr">
        <is>
          <t>cumulative</t>
        </is>
      </c>
      <c r="J2043" s="5" t="inlineStr">
        <is>
          <t>AB</t>
        </is>
      </c>
      <c r="K2043" s="5" t="inlineStr"/>
      <c r="L2043" s="7">
        <f>IFERROR(IF(F2043&lt;F2042,"NEGATIVE",ROUND(F2043-F2042,2)),"")</f>
        <v/>
      </c>
    </row>
    <row r="2044" ht="22" customHeight="1">
      <c r="B2044" s="8" t="inlineStr">
        <is>
          <t>R02040</t>
        </is>
      </c>
      <c r="C2044" s="8" t="inlineStr">
        <is>
          <t>MTR-WSH-002</t>
        </is>
      </c>
      <c r="D2044" s="8" t="inlineStr">
        <is>
          <t>Washing Hall</t>
        </is>
      </c>
      <c r="E2044" s="8" t="inlineStr">
        <is>
          <t>Washing Machine 3</t>
        </is>
      </c>
      <c r="F2044" s="8" t="inlineStr">
        <is>
          <t>2024-07-05 08:00</t>
        </is>
      </c>
      <c r="G2044" s="12" t="n">
        <v>93546.44</v>
      </c>
      <c r="H2044" s="8" t="inlineStr">
        <is>
          <t>m3</t>
        </is>
      </c>
      <c r="I2044" s="8" t="inlineStr">
        <is>
          <t>cumulative</t>
        </is>
      </c>
      <c r="J2044" s="8" t="inlineStr">
        <is>
          <t>AB</t>
        </is>
      </c>
      <c r="K2044" s="8" t="inlineStr"/>
      <c r="L2044" s="10">
        <f>IFERROR(IF(F2044&lt;F2043,"NEGATIVE",ROUND(F2044-F2043,2)),"")</f>
        <v/>
      </c>
    </row>
    <row r="2045" ht="22" customHeight="1">
      <c r="B2045" s="5" t="inlineStr">
        <is>
          <t>R02041</t>
        </is>
      </c>
      <c r="C2045" s="5" t="inlineStr">
        <is>
          <t>MTR-WSH-002</t>
        </is>
      </c>
      <c r="D2045" s="5" t="inlineStr">
        <is>
          <t>Washing Hall</t>
        </is>
      </c>
      <c r="E2045" s="5" t="inlineStr">
        <is>
          <t>Washing Machine 3</t>
        </is>
      </c>
      <c r="F2045" s="5" t="inlineStr">
        <is>
          <t>2024-07-06 08:00</t>
        </is>
      </c>
      <c r="G2045" s="11" t="n">
        <v>93575.22</v>
      </c>
      <c r="H2045" s="5" t="inlineStr">
        <is>
          <t>m3</t>
        </is>
      </c>
      <c r="I2045" s="5" t="inlineStr">
        <is>
          <t>cumulative</t>
        </is>
      </c>
      <c r="J2045" s="5" t="inlineStr">
        <is>
          <t>IJ</t>
        </is>
      </c>
      <c r="K2045" s="5" t="inlineStr"/>
      <c r="L2045" s="7">
        <f>IFERROR(IF(F2045&lt;F2044,"NEGATIVE",ROUND(F2045-F2044,2)),"")</f>
        <v/>
      </c>
    </row>
    <row r="2046" ht="22" customHeight="1">
      <c r="B2046" s="8" t="inlineStr">
        <is>
          <t>R02042</t>
        </is>
      </c>
      <c r="C2046" s="8" t="inlineStr">
        <is>
          <t>MTR-WSH-002</t>
        </is>
      </c>
      <c r="D2046" s="8" t="inlineStr">
        <is>
          <t>Washing Hall</t>
        </is>
      </c>
      <c r="E2046" s="8" t="inlineStr">
        <is>
          <t>Washing Machine 3</t>
        </is>
      </c>
      <c r="F2046" s="8" t="inlineStr">
        <is>
          <t>2024-07-07 08:00</t>
        </is>
      </c>
      <c r="G2046" s="12" t="n">
        <v>93595.7</v>
      </c>
      <c r="H2046" s="8" t="inlineStr">
        <is>
          <t>m3</t>
        </is>
      </c>
      <c r="I2046" s="8" t="inlineStr">
        <is>
          <t>cumulative</t>
        </is>
      </c>
      <c r="J2046" s="8" t="inlineStr">
        <is>
          <t>KL</t>
        </is>
      </c>
      <c r="K2046" s="8" t="inlineStr"/>
      <c r="L2046" s="10">
        <f>IFERROR(IF(F2046&lt;F2045,"NEGATIVE",ROUND(F2046-F2045,2)),"")</f>
        <v/>
      </c>
    </row>
    <row r="2047" ht="22" customHeight="1">
      <c r="B2047" s="5" t="inlineStr">
        <is>
          <t>R02043</t>
        </is>
      </c>
      <c r="C2047" s="5" t="inlineStr">
        <is>
          <t>MTR-WSH-002</t>
        </is>
      </c>
      <c r="D2047" s="5" t="inlineStr">
        <is>
          <t>Washing Hall</t>
        </is>
      </c>
      <c r="E2047" s="5" t="inlineStr">
        <is>
          <t>Washing Machine 3</t>
        </is>
      </c>
      <c r="F2047" s="5" t="inlineStr">
        <is>
          <t>2024-07-08 08:00</t>
        </is>
      </c>
      <c r="G2047" s="11" t="n">
        <v>93632.97</v>
      </c>
      <c r="H2047" s="5" t="inlineStr">
        <is>
          <t>m3</t>
        </is>
      </c>
      <c r="I2047" s="5" t="inlineStr">
        <is>
          <t>cumulative</t>
        </is>
      </c>
      <c r="J2047" s="5" t="inlineStr">
        <is>
          <t>IJ</t>
        </is>
      </c>
      <c r="K2047" s="5" t="inlineStr"/>
      <c r="L2047" s="7">
        <f>IFERROR(IF(F2047&lt;F2046,"NEGATIVE",ROUND(F2047-F2046,2)),"")</f>
        <v/>
      </c>
    </row>
    <row r="2048" ht="22" customHeight="1">
      <c r="B2048" s="8" t="inlineStr">
        <is>
          <t>R02044</t>
        </is>
      </c>
      <c r="C2048" s="8" t="inlineStr">
        <is>
          <t>MTR-WSH-002</t>
        </is>
      </c>
      <c r="D2048" s="8" t="inlineStr">
        <is>
          <t>Washing Hall</t>
        </is>
      </c>
      <c r="E2048" s="8" t="inlineStr">
        <is>
          <t>Washing Machine 3</t>
        </is>
      </c>
      <c r="F2048" s="8" t="inlineStr">
        <is>
          <t>2024-07-09 08:00</t>
        </is>
      </c>
      <c r="G2048" s="12" t="n">
        <v>93671.55</v>
      </c>
      <c r="H2048" s="8" t="inlineStr">
        <is>
          <t>m3</t>
        </is>
      </c>
      <c r="I2048" s="8" t="inlineStr">
        <is>
          <t>cumulative</t>
        </is>
      </c>
      <c r="J2048" s="8" t="inlineStr">
        <is>
          <t>AB</t>
        </is>
      </c>
      <c r="K2048" s="8" t="inlineStr"/>
      <c r="L2048" s="10">
        <f>IFERROR(IF(F2048&lt;F2047,"NEGATIVE",ROUND(F2048-F2047,2)),"")</f>
        <v/>
      </c>
    </row>
    <row r="2049" ht="22" customHeight="1">
      <c r="B2049" s="5" t="inlineStr">
        <is>
          <t>R02045</t>
        </is>
      </c>
      <c r="C2049" s="5" t="inlineStr">
        <is>
          <t>MTR-WSH-002</t>
        </is>
      </c>
      <c r="D2049" s="5" t="inlineStr">
        <is>
          <t>Washing Hall</t>
        </is>
      </c>
      <c r="E2049" s="5" t="inlineStr">
        <is>
          <t>Washing Machine 3</t>
        </is>
      </c>
      <c r="F2049" s="5" t="inlineStr">
        <is>
          <t>2024-07-10 08:00</t>
        </is>
      </c>
      <c r="G2049" s="11" t="n">
        <v>93707</v>
      </c>
      <c r="H2049" s="5" t="inlineStr">
        <is>
          <t>m3</t>
        </is>
      </c>
      <c r="I2049" s="5" t="inlineStr">
        <is>
          <t>cumulative</t>
        </is>
      </c>
      <c r="J2049" s="5" t="inlineStr">
        <is>
          <t>CD</t>
        </is>
      </c>
      <c r="K2049" s="5" t="inlineStr"/>
      <c r="L2049" s="7">
        <f>IFERROR(IF(F2049&lt;F2048,"NEGATIVE",ROUND(F2049-F2048,2)),"")</f>
        <v/>
      </c>
    </row>
    <row r="2050" ht="22" customHeight="1">
      <c r="B2050" s="8" t="inlineStr">
        <is>
          <t>R02046</t>
        </is>
      </c>
      <c r="C2050" s="8" t="inlineStr">
        <is>
          <t>MTR-WSH-002</t>
        </is>
      </c>
      <c r="D2050" s="8" t="inlineStr">
        <is>
          <t>Washing Hall</t>
        </is>
      </c>
      <c r="E2050" s="8" t="inlineStr">
        <is>
          <t>Washing Machine 3</t>
        </is>
      </c>
      <c r="F2050" s="8" t="inlineStr">
        <is>
          <t>2024-07-11 08:00</t>
        </is>
      </c>
      <c r="G2050" s="12" t="n">
        <v>93741.21000000001</v>
      </c>
      <c r="H2050" s="8" t="inlineStr">
        <is>
          <t>m3</t>
        </is>
      </c>
      <c r="I2050" s="8" t="inlineStr">
        <is>
          <t>cumulative</t>
        </is>
      </c>
      <c r="J2050" s="8" t="inlineStr">
        <is>
          <t>IJ</t>
        </is>
      </c>
      <c r="K2050" s="8" t="inlineStr"/>
      <c r="L2050" s="10">
        <f>IFERROR(IF(F2050&lt;F2049,"NEGATIVE",ROUND(F2050-F2049,2)),"")</f>
        <v/>
      </c>
    </row>
    <row r="2051" ht="22" customHeight="1">
      <c r="B2051" s="5" t="inlineStr">
        <is>
          <t>R02047</t>
        </is>
      </c>
      <c r="C2051" s="5" t="inlineStr">
        <is>
          <t>MTR-WSH-002</t>
        </is>
      </c>
      <c r="D2051" s="5" t="inlineStr">
        <is>
          <t>Washing Hall</t>
        </is>
      </c>
      <c r="E2051" s="5" t="inlineStr">
        <is>
          <t>Washing Machine 3</t>
        </is>
      </c>
      <c r="F2051" s="5" t="inlineStr">
        <is>
          <t>2024-07-12 08:00</t>
        </is>
      </c>
      <c r="G2051" s="11" t="n">
        <v>93778.46000000001</v>
      </c>
      <c r="H2051" s="5" t="inlineStr">
        <is>
          <t>m3</t>
        </is>
      </c>
      <c r="I2051" s="5" t="inlineStr">
        <is>
          <t>cumulative</t>
        </is>
      </c>
      <c r="J2051" s="5" t="inlineStr">
        <is>
          <t>IJ</t>
        </is>
      </c>
      <c r="K2051" s="5" t="inlineStr"/>
      <c r="L2051" s="7">
        <f>IFERROR(IF(F2051&lt;F2050,"NEGATIVE",ROUND(F2051-F2050,2)),"")</f>
        <v/>
      </c>
    </row>
    <row r="2052" ht="22" customHeight="1">
      <c r="B2052" s="8" t="inlineStr">
        <is>
          <t>R02048</t>
        </is>
      </c>
      <c r="C2052" s="8" t="inlineStr">
        <is>
          <t>MTR-WSH-002</t>
        </is>
      </c>
      <c r="D2052" s="8" t="inlineStr">
        <is>
          <t>Washing Hall</t>
        </is>
      </c>
      <c r="E2052" s="8" t="inlineStr">
        <is>
          <t>Washing Machine 3</t>
        </is>
      </c>
      <c r="F2052" s="8" t="inlineStr">
        <is>
          <t>2024-07-13 08:00</t>
        </is>
      </c>
      <c r="G2052" s="12" t="n">
        <v>93802.60000000001</v>
      </c>
      <c r="H2052" s="8" t="inlineStr">
        <is>
          <t>m3</t>
        </is>
      </c>
      <c r="I2052" s="8" t="inlineStr">
        <is>
          <t>cumulative</t>
        </is>
      </c>
      <c r="J2052" s="8" t="inlineStr">
        <is>
          <t>GH</t>
        </is>
      </c>
      <c r="K2052" s="8" t="inlineStr"/>
      <c r="L2052" s="10">
        <f>IFERROR(IF(F2052&lt;F2051,"NEGATIVE",ROUND(F2052-F2051,2)),"")</f>
        <v/>
      </c>
    </row>
    <row r="2053" ht="22" customHeight="1">
      <c r="B2053" s="5" t="inlineStr">
        <is>
          <t>R02049</t>
        </is>
      </c>
      <c r="C2053" s="5" t="inlineStr">
        <is>
          <t>MTR-WSH-002</t>
        </is>
      </c>
      <c r="D2053" s="5" t="inlineStr">
        <is>
          <t>Washing Hall</t>
        </is>
      </c>
      <c r="E2053" s="5" t="inlineStr">
        <is>
          <t>Washing Machine 3</t>
        </is>
      </c>
      <c r="F2053" s="5" t="inlineStr">
        <is>
          <t>2024-07-14 08:00</t>
        </is>
      </c>
      <c r="G2053" s="11" t="n">
        <v>93820.09</v>
      </c>
      <c r="H2053" s="5" t="inlineStr">
        <is>
          <t>m3</t>
        </is>
      </c>
      <c r="I2053" s="5" t="inlineStr">
        <is>
          <t>cumulative</t>
        </is>
      </c>
      <c r="J2053" s="5" t="inlineStr">
        <is>
          <t>KL</t>
        </is>
      </c>
      <c r="K2053" s="5" t="inlineStr"/>
      <c r="L2053" s="7">
        <f>IFERROR(IF(F2053&lt;F2052,"NEGATIVE",ROUND(F2053-F2052,2)),"")</f>
        <v/>
      </c>
    </row>
    <row r="2054" ht="22" customHeight="1">
      <c r="B2054" s="8" t="inlineStr">
        <is>
          <t>R02050</t>
        </is>
      </c>
      <c r="C2054" s="8" t="inlineStr">
        <is>
          <t>MTR-WSH-002</t>
        </is>
      </c>
      <c r="D2054" s="8" t="inlineStr">
        <is>
          <t>Washing Hall</t>
        </is>
      </c>
      <c r="E2054" s="8" t="inlineStr">
        <is>
          <t>Washing Machine 3</t>
        </is>
      </c>
      <c r="F2054" s="8" t="inlineStr">
        <is>
          <t>2024-07-15 08:00</t>
        </is>
      </c>
      <c r="G2054" s="12" t="n">
        <v>93858.27</v>
      </c>
      <c r="H2054" s="8" t="inlineStr">
        <is>
          <t>m3</t>
        </is>
      </c>
      <c r="I2054" s="8" t="inlineStr">
        <is>
          <t>cumulative</t>
        </is>
      </c>
      <c r="J2054" s="8" t="inlineStr">
        <is>
          <t>AB</t>
        </is>
      </c>
      <c r="K2054" s="8" t="inlineStr"/>
      <c r="L2054" s="10">
        <f>IFERROR(IF(F2054&lt;F2053,"NEGATIVE",ROUND(F2054-F2053,2)),"")</f>
        <v/>
      </c>
    </row>
    <row r="2055" ht="22" customHeight="1">
      <c r="B2055" s="5" t="inlineStr">
        <is>
          <t>R02051</t>
        </is>
      </c>
      <c r="C2055" s="5" t="inlineStr">
        <is>
          <t>MTR-WSH-002</t>
        </is>
      </c>
      <c r="D2055" s="5" t="inlineStr">
        <is>
          <t>Washing Hall</t>
        </is>
      </c>
      <c r="E2055" s="5" t="inlineStr">
        <is>
          <t>Washing Machine 3</t>
        </is>
      </c>
      <c r="F2055" s="5" t="inlineStr">
        <is>
          <t>2024-07-16 08:00</t>
        </is>
      </c>
      <c r="G2055" s="11" t="n">
        <v>93890.63</v>
      </c>
      <c r="H2055" s="5" t="inlineStr">
        <is>
          <t>m3</t>
        </is>
      </c>
      <c r="I2055" s="5" t="inlineStr">
        <is>
          <t>cumulative</t>
        </is>
      </c>
      <c r="J2055" s="5" t="inlineStr">
        <is>
          <t>KL</t>
        </is>
      </c>
      <c r="K2055" s="5" t="inlineStr"/>
      <c r="L2055" s="7">
        <f>IFERROR(IF(F2055&lt;F2054,"NEGATIVE",ROUND(F2055-F2054,2)),"")</f>
        <v/>
      </c>
    </row>
    <row r="2056" ht="22" customHeight="1">
      <c r="B2056" s="8" t="inlineStr">
        <is>
          <t>R02052</t>
        </is>
      </c>
      <c r="C2056" s="8" t="inlineStr">
        <is>
          <t>MTR-WSH-002</t>
        </is>
      </c>
      <c r="D2056" s="8" t="inlineStr">
        <is>
          <t>Washing Hall</t>
        </is>
      </c>
      <c r="E2056" s="8" t="inlineStr">
        <is>
          <t>Washing Machine 3</t>
        </is>
      </c>
      <c r="F2056" s="8" t="inlineStr">
        <is>
          <t>2024-07-17 08:00</t>
        </is>
      </c>
      <c r="G2056" s="12" t="n">
        <v>93924.75999999999</v>
      </c>
      <c r="H2056" s="8" t="inlineStr">
        <is>
          <t>m3</t>
        </is>
      </c>
      <c r="I2056" s="8" t="inlineStr">
        <is>
          <t>cumulative</t>
        </is>
      </c>
      <c r="J2056" s="8" t="inlineStr">
        <is>
          <t>KL</t>
        </is>
      </c>
      <c r="K2056" s="8" t="inlineStr"/>
      <c r="L2056" s="10">
        <f>IFERROR(IF(F2056&lt;F2055,"NEGATIVE",ROUND(F2056-F2055,2)),"")</f>
        <v/>
      </c>
    </row>
    <row r="2057" ht="22" customHeight="1">
      <c r="B2057" s="5" t="inlineStr">
        <is>
          <t>R02053</t>
        </is>
      </c>
      <c r="C2057" s="5" t="inlineStr">
        <is>
          <t>MTR-WSH-002</t>
        </is>
      </c>
      <c r="D2057" s="5" t="inlineStr">
        <is>
          <t>Washing Hall</t>
        </is>
      </c>
      <c r="E2057" s="5" t="inlineStr">
        <is>
          <t>Washing Machine 3</t>
        </is>
      </c>
      <c r="F2057" s="5" t="inlineStr">
        <is>
          <t>2024-07-18 08:00</t>
        </is>
      </c>
      <c r="G2057" s="11" t="n">
        <v>93956.69</v>
      </c>
      <c r="H2057" s="5" t="inlineStr">
        <is>
          <t>m3</t>
        </is>
      </c>
      <c r="I2057" s="5" t="inlineStr">
        <is>
          <t>cumulative</t>
        </is>
      </c>
      <c r="J2057" s="5" t="inlineStr">
        <is>
          <t>KL</t>
        </is>
      </c>
      <c r="K2057" s="5" t="inlineStr"/>
      <c r="L2057" s="7">
        <f>IFERROR(IF(F2057&lt;F2056,"NEGATIVE",ROUND(F2057-F2056,2)),"")</f>
        <v/>
      </c>
    </row>
    <row r="2058" ht="22" customHeight="1">
      <c r="B2058" s="8" t="inlineStr">
        <is>
          <t>R02054</t>
        </is>
      </c>
      <c r="C2058" s="8" t="inlineStr">
        <is>
          <t>MTR-WSH-002</t>
        </is>
      </c>
      <c r="D2058" s="8" t="inlineStr">
        <is>
          <t>Washing Hall</t>
        </is>
      </c>
      <c r="E2058" s="8" t="inlineStr">
        <is>
          <t>Washing Machine 3</t>
        </is>
      </c>
      <c r="F2058" s="8" t="inlineStr">
        <is>
          <t>2024-07-19 08:00</t>
        </is>
      </c>
      <c r="G2058" s="12" t="n">
        <v>93988.48</v>
      </c>
      <c r="H2058" s="8" t="inlineStr">
        <is>
          <t>m3</t>
        </is>
      </c>
      <c r="I2058" s="8" t="inlineStr">
        <is>
          <t>cumulative</t>
        </is>
      </c>
      <c r="J2058" s="8" t="inlineStr">
        <is>
          <t>EF</t>
        </is>
      </c>
      <c r="K2058" s="8" t="inlineStr"/>
      <c r="L2058" s="10">
        <f>IFERROR(IF(F2058&lt;F2057,"NEGATIVE",ROUND(F2058-F2057,2)),"")</f>
        <v/>
      </c>
    </row>
    <row r="2059" ht="22" customHeight="1">
      <c r="B2059" s="5" t="inlineStr">
        <is>
          <t>R02055</t>
        </is>
      </c>
      <c r="C2059" s="5" t="inlineStr">
        <is>
          <t>MTR-WSH-002</t>
        </is>
      </c>
      <c r="D2059" s="5" t="inlineStr">
        <is>
          <t>Washing Hall</t>
        </is>
      </c>
      <c r="E2059" s="5" t="inlineStr">
        <is>
          <t>Washing Machine 3</t>
        </is>
      </c>
      <c r="F2059" s="5" t="inlineStr">
        <is>
          <t>2024-07-20 08:00</t>
        </is>
      </c>
      <c r="G2059" s="11" t="n">
        <v>94020.28</v>
      </c>
      <c r="H2059" s="5" t="inlineStr">
        <is>
          <t>m3</t>
        </is>
      </c>
      <c r="I2059" s="5" t="inlineStr">
        <is>
          <t>cumulative</t>
        </is>
      </c>
      <c r="J2059" s="5" t="inlineStr">
        <is>
          <t>KL</t>
        </is>
      </c>
      <c r="K2059" s="5" t="inlineStr"/>
      <c r="L2059" s="7">
        <f>IFERROR(IF(F2059&lt;F2058,"NEGATIVE",ROUND(F2059-F2058,2)),"")</f>
        <v/>
      </c>
    </row>
    <row r="2060" ht="22" customHeight="1">
      <c r="B2060" s="8" t="inlineStr">
        <is>
          <t>R02056</t>
        </is>
      </c>
      <c r="C2060" s="8" t="inlineStr">
        <is>
          <t>MTR-WSH-002</t>
        </is>
      </c>
      <c r="D2060" s="8" t="inlineStr">
        <is>
          <t>Washing Hall</t>
        </is>
      </c>
      <c r="E2060" s="8" t="inlineStr">
        <is>
          <t>Washing Machine 3</t>
        </is>
      </c>
      <c r="F2060" s="8" t="inlineStr">
        <is>
          <t>2024-07-21 08:00</t>
        </is>
      </c>
      <c r="G2060" s="12" t="n">
        <v>94037.37</v>
      </c>
      <c r="H2060" s="8" t="inlineStr">
        <is>
          <t>m3</t>
        </is>
      </c>
      <c r="I2060" s="8" t="inlineStr">
        <is>
          <t>cumulative</t>
        </is>
      </c>
      <c r="J2060" s="8" t="inlineStr">
        <is>
          <t>KL</t>
        </is>
      </c>
      <c r="K2060" s="8" t="inlineStr"/>
      <c r="L2060" s="10">
        <f>IFERROR(IF(F2060&lt;F2059,"NEGATIVE",ROUND(F2060-F2059,2)),"")</f>
        <v/>
      </c>
    </row>
    <row r="2061" ht="22" customHeight="1">
      <c r="B2061" s="5" t="inlineStr">
        <is>
          <t>R02057</t>
        </is>
      </c>
      <c r="C2061" s="5" t="inlineStr">
        <is>
          <t>MTR-WSH-002</t>
        </is>
      </c>
      <c r="D2061" s="5" t="inlineStr">
        <is>
          <t>Washing Hall</t>
        </is>
      </c>
      <c r="E2061" s="5" t="inlineStr">
        <is>
          <t>Washing Machine 3</t>
        </is>
      </c>
      <c r="F2061" s="5" t="inlineStr">
        <is>
          <t>2024-07-22 08:00</t>
        </is>
      </c>
      <c r="G2061" s="11" t="n">
        <v>94068.97</v>
      </c>
      <c r="H2061" s="5" t="inlineStr">
        <is>
          <t>m3</t>
        </is>
      </c>
      <c r="I2061" s="5" t="inlineStr">
        <is>
          <t>cumulative</t>
        </is>
      </c>
      <c r="J2061" s="5" t="inlineStr">
        <is>
          <t>KL</t>
        </is>
      </c>
      <c r="K2061" s="5" t="inlineStr"/>
      <c r="L2061" s="7">
        <f>IFERROR(IF(F2061&lt;F2060,"NEGATIVE",ROUND(F2061-F2060,2)),"")</f>
        <v/>
      </c>
    </row>
    <row r="2062" ht="22" customHeight="1">
      <c r="B2062" s="8" t="inlineStr">
        <is>
          <t>R02058</t>
        </is>
      </c>
      <c r="C2062" s="8" t="inlineStr">
        <is>
          <t>MTR-WSH-002</t>
        </is>
      </c>
      <c r="D2062" s="8" t="inlineStr">
        <is>
          <t>Washing Hall</t>
        </is>
      </c>
      <c r="E2062" s="8" t="inlineStr">
        <is>
          <t>Washing Machine 3</t>
        </is>
      </c>
      <c r="F2062" s="8" t="inlineStr">
        <is>
          <t>2024-07-23 08:00</t>
        </is>
      </c>
      <c r="G2062" s="12" t="n">
        <v>94098.87</v>
      </c>
      <c r="H2062" s="8" t="inlineStr">
        <is>
          <t>m3</t>
        </is>
      </c>
      <c r="I2062" s="8" t="inlineStr">
        <is>
          <t>cumulative</t>
        </is>
      </c>
      <c r="J2062" s="8" t="inlineStr">
        <is>
          <t>AB</t>
        </is>
      </c>
      <c r="K2062" s="8" t="inlineStr"/>
      <c r="L2062" s="10">
        <f>IFERROR(IF(F2062&lt;F2061,"NEGATIVE",ROUND(F2062-F2061,2)),"")</f>
        <v/>
      </c>
    </row>
    <row r="2063" ht="22" customHeight="1">
      <c r="B2063" s="5" t="inlineStr">
        <is>
          <t>R02059</t>
        </is>
      </c>
      <c r="C2063" s="5" t="inlineStr">
        <is>
          <t>MTR-WSH-002</t>
        </is>
      </c>
      <c r="D2063" s="5" t="inlineStr">
        <is>
          <t>Washing Hall</t>
        </is>
      </c>
      <c r="E2063" s="5" t="inlineStr">
        <is>
          <t>Washing Machine 3</t>
        </is>
      </c>
      <c r="F2063" s="5" t="inlineStr">
        <is>
          <t>2024-07-24 08:00</t>
        </is>
      </c>
      <c r="G2063" s="11" t="n">
        <v>94130.56</v>
      </c>
      <c r="H2063" s="5" t="inlineStr">
        <is>
          <t>m3</t>
        </is>
      </c>
      <c r="I2063" s="5" t="inlineStr">
        <is>
          <t>cumulative</t>
        </is>
      </c>
      <c r="J2063" s="5" t="inlineStr">
        <is>
          <t>CD</t>
        </is>
      </c>
      <c r="K2063" s="5" t="inlineStr"/>
      <c r="L2063" s="7">
        <f>IFERROR(IF(F2063&lt;F2062,"NEGATIVE",ROUND(F2063-F2062,2)),"")</f>
        <v/>
      </c>
    </row>
    <row r="2064" ht="22" customHeight="1">
      <c r="B2064" s="8" t="inlineStr">
        <is>
          <t>R02060</t>
        </is>
      </c>
      <c r="C2064" s="8" t="inlineStr">
        <is>
          <t>MTR-WSH-002</t>
        </is>
      </c>
      <c r="D2064" s="8" t="inlineStr">
        <is>
          <t>Washing Hall</t>
        </is>
      </c>
      <c r="E2064" s="8" t="inlineStr">
        <is>
          <t>Washing Machine 3</t>
        </is>
      </c>
      <c r="F2064" s="8" t="inlineStr">
        <is>
          <t>2024-07-25 08:00</t>
        </is>
      </c>
      <c r="G2064" s="12" t="n">
        <v>94165.78999999999</v>
      </c>
      <c r="H2064" s="8" t="inlineStr">
        <is>
          <t>m3</t>
        </is>
      </c>
      <c r="I2064" s="8" t="inlineStr">
        <is>
          <t>cumulative</t>
        </is>
      </c>
      <c r="J2064" s="8" t="inlineStr">
        <is>
          <t>EF</t>
        </is>
      </c>
      <c r="K2064" s="8" t="inlineStr"/>
      <c r="L2064" s="10">
        <f>IFERROR(IF(F2064&lt;F2063,"NEGATIVE",ROUND(F2064-F2063,2)),"")</f>
        <v/>
      </c>
    </row>
    <row r="2065" ht="22" customHeight="1">
      <c r="B2065" s="5" t="inlineStr">
        <is>
          <t>R02061</t>
        </is>
      </c>
      <c r="C2065" s="5" t="inlineStr">
        <is>
          <t>MTR-WSH-002</t>
        </is>
      </c>
      <c r="D2065" s="5" t="inlineStr">
        <is>
          <t>Washing Hall</t>
        </is>
      </c>
      <c r="E2065" s="5" t="inlineStr">
        <is>
          <t>Washing Machine 3</t>
        </is>
      </c>
      <c r="F2065" s="5" t="inlineStr">
        <is>
          <t>2024-07-26 08:00</t>
        </is>
      </c>
      <c r="G2065" s="11" t="n">
        <v>94200.16</v>
      </c>
      <c r="H2065" s="5" t="inlineStr">
        <is>
          <t>m3</t>
        </is>
      </c>
      <c r="I2065" s="5" t="inlineStr">
        <is>
          <t>cumulative</t>
        </is>
      </c>
      <c r="J2065" s="5" t="inlineStr">
        <is>
          <t>EF</t>
        </is>
      </c>
      <c r="K2065" s="5" t="inlineStr"/>
      <c r="L2065" s="7">
        <f>IFERROR(IF(F2065&lt;F2064,"NEGATIVE",ROUND(F2065-F2064,2)),"")</f>
        <v/>
      </c>
    </row>
    <row r="2066" ht="22" customHeight="1">
      <c r="B2066" s="8" t="inlineStr">
        <is>
          <t>R02062</t>
        </is>
      </c>
      <c r="C2066" s="8" t="inlineStr">
        <is>
          <t>MTR-WSH-002</t>
        </is>
      </c>
      <c r="D2066" s="8" t="inlineStr">
        <is>
          <t>Washing Hall</t>
        </is>
      </c>
      <c r="E2066" s="8" t="inlineStr">
        <is>
          <t>Washing Machine 3</t>
        </is>
      </c>
      <c r="F2066" s="8" t="inlineStr">
        <is>
          <t>2024-07-27 08:00</t>
        </is>
      </c>
      <c r="G2066" s="12" t="n">
        <v>94228.91</v>
      </c>
      <c r="H2066" s="8" t="inlineStr">
        <is>
          <t>m3</t>
        </is>
      </c>
      <c r="I2066" s="8" t="inlineStr">
        <is>
          <t>cumulative</t>
        </is>
      </c>
      <c r="J2066" s="8" t="inlineStr">
        <is>
          <t>GH</t>
        </is>
      </c>
      <c r="K2066" s="8" t="inlineStr"/>
      <c r="L2066" s="10">
        <f>IFERROR(IF(F2066&lt;F2065,"NEGATIVE",ROUND(F2066-F2065,2)),"")</f>
        <v/>
      </c>
    </row>
    <row r="2067" ht="22" customHeight="1">
      <c r="B2067" s="5" t="inlineStr">
        <is>
          <t>R02063</t>
        </is>
      </c>
      <c r="C2067" s="5" t="inlineStr">
        <is>
          <t>MTR-WSH-002</t>
        </is>
      </c>
      <c r="D2067" s="5" t="inlineStr">
        <is>
          <t>Washing Hall</t>
        </is>
      </c>
      <c r="E2067" s="5" t="inlineStr">
        <is>
          <t>Washing Machine 3</t>
        </is>
      </c>
      <c r="F2067" s="5" t="inlineStr">
        <is>
          <t>2024-07-28 08:00</t>
        </is>
      </c>
      <c r="G2067" s="11" t="n">
        <v>94245.75999999999</v>
      </c>
      <c r="H2067" s="5" t="inlineStr">
        <is>
          <t>m3</t>
        </is>
      </c>
      <c r="I2067" s="5" t="inlineStr">
        <is>
          <t>cumulative</t>
        </is>
      </c>
      <c r="J2067" s="5" t="inlineStr">
        <is>
          <t>GH</t>
        </is>
      </c>
      <c r="K2067" s="5" t="inlineStr"/>
      <c r="L2067" s="7">
        <f>IFERROR(IF(F2067&lt;F2066,"NEGATIVE",ROUND(F2067-F2066,2)),"")</f>
        <v/>
      </c>
    </row>
    <row r="2068" ht="22" customHeight="1">
      <c r="B2068" s="8" t="inlineStr">
        <is>
          <t>R02064</t>
        </is>
      </c>
      <c r="C2068" s="8" t="inlineStr">
        <is>
          <t>MTR-WSH-002</t>
        </is>
      </c>
      <c r="D2068" s="8" t="inlineStr">
        <is>
          <t>Washing Hall</t>
        </is>
      </c>
      <c r="E2068" s="8" t="inlineStr">
        <is>
          <t>Washing Machine 3</t>
        </is>
      </c>
      <c r="F2068" s="8" t="inlineStr">
        <is>
          <t>2024-07-29 08:00</t>
        </is>
      </c>
      <c r="G2068" s="12" t="n">
        <v>94284.78999999999</v>
      </c>
      <c r="H2068" s="8" t="inlineStr">
        <is>
          <t>m3</t>
        </is>
      </c>
      <c r="I2068" s="8" t="inlineStr">
        <is>
          <t>cumulative</t>
        </is>
      </c>
      <c r="J2068" s="8" t="inlineStr">
        <is>
          <t>IJ</t>
        </is>
      </c>
      <c r="K2068" s="8" t="inlineStr"/>
      <c r="L2068" s="10">
        <f>IFERROR(IF(F2068&lt;F2067,"NEGATIVE",ROUND(F2068-F2067,2)),"")</f>
        <v/>
      </c>
    </row>
    <row r="2069" ht="22" customHeight="1">
      <c r="B2069" s="5" t="inlineStr">
        <is>
          <t>R02065</t>
        </is>
      </c>
      <c r="C2069" s="5" t="inlineStr">
        <is>
          <t>MTR-WSH-002</t>
        </is>
      </c>
      <c r="D2069" s="5" t="inlineStr">
        <is>
          <t>Washing Hall</t>
        </is>
      </c>
      <c r="E2069" s="5" t="inlineStr">
        <is>
          <t>Washing Machine 3</t>
        </is>
      </c>
      <c r="F2069" s="5" t="inlineStr">
        <is>
          <t>2024-07-30 08:00</t>
        </is>
      </c>
      <c r="G2069" s="11" t="n">
        <v>94316.69</v>
      </c>
      <c r="H2069" s="5" t="inlineStr">
        <is>
          <t>m3</t>
        </is>
      </c>
      <c r="I2069" s="5" t="inlineStr">
        <is>
          <t>cumulative</t>
        </is>
      </c>
      <c r="J2069" s="5" t="inlineStr">
        <is>
          <t>KL</t>
        </is>
      </c>
      <c r="K2069" s="5" t="inlineStr"/>
      <c r="L2069" s="7">
        <f>IFERROR(IF(F2069&lt;F2068,"NEGATIVE",ROUND(F2069-F2068,2)),"")</f>
        <v/>
      </c>
    </row>
    <row r="2070" ht="22" customHeight="1">
      <c r="B2070" s="8" t="inlineStr">
        <is>
          <t>R02066</t>
        </is>
      </c>
      <c r="C2070" s="8" t="inlineStr">
        <is>
          <t>MTR-WSH-002</t>
        </is>
      </c>
      <c r="D2070" s="8" t="inlineStr">
        <is>
          <t>Washing Hall</t>
        </is>
      </c>
      <c r="E2070" s="8" t="inlineStr">
        <is>
          <t>Washing Machine 3</t>
        </is>
      </c>
      <c r="F2070" s="8" t="inlineStr">
        <is>
          <t>2024-07-31 08:00</t>
        </is>
      </c>
      <c r="G2070" s="12" t="n">
        <v>94351.25999999999</v>
      </c>
      <c r="H2070" s="8" t="inlineStr">
        <is>
          <t>m3</t>
        </is>
      </c>
      <c r="I2070" s="8" t="inlineStr">
        <is>
          <t>cumulative</t>
        </is>
      </c>
      <c r="J2070" s="8" t="inlineStr">
        <is>
          <t>AB</t>
        </is>
      </c>
      <c r="K2070" s="8" t="inlineStr"/>
      <c r="L2070" s="10">
        <f>IFERROR(IF(F2070&lt;F2069,"NEGATIVE",ROUND(F2070-F2069,2)),"")</f>
        <v/>
      </c>
    </row>
    <row r="2071" ht="22" customHeight="1">
      <c r="B2071" s="5" t="inlineStr">
        <is>
          <t>R02067</t>
        </is>
      </c>
      <c r="C2071" s="5" t="inlineStr">
        <is>
          <t>MTR-WSH-002</t>
        </is>
      </c>
      <c r="D2071" s="5" t="inlineStr">
        <is>
          <t>Washing Hall</t>
        </is>
      </c>
      <c r="E2071" s="5" t="inlineStr">
        <is>
          <t>Washing Machine 3</t>
        </is>
      </c>
      <c r="F2071" s="5" t="inlineStr">
        <is>
          <t>2024-08-01 08:00</t>
        </is>
      </c>
      <c r="G2071" s="11" t="n">
        <v>94386.84</v>
      </c>
      <c r="H2071" s="5" t="inlineStr">
        <is>
          <t>m3</t>
        </is>
      </c>
      <c r="I2071" s="5" t="inlineStr">
        <is>
          <t>cumulative</t>
        </is>
      </c>
      <c r="J2071" s="5" t="inlineStr">
        <is>
          <t>CD</t>
        </is>
      </c>
      <c r="K2071" s="5" t="inlineStr"/>
      <c r="L2071" s="7">
        <f>IFERROR(IF(F2071&lt;F2070,"NEGATIVE",ROUND(F2071-F2070,2)),"")</f>
        <v/>
      </c>
    </row>
    <row r="2072" ht="22" customHeight="1">
      <c r="B2072" s="8" t="inlineStr">
        <is>
          <t>R02068</t>
        </is>
      </c>
      <c r="C2072" s="8" t="inlineStr">
        <is>
          <t>MTR-WSH-002</t>
        </is>
      </c>
      <c r="D2072" s="8" t="inlineStr">
        <is>
          <t>Washing Hall</t>
        </is>
      </c>
      <c r="E2072" s="8" t="inlineStr">
        <is>
          <t>Washing Machine 3</t>
        </is>
      </c>
      <c r="F2072" s="8" t="inlineStr">
        <is>
          <t>2024-08-02 08:00</t>
        </is>
      </c>
      <c r="G2072" s="12" t="n">
        <v>94416.38</v>
      </c>
      <c r="H2072" s="8" t="inlineStr">
        <is>
          <t>m3</t>
        </is>
      </c>
      <c r="I2072" s="8" t="inlineStr">
        <is>
          <t>cumulative</t>
        </is>
      </c>
      <c r="J2072" s="8" t="inlineStr">
        <is>
          <t>GH</t>
        </is>
      </c>
      <c r="K2072" s="8" t="inlineStr"/>
      <c r="L2072" s="10">
        <f>IFERROR(IF(F2072&lt;F2071,"NEGATIVE",ROUND(F2072-F2071,2)),"")</f>
        <v/>
      </c>
    </row>
    <row r="2073" ht="22" customHeight="1">
      <c r="B2073" s="5" t="inlineStr">
        <is>
          <t>R02069</t>
        </is>
      </c>
      <c r="C2073" s="5" t="inlineStr">
        <is>
          <t>MTR-WSH-002</t>
        </is>
      </c>
      <c r="D2073" s="5" t="inlineStr">
        <is>
          <t>Washing Hall</t>
        </is>
      </c>
      <c r="E2073" s="5" t="inlineStr">
        <is>
          <t>Washing Machine 3</t>
        </is>
      </c>
      <c r="F2073" s="5" t="inlineStr">
        <is>
          <t>2024-08-03 08:00</t>
        </is>
      </c>
      <c r="G2073" s="11" t="n">
        <v>94442.97</v>
      </c>
      <c r="H2073" s="5" t="inlineStr">
        <is>
          <t>m3</t>
        </is>
      </c>
      <c r="I2073" s="5" t="inlineStr">
        <is>
          <t>cumulative</t>
        </is>
      </c>
      <c r="J2073" s="5" t="inlineStr">
        <is>
          <t>GH</t>
        </is>
      </c>
      <c r="K2073" s="5" t="inlineStr"/>
      <c r="L2073" s="7">
        <f>IFERROR(IF(F2073&lt;F2072,"NEGATIVE",ROUND(F2073-F2072,2)),"")</f>
        <v/>
      </c>
    </row>
    <row r="2074" ht="22" customHeight="1">
      <c r="B2074" s="8" t="inlineStr">
        <is>
          <t>R02070</t>
        </is>
      </c>
      <c r="C2074" s="8" t="inlineStr">
        <is>
          <t>MTR-WSH-002</t>
        </is>
      </c>
      <c r="D2074" s="8" t="inlineStr">
        <is>
          <t>Washing Hall</t>
        </is>
      </c>
      <c r="E2074" s="8" t="inlineStr">
        <is>
          <t>Washing Machine 3</t>
        </is>
      </c>
      <c r="F2074" s="8" t="inlineStr">
        <is>
          <t>2024-08-04 08:00</t>
        </is>
      </c>
      <c r="G2074" s="12" t="n">
        <v>94463.22</v>
      </c>
      <c r="H2074" s="8" t="inlineStr">
        <is>
          <t>m3</t>
        </is>
      </c>
      <c r="I2074" s="8" t="inlineStr">
        <is>
          <t>cumulative</t>
        </is>
      </c>
      <c r="J2074" s="8" t="inlineStr">
        <is>
          <t>AB</t>
        </is>
      </c>
      <c r="K2074" s="8" t="inlineStr"/>
      <c r="L2074" s="10">
        <f>IFERROR(IF(F2074&lt;F2073,"NEGATIVE",ROUND(F2074-F2073,2)),"")</f>
        <v/>
      </c>
    </row>
    <row r="2075" ht="22" customHeight="1">
      <c r="B2075" s="5" t="inlineStr">
        <is>
          <t>R02071</t>
        </is>
      </c>
      <c r="C2075" s="5" t="inlineStr">
        <is>
          <t>MTR-WSH-002</t>
        </is>
      </c>
      <c r="D2075" s="5" t="inlineStr">
        <is>
          <t>Washing Hall</t>
        </is>
      </c>
      <c r="E2075" s="5" t="inlineStr">
        <is>
          <t>Washing Machine 3</t>
        </is>
      </c>
      <c r="F2075" s="5" t="inlineStr">
        <is>
          <t>2024-08-05 08:00</t>
        </is>
      </c>
      <c r="G2075" s="11" t="n">
        <v>94501.08</v>
      </c>
      <c r="H2075" s="5" t="inlineStr">
        <is>
          <t>m3</t>
        </is>
      </c>
      <c r="I2075" s="5" t="inlineStr">
        <is>
          <t>cumulative</t>
        </is>
      </c>
      <c r="J2075" s="5" t="inlineStr">
        <is>
          <t>IJ</t>
        </is>
      </c>
      <c r="K2075" s="5" t="inlineStr"/>
      <c r="L2075" s="7">
        <f>IFERROR(IF(F2075&lt;F2074,"NEGATIVE",ROUND(F2075-F2074,2)),"")</f>
        <v/>
      </c>
    </row>
    <row r="2076" ht="22" customHeight="1">
      <c r="B2076" s="8" t="inlineStr">
        <is>
          <t>R02072</t>
        </is>
      </c>
      <c r="C2076" s="8" t="inlineStr">
        <is>
          <t>MTR-WSH-002</t>
        </is>
      </c>
      <c r="D2076" s="8" t="inlineStr">
        <is>
          <t>Washing Hall</t>
        </is>
      </c>
      <c r="E2076" s="8" t="inlineStr">
        <is>
          <t>Washing Machine 3</t>
        </is>
      </c>
      <c r="F2076" s="8" t="inlineStr">
        <is>
          <t>2024-08-06 08:00</t>
        </is>
      </c>
      <c r="G2076" s="12" t="n">
        <v>94532.85000000001</v>
      </c>
      <c r="H2076" s="8" t="inlineStr">
        <is>
          <t>m3</t>
        </is>
      </c>
      <c r="I2076" s="8" t="inlineStr">
        <is>
          <t>cumulative</t>
        </is>
      </c>
      <c r="J2076" s="8" t="inlineStr">
        <is>
          <t>IJ</t>
        </is>
      </c>
      <c r="K2076" s="8" t="inlineStr"/>
      <c r="L2076" s="10">
        <f>IFERROR(IF(F2076&lt;F2075,"NEGATIVE",ROUND(F2076-F2075,2)),"")</f>
        <v/>
      </c>
    </row>
    <row r="2077" ht="22" customHeight="1">
      <c r="B2077" s="5" t="inlineStr">
        <is>
          <t>R02073</t>
        </is>
      </c>
      <c r="C2077" s="5" t="inlineStr">
        <is>
          <t>MTR-WSH-002</t>
        </is>
      </c>
      <c r="D2077" s="5" t="inlineStr">
        <is>
          <t>Washing Hall</t>
        </is>
      </c>
      <c r="E2077" s="5" t="inlineStr">
        <is>
          <t>Washing Machine 3</t>
        </is>
      </c>
      <c r="F2077" s="5" t="inlineStr">
        <is>
          <t>2024-08-07 08:00</t>
        </is>
      </c>
      <c r="G2077" s="11" t="n">
        <v>94569.14999999999</v>
      </c>
      <c r="H2077" s="5" t="inlineStr">
        <is>
          <t>m3</t>
        </is>
      </c>
      <c r="I2077" s="5" t="inlineStr">
        <is>
          <t>cumulative</t>
        </is>
      </c>
      <c r="J2077" s="5" t="inlineStr">
        <is>
          <t>EF</t>
        </is>
      </c>
      <c r="K2077" s="5" t="inlineStr"/>
      <c r="L2077" s="7">
        <f>IFERROR(IF(F2077&lt;F2076,"NEGATIVE",ROUND(F2077-F2076,2)),"")</f>
        <v/>
      </c>
    </row>
    <row r="2078" ht="22" customHeight="1">
      <c r="B2078" s="8" t="inlineStr">
        <is>
          <t>R02074</t>
        </is>
      </c>
      <c r="C2078" s="8" t="inlineStr">
        <is>
          <t>MTR-WSH-002</t>
        </is>
      </c>
      <c r="D2078" s="8" t="inlineStr">
        <is>
          <t>Washing Hall</t>
        </is>
      </c>
      <c r="E2078" s="8" t="inlineStr">
        <is>
          <t>Washing Machine 3</t>
        </is>
      </c>
      <c r="F2078" s="8" t="inlineStr">
        <is>
          <t>2024-08-08 08:00</t>
        </is>
      </c>
      <c r="G2078" s="12" t="n">
        <v>94598.19</v>
      </c>
      <c r="H2078" s="8" t="inlineStr">
        <is>
          <t>m3</t>
        </is>
      </c>
      <c r="I2078" s="8" t="inlineStr">
        <is>
          <t>cumulative</t>
        </is>
      </c>
      <c r="J2078" s="8" t="inlineStr">
        <is>
          <t>EF</t>
        </is>
      </c>
      <c r="K2078" s="8" t="inlineStr"/>
      <c r="L2078" s="10">
        <f>IFERROR(IF(F2078&lt;F2077,"NEGATIVE",ROUND(F2078-F2077,2)),"")</f>
        <v/>
      </c>
    </row>
    <row r="2079" ht="22" customHeight="1">
      <c r="B2079" s="5" t="inlineStr">
        <is>
          <t>R02075</t>
        </is>
      </c>
      <c r="C2079" s="5" t="inlineStr">
        <is>
          <t>MTR-WSH-002</t>
        </is>
      </c>
      <c r="D2079" s="5" t="inlineStr">
        <is>
          <t>Washing Hall</t>
        </is>
      </c>
      <c r="E2079" s="5" t="inlineStr">
        <is>
          <t>Washing Machine 3</t>
        </is>
      </c>
      <c r="F2079" s="5" t="inlineStr">
        <is>
          <t>2024-08-09 08:00</t>
        </is>
      </c>
      <c r="G2079" s="11" t="n">
        <v>94627.8</v>
      </c>
      <c r="H2079" s="5" t="inlineStr">
        <is>
          <t>m3</t>
        </is>
      </c>
      <c r="I2079" s="5" t="inlineStr">
        <is>
          <t>cumulative</t>
        </is>
      </c>
      <c r="J2079" s="5" t="inlineStr">
        <is>
          <t>IJ</t>
        </is>
      </c>
      <c r="K2079" s="5" t="inlineStr"/>
      <c r="L2079" s="7">
        <f>IFERROR(IF(F2079&lt;F2078,"NEGATIVE",ROUND(F2079-F2078,2)),"")</f>
        <v/>
      </c>
    </row>
    <row r="2080" ht="22" customHeight="1">
      <c r="B2080" s="8" t="inlineStr">
        <is>
          <t>R02076</t>
        </is>
      </c>
      <c r="C2080" s="8" t="inlineStr">
        <is>
          <t>MTR-WSH-002</t>
        </is>
      </c>
      <c r="D2080" s="8" t="inlineStr">
        <is>
          <t>Washing Hall</t>
        </is>
      </c>
      <c r="E2080" s="8" t="inlineStr">
        <is>
          <t>Washing Machine 3</t>
        </is>
      </c>
      <c r="F2080" s="8" t="inlineStr">
        <is>
          <t>2024-08-10 08:00</t>
        </is>
      </c>
      <c r="G2080" s="12" t="n">
        <v>94653.66</v>
      </c>
      <c r="H2080" s="8" t="inlineStr">
        <is>
          <t>m3</t>
        </is>
      </c>
      <c r="I2080" s="8" t="inlineStr">
        <is>
          <t>cumulative</t>
        </is>
      </c>
      <c r="J2080" s="8" t="inlineStr">
        <is>
          <t>AB</t>
        </is>
      </c>
      <c r="K2080" s="8" t="inlineStr"/>
      <c r="L2080" s="10">
        <f>IFERROR(IF(F2080&lt;F2079,"NEGATIVE",ROUND(F2080-F2079,2)),"")</f>
        <v/>
      </c>
    </row>
    <row r="2081" ht="22" customHeight="1">
      <c r="B2081" s="5" t="inlineStr">
        <is>
          <t>R02077</t>
        </is>
      </c>
      <c r="C2081" s="5" t="inlineStr">
        <is>
          <t>MTR-WSH-002</t>
        </is>
      </c>
      <c r="D2081" s="5" t="inlineStr">
        <is>
          <t>Washing Hall</t>
        </is>
      </c>
      <c r="E2081" s="5" t="inlineStr">
        <is>
          <t>Washing Machine 3</t>
        </is>
      </c>
      <c r="F2081" s="5" t="inlineStr">
        <is>
          <t>2024-08-11 08:00</t>
        </is>
      </c>
      <c r="G2081" s="11" t="n">
        <v>94670.88</v>
      </c>
      <c r="H2081" s="5" t="inlineStr">
        <is>
          <t>m3</t>
        </is>
      </c>
      <c r="I2081" s="5" t="inlineStr">
        <is>
          <t>cumulative</t>
        </is>
      </c>
      <c r="J2081" s="5" t="inlineStr">
        <is>
          <t>AB</t>
        </is>
      </c>
      <c r="K2081" s="5" t="inlineStr"/>
      <c r="L2081" s="7">
        <f>IFERROR(IF(F2081&lt;F2080,"NEGATIVE",ROUND(F2081-F2080,2)),"")</f>
        <v/>
      </c>
    </row>
    <row r="2082" ht="22" customHeight="1">
      <c r="B2082" s="8" t="inlineStr">
        <is>
          <t>R02078</t>
        </is>
      </c>
      <c r="C2082" s="8" t="inlineStr">
        <is>
          <t>MTR-WSH-002</t>
        </is>
      </c>
      <c r="D2082" s="8" t="inlineStr">
        <is>
          <t>Washing Hall</t>
        </is>
      </c>
      <c r="E2082" s="8" t="inlineStr">
        <is>
          <t>Washing Machine 3</t>
        </is>
      </c>
      <c r="F2082" s="8" t="inlineStr">
        <is>
          <t>2024-08-12 08:00</t>
        </is>
      </c>
      <c r="G2082" s="12" t="n">
        <v>94706.97</v>
      </c>
      <c r="H2082" s="8" t="inlineStr">
        <is>
          <t>m3</t>
        </is>
      </c>
      <c r="I2082" s="8" t="inlineStr">
        <is>
          <t>cumulative</t>
        </is>
      </c>
      <c r="J2082" s="8" t="inlineStr">
        <is>
          <t>IJ</t>
        </is>
      </c>
      <c r="K2082" s="8" t="inlineStr"/>
      <c r="L2082" s="10">
        <f>IFERROR(IF(F2082&lt;F2081,"NEGATIVE",ROUND(F2082-F2081,2)),"")</f>
        <v/>
      </c>
    </row>
    <row r="2083" ht="22" customHeight="1">
      <c r="B2083" s="5" t="inlineStr">
        <is>
          <t>R02079</t>
        </is>
      </c>
      <c r="C2083" s="5" t="inlineStr">
        <is>
          <t>MTR-WSH-002</t>
        </is>
      </c>
      <c r="D2083" s="5" t="inlineStr">
        <is>
          <t>Washing Hall</t>
        </is>
      </c>
      <c r="E2083" s="5" t="inlineStr">
        <is>
          <t>Washing Machine 3</t>
        </is>
      </c>
      <c r="F2083" s="5" t="inlineStr">
        <is>
          <t>2024-08-13 08:00</t>
        </is>
      </c>
      <c r="G2083" s="11" t="n">
        <v>94736.35000000001</v>
      </c>
      <c r="H2083" s="5" t="inlineStr">
        <is>
          <t>m3</t>
        </is>
      </c>
      <c r="I2083" s="5" t="inlineStr">
        <is>
          <t>cumulative</t>
        </is>
      </c>
      <c r="J2083" s="5" t="inlineStr">
        <is>
          <t>GH</t>
        </is>
      </c>
      <c r="K2083" s="5" t="inlineStr"/>
      <c r="L2083" s="7">
        <f>IFERROR(IF(F2083&lt;F2082,"NEGATIVE",ROUND(F2083-F2082,2)),"")</f>
        <v/>
      </c>
    </row>
    <row r="2084" ht="22" customHeight="1">
      <c r="B2084" s="8" t="inlineStr">
        <is>
          <t>R02080</t>
        </is>
      </c>
      <c r="C2084" s="8" t="inlineStr">
        <is>
          <t>MTR-WSH-002</t>
        </is>
      </c>
      <c r="D2084" s="8" t="inlineStr">
        <is>
          <t>Washing Hall</t>
        </is>
      </c>
      <c r="E2084" s="8" t="inlineStr">
        <is>
          <t>Washing Machine 3</t>
        </is>
      </c>
      <c r="F2084" s="8" t="inlineStr">
        <is>
          <t>2024-08-14 08:00</t>
        </is>
      </c>
      <c r="G2084" s="12" t="n">
        <v>94769.73</v>
      </c>
      <c r="H2084" s="8" t="inlineStr">
        <is>
          <t>m3</t>
        </is>
      </c>
      <c r="I2084" s="8" t="inlineStr">
        <is>
          <t>cumulative</t>
        </is>
      </c>
      <c r="J2084" s="8" t="inlineStr">
        <is>
          <t>CD</t>
        </is>
      </c>
      <c r="K2084" s="8" t="inlineStr"/>
      <c r="L2084" s="10">
        <f>IFERROR(IF(F2084&lt;F2083,"NEGATIVE",ROUND(F2084-F2083,2)),"")</f>
        <v/>
      </c>
    </row>
    <row r="2085" ht="22" customHeight="1">
      <c r="B2085" s="5" t="inlineStr">
        <is>
          <t>R02081</t>
        </is>
      </c>
      <c r="C2085" s="5" t="inlineStr">
        <is>
          <t>MTR-WSH-002</t>
        </is>
      </c>
      <c r="D2085" s="5" t="inlineStr">
        <is>
          <t>Washing Hall</t>
        </is>
      </c>
      <c r="E2085" s="5" t="inlineStr">
        <is>
          <t>Washing Machine 3</t>
        </is>
      </c>
      <c r="F2085" s="5" t="inlineStr">
        <is>
          <t>2024-08-15 08:00</t>
        </is>
      </c>
      <c r="G2085" s="11" t="n">
        <v>94808.35000000001</v>
      </c>
      <c r="H2085" s="5" t="inlineStr">
        <is>
          <t>m3</t>
        </is>
      </c>
      <c r="I2085" s="5" t="inlineStr">
        <is>
          <t>cumulative</t>
        </is>
      </c>
      <c r="J2085" s="5" t="inlineStr">
        <is>
          <t>CD</t>
        </is>
      </c>
      <c r="K2085" s="5" t="inlineStr"/>
      <c r="L2085" s="7">
        <f>IFERROR(IF(F2085&lt;F2084,"NEGATIVE",ROUND(F2085-F2084,2)),"")</f>
        <v/>
      </c>
    </row>
    <row r="2086" ht="22" customHeight="1">
      <c r="B2086" s="8" t="inlineStr">
        <is>
          <t>R02082</t>
        </is>
      </c>
      <c r="C2086" s="8" t="inlineStr">
        <is>
          <t>MTR-WSH-002</t>
        </is>
      </c>
      <c r="D2086" s="8" t="inlineStr">
        <is>
          <t>Washing Hall</t>
        </is>
      </c>
      <c r="E2086" s="8" t="inlineStr">
        <is>
          <t>Washing Machine 3</t>
        </is>
      </c>
      <c r="F2086" s="8" t="inlineStr">
        <is>
          <t>2024-08-16 08:00</t>
        </is>
      </c>
      <c r="G2086" s="12" t="n">
        <v>94843.50999999999</v>
      </c>
      <c r="H2086" s="8" t="inlineStr">
        <is>
          <t>m3</t>
        </is>
      </c>
      <c r="I2086" s="8" t="inlineStr">
        <is>
          <t>cumulative</t>
        </is>
      </c>
      <c r="J2086" s="8" t="inlineStr">
        <is>
          <t>IJ</t>
        </is>
      </c>
      <c r="K2086" s="8" t="inlineStr"/>
      <c r="L2086" s="10">
        <f>IFERROR(IF(F2086&lt;F2085,"NEGATIVE",ROUND(F2086-F2085,2)),"")</f>
        <v/>
      </c>
    </row>
    <row r="2087" ht="22" customHeight="1">
      <c r="B2087" s="5" t="inlineStr">
        <is>
          <t>R02083</t>
        </is>
      </c>
      <c r="C2087" s="5" t="inlineStr">
        <is>
          <t>MTR-WSH-002</t>
        </is>
      </c>
      <c r="D2087" s="5" t="inlineStr">
        <is>
          <t>Washing Hall</t>
        </is>
      </c>
      <c r="E2087" s="5" t="inlineStr">
        <is>
          <t>Washing Machine 3</t>
        </is>
      </c>
      <c r="F2087" s="5" t="inlineStr">
        <is>
          <t>2024-08-17 08:00</t>
        </is>
      </c>
      <c r="G2087" s="11" t="n">
        <v>94867</v>
      </c>
      <c r="H2087" s="5" t="inlineStr">
        <is>
          <t>m3</t>
        </is>
      </c>
      <c r="I2087" s="5" t="inlineStr">
        <is>
          <t>cumulative</t>
        </is>
      </c>
      <c r="J2087" s="5" t="inlineStr">
        <is>
          <t>KL</t>
        </is>
      </c>
      <c r="K2087" s="5" t="inlineStr"/>
      <c r="L2087" s="7">
        <f>IFERROR(IF(F2087&lt;F2086,"NEGATIVE",ROUND(F2087-F2086,2)),"")</f>
        <v/>
      </c>
    </row>
    <row r="2088" ht="22" customHeight="1">
      <c r="B2088" s="8" t="inlineStr">
        <is>
          <t>R02084</t>
        </is>
      </c>
      <c r="C2088" s="8" t="inlineStr">
        <is>
          <t>MTR-WSH-002</t>
        </is>
      </c>
      <c r="D2088" s="8" t="inlineStr">
        <is>
          <t>Washing Hall</t>
        </is>
      </c>
      <c r="E2088" s="8" t="inlineStr">
        <is>
          <t>Washing Machine 3</t>
        </is>
      </c>
      <c r="F2088" s="8" t="inlineStr">
        <is>
          <t>2024-08-18 08:00</t>
        </is>
      </c>
      <c r="G2088" s="12" t="n">
        <v>94885.42</v>
      </c>
      <c r="H2088" s="8" t="inlineStr">
        <is>
          <t>m3</t>
        </is>
      </c>
      <c r="I2088" s="8" t="inlineStr">
        <is>
          <t>cumulative</t>
        </is>
      </c>
      <c r="J2088" s="8" t="inlineStr">
        <is>
          <t>CD</t>
        </is>
      </c>
      <c r="K2088" s="8" t="inlineStr"/>
      <c r="L2088" s="10">
        <f>IFERROR(IF(F2088&lt;F2087,"NEGATIVE",ROUND(F2088-F2087,2)),"")</f>
        <v/>
      </c>
    </row>
    <row r="2089" ht="22" customHeight="1">
      <c r="B2089" s="5" t="inlineStr">
        <is>
          <t>R02085</t>
        </is>
      </c>
      <c r="C2089" s="5" t="inlineStr">
        <is>
          <t>MTR-WSH-002</t>
        </is>
      </c>
      <c r="D2089" s="5" t="inlineStr">
        <is>
          <t>Washing Hall</t>
        </is>
      </c>
      <c r="E2089" s="5" t="inlineStr">
        <is>
          <t>Washing Machine 3</t>
        </is>
      </c>
      <c r="F2089" s="5" t="inlineStr">
        <is>
          <t>2024-08-19 08:00</t>
        </is>
      </c>
      <c r="G2089" s="11" t="n">
        <v>94918.39999999999</v>
      </c>
      <c r="H2089" s="5" t="inlineStr">
        <is>
          <t>m3</t>
        </is>
      </c>
      <c r="I2089" s="5" t="inlineStr">
        <is>
          <t>cumulative</t>
        </is>
      </c>
      <c r="J2089" s="5" t="inlineStr">
        <is>
          <t>AB</t>
        </is>
      </c>
      <c r="K2089" s="5" t="inlineStr"/>
      <c r="L2089" s="7">
        <f>IFERROR(IF(F2089&lt;F2088,"NEGATIVE",ROUND(F2089-F2088,2)),"")</f>
        <v/>
      </c>
    </row>
    <row r="2090" ht="22" customHeight="1">
      <c r="B2090" s="8" t="inlineStr">
        <is>
          <t>R02086</t>
        </is>
      </c>
      <c r="C2090" s="8" t="inlineStr">
        <is>
          <t>MTR-WSH-002</t>
        </is>
      </c>
      <c r="D2090" s="8" t="inlineStr">
        <is>
          <t>Washing Hall</t>
        </is>
      </c>
      <c r="E2090" s="8" t="inlineStr">
        <is>
          <t>Washing Machine 3</t>
        </is>
      </c>
      <c r="F2090" s="8" t="inlineStr">
        <is>
          <t>2024-08-20 08:00</t>
        </is>
      </c>
      <c r="G2090" s="12" t="n">
        <v>94948.83</v>
      </c>
      <c r="H2090" s="8" t="inlineStr">
        <is>
          <t>m3</t>
        </is>
      </c>
      <c r="I2090" s="8" t="inlineStr">
        <is>
          <t>cumulative</t>
        </is>
      </c>
      <c r="J2090" s="8" t="inlineStr">
        <is>
          <t>IJ</t>
        </is>
      </c>
      <c r="K2090" s="8" t="inlineStr"/>
      <c r="L2090" s="10">
        <f>IFERROR(IF(F2090&lt;F2089,"NEGATIVE",ROUND(F2090-F2089,2)),"")</f>
        <v/>
      </c>
    </row>
    <row r="2091" ht="22" customHeight="1">
      <c r="B2091" s="5" t="inlineStr">
        <is>
          <t>R02087</t>
        </is>
      </c>
      <c r="C2091" s="5" t="inlineStr">
        <is>
          <t>MTR-WSH-002</t>
        </is>
      </c>
      <c r="D2091" s="5" t="inlineStr">
        <is>
          <t>Washing Hall</t>
        </is>
      </c>
      <c r="E2091" s="5" t="inlineStr">
        <is>
          <t>Washing Machine 3</t>
        </is>
      </c>
      <c r="F2091" s="5" t="inlineStr">
        <is>
          <t>2024-08-21 08:00</t>
        </is>
      </c>
      <c r="G2091" s="11" t="n">
        <v>94980.19</v>
      </c>
      <c r="H2091" s="5" t="inlineStr">
        <is>
          <t>m3</t>
        </is>
      </c>
      <c r="I2091" s="5" t="inlineStr">
        <is>
          <t>cumulative</t>
        </is>
      </c>
      <c r="J2091" s="5" t="inlineStr">
        <is>
          <t>IJ</t>
        </is>
      </c>
      <c r="K2091" s="5" t="inlineStr"/>
      <c r="L2091" s="7">
        <f>IFERROR(IF(F2091&lt;F2090,"NEGATIVE",ROUND(F2091-F2090,2)),"")</f>
        <v/>
      </c>
    </row>
    <row r="2092" ht="22" customHeight="1">
      <c r="B2092" s="8" t="inlineStr">
        <is>
          <t>R02088</t>
        </is>
      </c>
      <c r="C2092" s="8" t="inlineStr">
        <is>
          <t>MTR-WSH-002</t>
        </is>
      </c>
      <c r="D2092" s="8" t="inlineStr">
        <is>
          <t>Washing Hall</t>
        </is>
      </c>
      <c r="E2092" s="8" t="inlineStr">
        <is>
          <t>Washing Machine 3</t>
        </is>
      </c>
      <c r="F2092" s="8" t="inlineStr">
        <is>
          <t>2024-08-22 08:00</t>
        </is>
      </c>
      <c r="G2092" s="12" t="n">
        <v>95010.46000000001</v>
      </c>
      <c r="H2092" s="8" t="inlineStr">
        <is>
          <t>m3</t>
        </is>
      </c>
      <c r="I2092" s="8" t="inlineStr">
        <is>
          <t>cumulative</t>
        </is>
      </c>
      <c r="J2092" s="8" t="inlineStr">
        <is>
          <t>AB</t>
        </is>
      </c>
      <c r="K2092" s="8" t="inlineStr"/>
      <c r="L2092" s="10">
        <f>IFERROR(IF(F2092&lt;F2091,"NEGATIVE",ROUND(F2092-F2091,2)),"")</f>
        <v/>
      </c>
    </row>
    <row r="2093" ht="22" customHeight="1">
      <c r="B2093" s="5" t="inlineStr">
        <is>
          <t>R02089</t>
        </is>
      </c>
      <c r="C2093" s="5" t="inlineStr">
        <is>
          <t>MTR-WSH-002</t>
        </is>
      </c>
      <c r="D2093" s="5" t="inlineStr">
        <is>
          <t>Washing Hall</t>
        </is>
      </c>
      <c r="E2093" s="5" t="inlineStr">
        <is>
          <t>Washing Machine 3</t>
        </is>
      </c>
      <c r="F2093" s="5" t="inlineStr">
        <is>
          <t>2024-08-23 08:00</t>
        </is>
      </c>
      <c r="G2093" s="11" t="n">
        <v>95044.48</v>
      </c>
      <c r="H2093" s="5" t="inlineStr">
        <is>
          <t>m3</t>
        </is>
      </c>
      <c r="I2093" s="5" t="inlineStr">
        <is>
          <t>cumulative</t>
        </is>
      </c>
      <c r="J2093" s="5" t="inlineStr">
        <is>
          <t>EF</t>
        </is>
      </c>
      <c r="K2093" s="5" t="inlineStr"/>
      <c r="L2093" s="7">
        <f>IFERROR(IF(F2093&lt;F2092,"NEGATIVE",ROUND(F2093-F2092,2)),"")</f>
        <v/>
      </c>
    </row>
    <row r="2094" ht="22" customHeight="1">
      <c r="B2094" s="8" t="inlineStr">
        <is>
          <t>R02090</t>
        </is>
      </c>
      <c r="C2094" s="8" t="inlineStr">
        <is>
          <t>MTR-WSH-002</t>
        </is>
      </c>
      <c r="D2094" s="8" t="inlineStr">
        <is>
          <t>Washing Hall</t>
        </is>
      </c>
      <c r="E2094" s="8" t="inlineStr">
        <is>
          <t>Washing Machine 3</t>
        </is>
      </c>
      <c r="F2094" s="8" t="inlineStr">
        <is>
          <t>2024-08-24 08:00</t>
        </is>
      </c>
      <c r="G2094" s="12" t="n">
        <v>95073.06</v>
      </c>
      <c r="H2094" s="8" t="inlineStr">
        <is>
          <t>m3</t>
        </is>
      </c>
      <c r="I2094" s="8" t="inlineStr">
        <is>
          <t>cumulative</t>
        </is>
      </c>
      <c r="J2094" s="8" t="inlineStr">
        <is>
          <t>KL</t>
        </is>
      </c>
      <c r="K2094" s="8" t="inlineStr"/>
      <c r="L2094" s="10">
        <f>IFERROR(IF(F2094&lt;F2093,"NEGATIVE",ROUND(F2094-F2093,2)),"")</f>
        <v/>
      </c>
    </row>
    <row r="2095" ht="22" customHeight="1">
      <c r="B2095" s="5" t="inlineStr">
        <is>
          <t>R02091</t>
        </is>
      </c>
      <c r="C2095" s="5" t="inlineStr">
        <is>
          <t>MTR-WSH-002</t>
        </is>
      </c>
      <c r="D2095" s="5" t="inlineStr">
        <is>
          <t>Washing Hall</t>
        </is>
      </c>
      <c r="E2095" s="5" t="inlineStr">
        <is>
          <t>Washing Machine 3</t>
        </is>
      </c>
      <c r="F2095" s="5" t="inlineStr">
        <is>
          <t>2024-08-25 08:00</t>
        </is>
      </c>
      <c r="G2095" s="11" t="n">
        <v>95091.46000000001</v>
      </c>
      <c r="H2095" s="5" t="inlineStr">
        <is>
          <t>m3</t>
        </is>
      </c>
      <c r="I2095" s="5" t="inlineStr">
        <is>
          <t>cumulative</t>
        </is>
      </c>
      <c r="J2095" s="5" t="inlineStr">
        <is>
          <t>CD</t>
        </is>
      </c>
      <c r="K2095" s="5" t="inlineStr"/>
      <c r="L2095" s="7">
        <f>IFERROR(IF(F2095&lt;F2094,"NEGATIVE",ROUND(F2095-F2094,2)),"")</f>
        <v/>
      </c>
    </row>
    <row r="2096" ht="22" customHeight="1">
      <c r="B2096" s="8" t="inlineStr">
        <is>
          <t>R02092</t>
        </is>
      </c>
      <c r="C2096" s="8" t="inlineStr">
        <is>
          <t>MTR-WSH-002</t>
        </is>
      </c>
      <c r="D2096" s="8" t="inlineStr">
        <is>
          <t>Washing Hall</t>
        </is>
      </c>
      <c r="E2096" s="8" t="inlineStr">
        <is>
          <t>Washing Machine 3</t>
        </is>
      </c>
      <c r="F2096" s="8" t="inlineStr">
        <is>
          <t>2024-08-26 08:00</t>
        </is>
      </c>
      <c r="G2096" s="12" t="n">
        <v>95122.38</v>
      </c>
      <c r="H2096" s="8" t="inlineStr">
        <is>
          <t>m3</t>
        </is>
      </c>
      <c r="I2096" s="8" t="inlineStr">
        <is>
          <t>cumulative</t>
        </is>
      </c>
      <c r="J2096" s="8" t="inlineStr">
        <is>
          <t>EF</t>
        </is>
      </c>
      <c r="K2096" s="8" t="inlineStr"/>
      <c r="L2096" s="10">
        <f>IFERROR(IF(F2096&lt;F2095,"NEGATIVE",ROUND(F2096-F2095,2)),"")</f>
        <v/>
      </c>
    </row>
    <row r="2097" ht="22" customHeight="1">
      <c r="B2097" s="5" t="inlineStr">
        <is>
          <t>R02093</t>
        </is>
      </c>
      <c r="C2097" s="5" t="inlineStr">
        <is>
          <t>MTR-WSH-002</t>
        </is>
      </c>
      <c r="D2097" s="5" t="inlineStr">
        <is>
          <t>Washing Hall</t>
        </is>
      </c>
      <c r="E2097" s="5" t="inlineStr">
        <is>
          <t>Washing Machine 3</t>
        </is>
      </c>
      <c r="F2097" s="5" t="inlineStr">
        <is>
          <t>2024-08-27 08:00</t>
        </is>
      </c>
      <c r="G2097" s="11" t="n">
        <v>95156.47</v>
      </c>
      <c r="H2097" s="5" t="inlineStr">
        <is>
          <t>m3</t>
        </is>
      </c>
      <c r="I2097" s="5" t="inlineStr">
        <is>
          <t>cumulative</t>
        </is>
      </c>
      <c r="J2097" s="5" t="inlineStr">
        <is>
          <t>KL</t>
        </is>
      </c>
      <c r="K2097" s="5" t="inlineStr"/>
      <c r="L2097" s="7">
        <f>IFERROR(IF(F2097&lt;F2096,"NEGATIVE",ROUND(F2097-F2096,2)),"")</f>
        <v/>
      </c>
    </row>
    <row r="2098" ht="22" customHeight="1">
      <c r="B2098" s="8" t="inlineStr">
        <is>
          <t>R02094</t>
        </is>
      </c>
      <c r="C2098" s="8" t="inlineStr">
        <is>
          <t>MTR-WSH-002</t>
        </is>
      </c>
      <c r="D2098" s="8" t="inlineStr">
        <is>
          <t>Washing Hall</t>
        </is>
      </c>
      <c r="E2098" s="8" t="inlineStr">
        <is>
          <t>Washing Machine 3</t>
        </is>
      </c>
      <c r="F2098" s="8" t="inlineStr">
        <is>
          <t>2024-08-28 08:00</t>
        </is>
      </c>
      <c r="G2098" s="12" t="n">
        <v>95192.37</v>
      </c>
      <c r="H2098" s="8" t="inlineStr">
        <is>
          <t>m3</t>
        </is>
      </c>
      <c r="I2098" s="8" t="inlineStr">
        <is>
          <t>cumulative</t>
        </is>
      </c>
      <c r="J2098" s="8" t="inlineStr">
        <is>
          <t>EF</t>
        </is>
      </c>
      <c r="K2098" s="8" t="inlineStr"/>
      <c r="L2098" s="10">
        <f>IFERROR(IF(F2098&lt;F2097,"NEGATIVE",ROUND(F2098-F2097,2)),"")</f>
        <v/>
      </c>
    </row>
    <row r="2099" ht="22" customHeight="1">
      <c r="B2099" s="5" t="inlineStr">
        <is>
          <t>R02095</t>
        </is>
      </c>
      <c r="C2099" s="5" t="inlineStr">
        <is>
          <t>MTR-WSH-002</t>
        </is>
      </c>
      <c r="D2099" s="5" t="inlineStr">
        <is>
          <t>Washing Hall</t>
        </is>
      </c>
      <c r="E2099" s="5" t="inlineStr">
        <is>
          <t>Washing Machine 3</t>
        </is>
      </c>
      <c r="F2099" s="5" t="inlineStr">
        <is>
          <t>2024-08-29 08:00</t>
        </is>
      </c>
      <c r="G2099" s="11" t="n">
        <v>95226.28999999999</v>
      </c>
      <c r="H2099" s="5" t="inlineStr">
        <is>
          <t>m3</t>
        </is>
      </c>
      <c r="I2099" s="5" t="inlineStr">
        <is>
          <t>cumulative</t>
        </is>
      </c>
      <c r="J2099" s="5" t="inlineStr">
        <is>
          <t>GH</t>
        </is>
      </c>
      <c r="K2099" s="5" t="inlineStr"/>
      <c r="L2099" s="7">
        <f>IFERROR(IF(F2099&lt;F2098,"NEGATIVE",ROUND(F2099-F2098,2)),"")</f>
        <v/>
      </c>
    </row>
    <row r="2100" ht="22" customHeight="1">
      <c r="B2100" s="8" t="inlineStr">
        <is>
          <t>R02096</t>
        </is>
      </c>
      <c r="C2100" s="8" t="inlineStr">
        <is>
          <t>MTR-WSH-002</t>
        </is>
      </c>
      <c r="D2100" s="8" t="inlineStr">
        <is>
          <t>Washing Hall</t>
        </is>
      </c>
      <c r="E2100" s="8" t="inlineStr">
        <is>
          <t>Washing Machine 3</t>
        </is>
      </c>
      <c r="F2100" s="8" t="inlineStr">
        <is>
          <t>2024-08-30 08:00</t>
        </is>
      </c>
      <c r="G2100" s="12" t="n">
        <v>95260.66</v>
      </c>
      <c r="H2100" s="8" t="inlineStr">
        <is>
          <t>m3</t>
        </is>
      </c>
      <c r="I2100" s="8" t="inlineStr">
        <is>
          <t>cumulative</t>
        </is>
      </c>
      <c r="J2100" s="8" t="inlineStr">
        <is>
          <t>GH</t>
        </is>
      </c>
      <c r="K2100" s="8" t="inlineStr"/>
      <c r="L2100" s="10">
        <f>IFERROR(IF(F2100&lt;F2099,"NEGATIVE",ROUND(F2100-F2099,2)),"")</f>
        <v/>
      </c>
    </row>
    <row r="2101" ht="22" customHeight="1">
      <c r="B2101" s="5" t="inlineStr">
        <is>
          <t>R02097</t>
        </is>
      </c>
      <c r="C2101" s="5" t="inlineStr">
        <is>
          <t>MTR-WSH-002</t>
        </is>
      </c>
      <c r="D2101" s="5" t="inlineStr">
        <is>
          <t>Washing Hall</t>
        </is>
      </c>
      <c r="E2101" s="5" t="inlineStr">
        <is>
          <t>Washing Machine 3</t>
        </is>
      </c>
      <c r="F2101" s="5" t="inlineStr">
        <is>
          <t>2024-08-31 08:00</t>
        </is>
      </c>
      <c r="G2101" s="11" t="n">
        <v>95291.84</v>
      </c>
      <c r="H2101" s="5" t="inlineStr">
        <is>
          <t>m3</t>
        </is>
      </c>
      <c r="I2101" s="5" t="inlineStr">
        <is>
          <t>cumulative</t>
        </is>
      </c>
      <c r="J2101" s="5" t="inlineStr">
        <is>
          <t>IJ</t>
        </is>
      </c>
      <c r="K2101" s="5" t="inlineStr"/>
      <c r="L2101" s="7">
        <f>IFERROR(IF(F2101&lt;F2100,"NEGATIVE",ROUND(F2101-F2100,2)),"")</f>
        <v/>
      </c>
    </row>
    <row r="2102" ht="22" customHeight="1">
      <c r="B2102" s="8" t="inlineStr">
        <is>
          <t>R02098</t>
        </is>
      </c>
      <c r="C2102" s="8" t="inlineStr">
        <is>
          <t>MTR-WSH-002</t>
        </is>
      </c>
      <c r="D2102" s="8" t="inlineStr">
        <is>
          <t>Washing Hall</t>
        </is>
      </c>
      <c r="E2102" s="8" t="inlineStr">
        <is>
          <t>Washing Machine 3</t>
        </is>
      </c>
      <c r="F2102" s="8" t="inlineStr">
        <is>
          <t>2024-09-01 08:00</t>
        </is>
      </c>
      <c r="G2102" s="12" t="n">
        <v>95308.00999999999</v>
      </c>
      <c r="H2102" s="8" t="inlineStr">
        <is>
          <t>m3</t>
        </is>
      </c>
      <c r="I2102" s="8" t="inlineStr">
        <is>
          <t>cumulative</t>
        </is>
      </c>
      <c r="J2102" s="8" t="inlineStr">
        <is>
          <t>EF</t>
        </is>
      </c>
      <c r="K2102" s="8" t="inlineStr"/>
      <c r="L2102" s="10">
        <f>IFERROR(IF(F2102&lt;F2101,"NEGATIVE",ROUND(F2102-F2101,2)),"")</f>
        <v/>
      </c>
    </row>
    <row r="2103" ht="22" customHeight="1">
      <c r="B2103" s="5" t="inlineStr">
        <is>
          <t>R02099</t>
        </is>
      </c>
      <c r="C2103" s="5" t="inlineStr">
        <is>
          <t>MTR-WSH-002</t>
        </is>
      </c>
      <c r="D2103" s="5" t="inlineStr">
        <is>
          <t>Washing Hall</t>
        </is>
      </c>
      <c r="E2103" s="5" t="inlineStr">
        <is>
          <t>Washing Machine 3</t>
        </is>
      </c>
      <c r="F2103" s="5" t="inlineStr">
        <is>
          <t>2024-09-02 08:00</t>
        </is>
      </c>
      <c r="G2103" s="11" t="n">
        <v>95343.66</v>
      </c>
      <c r="H2103" s="5" t="inlineStr">
        <is>
          <t>m3</t>
        </is>
      </c>
      <c r="I2103" s="5" t="inlineStr">
        <is>
          <t>cumulative</t>
        </is>
      </c>
      <c r="J2103" s="5" t="inlineStr">
        <is>
          <t>EF</t>
        </is>
      </c>
      <c r="K2103" s="5" t="inlineStr"/>
      <c r="L2103" s="7">
        <f>IFERROR(IF(F2103&lt;F2102,"NEGATIVE",ROUND(F2103-F2102,2)),"")</f>
        <v/>
      </c>
    </row>
    <row r="2104" ht="22" customHeight="1">
      <c r="B2104" s="8" t="inlineStr">
        <is>
          <t>R02100</t>
        </is>
      </c>
      <c r="C2104" s="8" t="inlineStr">
        <is>
          <t>MTR-WSH-002</t>
        </is>
      </c>
      <c r="D2104" s="8" t="inlineStr">
        <is>
          <t>Washing Hall</t>
        </is>
      </c>
      <c r="E2104" s="8" t="inlineStr">
        <is>
          <t>Washing Machine 3</t>
        </is>
      </c>
      <c r="F2104" s="8" t="inlineStr">
        <is>
          <t>2024-09-03 08:00</t>
        </is>
      </c>
      <c r="G2104" s="12" t="n">
        <v>95380.28999999999</v>
      </c>
      <c r="H2104" s="8" t="inlineStr">
        <is>
          <t>m3</t>
        </is>
      </c>
      <c r="I2104" s="8" t="inlineStr">
        <is>
          <t>cumulative</t>
        </is>
      </c>
      <c r="J2104" s="8" t="inlineStr">
        <is>
          <t>AB</t>
        </is>
      </c>
      <c r="K2104" s="8" t="inlineStr"/>
      <c r="L2104" s="10">
        <f>IFERROR(IF(F2104&lt;F2103,"NEGATIVE",ROUND(F2104-F2103,2)),"")</f>
        <v/>
      </c>
    </row>
    <row r="2105" ht="22" customHeight="1">
      <c r="B2105" s="5" t="inlineStr">
        <is>
          <t>R02101</t>
        </is>
      </c>
      <c r="C2105" s="5" t="inlineStr">
        <is>
          <t>MTR-WSH-002</t>
        </is>
      </c>
      <c r="D2105" s="5" t="inlineStr">
        <is>
          <t>Washing Hall</t>
        </is>
      </c>
      <c r="E2105" s="5" t="inlineStr">
        <is>
          <t>Washing Machine 3</t>
        </is>
      </c>
      <c r="F2105" s="5" t="inlineStr">
        <is>
          <t>2024-09-04 08:00</t>
        </is>
      </c>
      <c r="G2105" s="11" t="n">
        <v>95414.09</v>
      </c>
      <c r="H2105" s="5" t="inlineStr">
        <is>
          <t>m3</t>
        </is>
      </c>
      <c r="I2105" s="5" t="inlineStr">
        <is>
          <t>cumulative</t>
        </is>
      </c>
      <c r="J2105" s="5" t="inlineStr">
        <is>
          <t>EF</t>
        </is>
      </c>
      <c r="K2105" s="5" t="inlineStr"/>
      <c r="L2105" s="7">
        <f>IFERROR(IF(F2105&lt;F2104,"NEGATIVE",ROUND(F2105-F2104,2)),"")</f>
        <v/>
      </c>
    </row>
    <row r="2106" ht="22" customHeight="1">
      <c r="B2106" s="8" t="inlineStr">
        <is>
          <t>R02102</t>
        </is>
      </c>
      <c r="C2106" s="8" t="inlineStr">
        <is>
          <t>MTR-WSH-002</t>
        </is>
      </c>
      <c r="D2106" s="8" t="inlineStr">
        <is>
          <t>Washing Hall</t>
        </is>
      </c>
      <c r="E2106" s="8" t="inlineStr">
        <is>
          <t>Washing Machine 3</t>
        </is>
      </c>
      <c r="F2106" s="8" t="inlineStr">
        <is>
          <t>2024-09-05 08:00</t>
        </is>
      </c>
      <c r="G2106" s="12" t="n">
        <v>95444.86</v>
      </c>
      <c r="H2106" s="8" t="inlineStr">
        <is>
          <t>m3</t>
        </is>
      </c>
      <c r="I2106" s="8" t="inlineStr">
        <is>
          <t>cumulative</t>
        </is>
      </c>
      <c r="J2106" s="8" t="inlineStr">
        <is>
          <t>IJ</t>
        </is>
      </c>
      <c r="K2106" s="8" t="inlineStr"/>
      <c r="L2106" s="10">
        <f>IFERROR(IF(F2106&lt;F2105,"NEGATIVE",ROUND(F2106-F2105,2)),"")</f>
        <v/>
      </c>
    </row>
    <row r="2107" ht="22" customHeight="1">
      <c r="B2107" s="5" t="inlineStr">
        <is>
          <t>R02103</t>
        </is>
      </c>
      <c r="C2107" s="5" t="inlineStr">
        <is>
          <t>MTR-WSH-002</t>
        </is>
      </c>
      <c r="D2107" s="5" t="inlineStr">
        <is>
          <t>Washing Hall</t>
        </is>
      </c>
      <c r="E2107" s="5" t="inlineStr">
        <is>
          <t>Washing Machine 3</t>
        </is>
      </c>
      <c r="F2107" s="5" t="inlineStr">
        <is>
          <t>2024-09-06 08:00</t>
        </is>
      </c>
      <c r="G2107" s="11" t="n">
        <v>95482.36</v>
      </c>
      <c r="H2107" s="5" t="inlineStr">
        <is>
          <t>m3</t>
        </is>
      </c>
      <c r="I2107" s="5" t="inlineStr">
        <is>
          <t>cumulative</t>
        </is>
      </c>
      <c r="J2107" s="5" t="inlineStr">
        <is>
          <t>GH</t>
        </is>
      </c>
      <c r="K2107" s="5" t="inlineStr"/>
      <c r="L2107" s="7">
        <f>IFERROR(IF(F2107&lt;F2106,"NEGATIVE",ROUND(F2107-F2106,2)),"")</f>
        <v/>
      </c>
    </row>
    <row r="2108" ht="22" customHeight="1">
      <c r="B2108" s="8" t="inlineStr">
        <is>
          <t>R02104</t>
        </is>
      </c>
      <c r="C2108" s="8" t="inlineStr">
        <is>
          <t>MTR-WSH-002</t>
        </is>
      </c>
      <c r="D2108" s="8" t="inlineStr">
        <is>
          <t>Washing Hall</t>
        </is>
      </c>
      <c r="E2108" s="8" t="inlineStr">
        <is>
          <t>Washing Machine 3</t>
        </is>
      </c>
      <c r="F2108" s="8" t="inlineStr">
        <is>
          <t>2024-09-07 08:00</t>
        </is>
      </c>
      <c r="G2108" s="12" t="n">
        <v>95511.11</v>
      </c>
      <c r="H2108" s="8" t="inlineStr">
        <is>
          <t>m3</t>
        </is>
      </c>
      <c r="I2108" s="8" t="inlineStr">
        <is>
          <t>cumulative</t>
        </is>
      </c>
      <c r="J2108" s="8" t="inlineStr">
        <is>
          <t>KL</t>
        </is>
      </c>
      <c r="K2108" s="8" t="inlineStr"/>
      <c r="L2108" s="10">
        <f>IFERROR(IF(F2108&lt;F2107,"NEGATIVE",ROUND(F2108-F2107,2)),"")</f>
        <v/>
      </c>
    </row>
    <row r="2109" ht="22" customHeight="1">
      <c r="B2109" s="5" t="inlineStr">
        <is>
          <t>R02105</t>
        </is>
      </c>
      <c r="C2109" s="5" t="inlineStr">
        <is>
          <t>MTR-WSH-002</t>
        </is>
      </c>
      <c r="D2109" s="5" t="inlineStr">
        <is>
          <t>Washing Hall</t>
        </is>
      </c>
      <c r="E2109" s="5" t="inlineStr">
        <is>
          <t>Washing Machine 3</t>
        </is>
      </c>
      <c r="F2109" s="5" t="inlineStr">
        <is>
          <t>2024-09-08 08:00</t>
        </is>
      </c>
      <c r="G2109" s="11" t="n">
        <v>95527.86</v>
      </c>
      <c r="H2109" s="5" t="inlineStr">
        <is>
          <t>m3</t>
        </is>
      </c>
      <c r="I2109" s="5" t="inlineStr">
        <is>
          <t>cumulative</t>
        </is>
      </c>
      <c r="J2109" s="5" t="inlineStr">
        <is>
          <t>KL</t>
        </is>
      </c>
      <c r="K2109" s="5" t="inlineStr"/>
      <c r="L2109" s="7">
        <f>IFERROR(IF(F2109&lt;F2108,"NEGATIVE",ROUND(F2109-F2108,2)),"")</f>
        <v/>
      </c>
    </row>
    <row r="2110" ht="22" customHeight="1">
      <c r="B2110" s="8" t="inlineStr">
        <is>
          <t>R02106</t>
        </is>
      </c>
      <c r="C2110" s="8" t="inlineStr">
        <is>
          <t>MTR-WSH-002</t>
        </is>
      </c>
      <c r="D2110" s="8" t="inlineStr">
        <is>
          <t>Washing Hall</t>
        </is>
      </c>
      <c r="E2110" s="8" t="inlineStr">
        <is>
          <t>Washing Machine 3</t>
        </is>
      </c>
      <c r="F2110" s="8" t="inlineStr">
        <is>
          <t>2024-09-09 08:00</t>
        </is>
      </c>
      <c r="G2110" s="12" t="n">
        <v>95562.12</v>
      </c>
      <c r="H2110" s="8" t="inlineStr">
        <is>
          <t>m3</t>
        </is>
      </c>
      <c r="I2110" s="8" t="inlineStr">
        <is>
          <t>cumulative</t>
        </is>
      </c>
      <c r="J2110" s="8" t="inlineStr">
        <is>
          <t>KL</t>
        </is>
      </c>
      <c r="K2110" s="8" t="inlineStr"/>
      <c r="L2110" s="10">
        <f>IFERROR(IF(F2110&lt;F2109,"NEGATIVE",ROUND(F2110-F2109,2)),"")</f>
        <v/>
      </c>
    </row>
    <row r="2111" ht="22" customHeight="1">
      <c r="B2111" s="5" t="inlineStr">
        <is>
          <t>R02107</t>
        </is>
      </c>
      <c r="C2111" s="5" t="inlineStr">
        <is>
          <t>MTR-WSH-002</t>
        </is>
      </c>
      <c r="D2111" s="5" t="inlineStr">
        <is>
          <t>Washing Hall</t>
        </is>
      </c>
      <c r="E2111" s="5" t="inlineStr">
        <is>
          <t>Washing Machine 3</t>
        </is>
      </c>
      <c r="F2111" s="5" t="inlineStr">
        <is>
          <t>2024-09-10 08:00</t>
        </is>
      </c>
      <c r="G2111" s="11" t="n">
        <v>95593.45</v>
      </c>
      <c r="H2111" s="5" t="inlineStr">
        <is>
          <t>m3</t>
        </is>
      </c>
      <c r="I2111" s="5" t="inlineStr">
        <is>
          <t>cumulative</t>
        </is>
      </c>
      <c r="J2111" s="5" t="inlineStr">
        <is>
          <t>IJ</t>
        </is>
      </c>
      <c r="K2111" s="5" t="inlineStr"/>
      <c r="L2111" s="7">
        <f>IFERROR(IF(F2111&lt;F2110,"NEGATIVE",ROUND(F2111-F2110,2)),"")</f>
        <v/>
      </c>
    </row>
    <row r="2112" ht="22" customHeight="1">
      <c r="B2112" s="8" t="inlineStr">
        <is>
          <t>R02108</t>
        </is>
      </c>
      <c r="C2112" s="8" t="inlineStr">
        <is>
          <t>MTR-WSH-002</t>
        </is>
      </c>
      <c r="D2112" s="8" t="inlineStr">
        <is>
          <t>Washing Hall</t>
        </is>
      </c>
      <c r="E2112" s="8" t="inlineStr">
        <is>
          <t>Washing Machine 3</t>
        </is>
      </c>
      <c r="F2112" s="8" t="inlineStr">
        <is>
          <t>2024-09-11 08:00</t>
        </is>
      </c>
      <c r="G2112" s="12" t="n">
        <v>95625.8</v>
      </c>
      <c r="H2112" s="8" t="inlineStr">
        <is>
          <t>m3</t>
        </is>
      </c>
      <c r="I2112" s="8" t="inlineStr">
        <is>
          <t>cumulative</t>
        </is>
      </c>
      <c r="J2112" s="8" t="inlineStr">
        <is>
          <t>AB</t>
        </is>
      </c>
      <c r="K2112" s="8" t="inlineStr"/>
      <c r="L2112" s="10">
        <f>IFERROR(IF(F2112&lt;F2111,"NEGATIVE",ROUND(F2112-F2111,2)),"")</f>
        <v/>
      </c>
    </row>
    <row r="2113" ht="22" customHeight="1">
      <c r="B2113" s="5" t="inlineStr">
        <is>
          <t>R02109</t>
        </is>
      </c>
      <c r="C2113" s="5" t="inlineStr">
        <is>
          <t>MTR-WSH-002</t>
        </is>
      </c>
      <c r="D2113" s="5" t="inlineStr">
        <is>
          <t>Washing Hall</t>
        </is>
      </c>
      <c r="E2113" s="5" t="inlineStr">
        <is>
          <t>Washing Machine 3</t>
        </is>
      </c>
      <c r="F2113" s="5" t="inlineStr">
        <is>
          <t>2024-09-12 08:00</t>
        </is>
      </c>
      <c r="G2113" s="11" t="n">
        <v>95656.25999999999</v>
      </c>
      <c r="H2113" s="5" t="inlineStr">
        <is>
          <t>m3</t>
        </is>
      </c>
      <c r="I2113" s="5" t="inlineStr">
        <is>
          <t>cumulative</t>
        </is>
      </c>
      <c r="J2113" s="5" t="inlineStr">
        <is>
          <t>EF</t>
        </is>
      </c>
      <c r="K2113" s="5" t="inlineStr"/>
      <c r="L2113" s="7">
        <f>IFERROR(IF(F2113&lt;F2112,"NEGATIVE",ROUND(F2113-F2112,2)),"")</f>
        <v/>
      </c>
    </row>
    <row r="2114" ht="22" customHeight="1">
      <c r="B2114" s="8" t="inlineStr">
        <is>
          <t>R02110</t>
        </is>
      </c>
      <c r="C2114" s="8" t="inlineStr">
        <is>
          <t>MTR-WSH-002</t>
        </is>
      </c>
      <c r="D2114" s="8" t="inlineStr">
        <is>
          <t>Washing Hall</t>
        </is>
      </c>
      <c r="E2114" s="8" t="inlineStr">
        <is>
          <t>Washing Machine 3</t>
        </is>
      </c>
      <c r="F2114" s="8" t="inlineStr">
        <is>
          <t>2024-09-13 08:00</t>
        </is>
      </c>
      <c r="G2114" s="12" t="n">
        <v>95691.2</v>
      </c>
      <c r="H2114" s="8" t="inlineStr">
        <is>
          <t>m3</t>
        </is>
      </c>
      <c r="I2114" s="8" t="inlineStr">
        <is>
          <t>cumulative</t>
        </is>
      </c>
      <c r="J2114" s="8" t="inlineStr">
        <is>
          <t>AB</t>
        </is>
      </c>
      <c r="K2114" s="8" t="inlineStr"/>
      <c r="L2114" s="10">
        <f>IFERROR(IF(F2114&lt;F2113,"NEGATIVE",ROUND(F2114-F2113,2)),"")</f>
        <v/>
      </c>
    </row>
    <row r="2115" ht="22" customHeight="1">
      <c r="B2115" s="5" t="inlineStr">
        <is>
          <t>R02111</t>
        </is>
      </c>
      <c r="C2115" s="5" t="inlineStr">
        <is>
          <t>MTR-WSH-002</t>
        </is>
      </c>
      <c r="D2115" s="5" t="inlineStr">
        <is>
          <t>Washing Hall</t>
        </is>
      </c>
      <c r="E2115" s="5" t="inlineStr">
        <is>
          <t>Washing Machine 3</t>
        </is>
      </c>
      <c r="F2115" s="5" t="inlineStr">
        <is>
          <t>2024-09-14 08:00</t>
        </is>
      </c>
      <c r="G2115" s="11" t="n">
        <v>95721.75999999999</v>
      </c>
      <c r="H2115" s="5" t="inlineStr">
        <is>
          <t>m3</t>
        </is>
      </c>
      <c r="I2115" s="5" t="inlineStr">
        <is>
          <t>cumulative</t>
        </is>
      </c>
      <c r="J2115" s="5" t="inlineStr">
        <is>
          <t>GH</t>
        </is>
      </c>
      <c r="K2115" s="5" t="inlineStr"/>
      <c r="L2115" s="7">
        <f>IFERROR(IF(F2115&lt;F2114,"NEGATIVE",ROUND(F2115-F2114,2)),"")</f>
        <v/>
      </c>
    </row>
    <row r="2116" ht="22" customHeight="1">
      <c r="B2116" s="8" t="inlineStr">
        <is>
          <t>R02112</t>
        </is>
      </c>
      <c r="C2116" s="8" t="inlineStr">
        <is>
          <t>MTR-WSH-002</t>
        </is>
      </c>
      <c r="D2116" s="8" t="inlineStr">
        <is>
          <t>Washing Hall</t>
        </is>
      </c>
      <c r="E2116" s="8" t="inlineStr">
        <is>
          <t>Washing Machine 3</t>
        </is>
      </c>
      <c r="F2116" s="8" t="inlineStr">
        <is>
          <t>2024-09-15 08:00</t>
        </is>
      </c>
      <c r="G2116" s="12" t="n">
        <v>95738.39999999999</v>
      </c>
      <c r="H2116" s="8" t="inlineStr">
        <is>
          <t>m3</t>
        </is>
      </c>
      <c r="I2116" s="8" t="inlineStr">
        <is>
          <t>cumulative</t>
        </is>
      </c>
      <c r="J2116" s="8" t="inlineStr">
        <is>
          <t>CD</t>
        </is>
      </c>
      <c r="K2116" s="8" t="inlineStr"/>
      <c r="L2116" s="10">
        <f>IFERROR(IF(F2116&lt;F2115,"NEGATIVE",ROUND(F2116-F2115,2)),"")</f>
        <v/>
      </c>
    </row>
    <row r="2117" ht="22" customHeight="1">
      <c r="B2117" s="5" t="inlineStr">
        <is>
          <t>R02113</t>
        </is>
      </c>
      <c r="C2117" s="5" t="inlineStr">
        <is>
          <t>MTR-WSH-002</t>
        </is>
      </c>
      <c r="D2117" s="5" t="inlineStr">
        <is>
          <t>Washing Hall</t>
        </is>
      </c>
      <c r="E2117" s="5" t="inlineStr">
        <is>
          <t>Washing Machine 3</t>
        </is>
      </c>
      <c r="F2117" s="5" t="inlineStr">
        <is>
          <t>2024-09-16 08:00</t>
        </is>
      </c>
      <c r="G2117" s="11" t="n">
        <v>95772.59</v>
      </c>
      <c r="H2117" s="5" t="inlineStr">
        <is>
          <t>m3</t>
        </is>
      </c>
      <c r="I2117" s="5" t="inlineStr">
        <is>
          <t>cumulative</t>
        </is>
      </c>
      <c r="J2117" s="5" t="inlineStr">
        <is>
          <t>CD</t>
        </is>
      </c>
      <c r="K2117" s="5" t="inlineStr"/>
      <c r="L2117" s="7">
        <f>IFERROR(IF(F2117&lt;F2116,"NEGATIVE",ROUND(F2117-F2116,2)),"")</f>
        <v/>
      </c>
    </row>
    <row r="2118" ht="22" customHeight="1">
      <c r="B2118" s="8" t="inlineStr">
        <is>
          <t>R02114</t>
        </is>
      </c>
      <c r="C2118" s="8" t="inlineStr">
        <is>
          <t>MTR-WSH-002</t>
        </is>
      </c>
      <c r="D2118" s="8" t="inlineStr">
        <is>
          <t>Washing Hall</t>
        </is>
      </c>
      <c r="E2118" s="8" t="inlineStr">
        <is>
          <t>Washing Machine 3</t>
        </is>
      </c>
      <c r="F2118" s="8" t="inlineStr">
        <is>
          <t>2024-09-17 08:00</t>
        </is>
      </c>
      <c r="G2118" s="12" t="n">
        <v>95804.05</v>
      </c>
      <c r="H2118" s="8" t="inlineStr">
        <is>
          <t>m3</t>
        </is>
      </c>
      <c r="I2118" s="8" t="inlineStr">
        <is>
          <t>cumulative</t>
        </is>
      </c>
      <c r="J2118" s="8" t="inlineStr">
        <is>
          <t>GH</t>
        </is>
      </c>
      <c r="K2118" s="8" t="inlineStr"/>
      <c r="L2118" s="10">
        <f>IFERROR(IF(F2118&lt;F2117,"NEGATIVE",ROUND(F2118-F2117,2)),"")</f>
        <v/>
      </c>
    </row>
    <row r="2119" ht="22" customHeight="1">
      <c r="B2119" s="5" t="inlineStr">
        <is>
          <t>R02115</t>
        </is>
      </c>
      <c r="C2119" s="5" t="inlineStr">
        <is>
          <t>MTR-WSH-002</t>
        </is>
      </c>
      <c r="D2119" s="5" t="inlineStr">
        <is>
          <t>Washing Hall</t>
        </is>
      </c>
      <c r="E2119" s="5" t="inlineStr">
        <is>
          <t>Washing Machine 3</t>
        </is>
      </c>
      <c r="F2119" s="5" t="inlineStr">
        <is>
          <t>2024-09-18 08:00</t>
        </is>
      </c>
      <c r="G2119" s="11" t="n">
        <v>95832.3</v>
      </c>
      <c r="H2119" s="5" t="inlineStr">
        <is>
          <t>m3</t>
        </is>
      </c>
      <c r="I2119" s="5" t="inlineStr">
        <is>
          <t>cumulative</t>
        </is>
      </c>
      <c r="J2119" s="5" t="inlineStr">
        <is>
          <t>KL</t>
        </is>
      </c>
      <c r="K2119" s="5" t="inlineStr"/>
      <c r="L2119" s="7">
        <f>IFERROR(IF(F2119&lt;F2118,"NEGATIVE",ROUND(F2119-F2118,2)),"")</f>
        <v/>
      </c>
    </row>
    <row r="2120" ht="22" customHeight="1">
      <c r="B2120" s="8" t="inlineStr">
        <is>
          <t>R02116</t>
        </is>
      </c>
      <c r="C2120" s="8" t="inlineStr">
        <is>
          <t>MTR-WSH-002</t>
        </is>
      </c>
      <c r="D2120" s="8" t="inlineStr">
        <is>
          <t>Washing Hall</t>
        </is>
      </c>
      <c r="E2120" s="8" t="inlineStr">
        <is>
          <t>Washing Machine 3</t>
        </is>
      </c>
      <c r="F2120" s="8" t="inlineStr">
        <is>
          <t>2024-09-19 08:00</t>
        </is>
      </c>
      <c r="G2120" s="12" t="n">
        <v>95865.17999999999</v>
      </c>
      <c r="H2120" s="8" t="inlineStr">
        <is>
          <t>m3</t>
        </is>
      </c>
      <c r="I2120" s="8" t="inlineStr">
        <is>
          <t>cumulative</t>
        </is>
      </c>
      <c r="J2120" s="8" t="inlineStr">
        <is>
          <t>AB</t>
        </is>
      </c>
      <c r="K2120" s="8" t="inlineStr"/>
      <c r="L2120" s="10">
        <f>IFERROR(IF(F2120&lt;F2119,"NEGATIVE",ROUND(F2120-F2119,2)),"")</f>
        <v/>
      </c>
    </row>
    <row r="2121" ht="22" customHeight="1">
      <c r="B2121" s="5" t="inlineStr">
        <is>
          <t>R02117</t>
        </is>
      </c>
      <c r="C2121" s="5" t="inlineStr">
        <is>
          <t>MTR-WSH-002</t>
        </is>
      </c>
      <c r="D2121" s="5" t="inlineStr">
        <is>
          <t>Washing Hall</t>
        </is>
      </c>
      <c r="E2121" s="5" t="inlineStr">
        <is>
          <t>Washing Machine 3</t>
        </is>
      </c>
      <c r="F2121" s="5" t="inlineStr">
        <is>
          <t>2024-09-20 08:00</t>
        </is>
      </c>
      <c r="G2121" s="11" t="n">
        <v>95897.33</v>
      </c>
      <c r="H2121" s="5" t="inlineStr">
        <is>
          <t>m3</t>
        </is>
      </c>
      <c r="I2121" s="5" t="inlineStr">
        <is>
          <t>cumulative</t>
        </is>
      </c>
      <c r="J2121" s="5" t="inlineStr">
        <is>
          <t>IJ</t>
        </is>
      </c>
      <c r="K2121" s="5" t="inlineStr"/>
      <c r="L2121" s="7">
        <f>IFERROR(IF(F2121&lt;F2120,"NEGATIVE",ROUND(F2121-F2120,2)),"")</f>
        <v/>
      </c>
    </row>
    <row r="2122" ht="22" customHeight="1">
      <c r="B2122" s="8" t="inlineStr">
        <is>
          <t>R02118</t>
        </is>
      </c>
      <c r="C2122" s="8" t="inlineStr">
        <is>
          <t>MTR-WSH-002</t>
        </is>
      </c>
      <c r="D2122" s="8" t="inlineStr">
        <is>
          <t>Washing Hall</t>
        </is>
      </c>
      <c r="E2122" s="8" t="inlineStr">
        <is>
          <t>Washing Machine 3</t>
        </is>
      </c>
      <c r="F2122" s="8" t="inlineStr">
        <is>
          <t>2024-09-21 08:00</t>
        </is>
      </c>
      <c r="G2122" s="12" t="n">
        <v>95927.57000000001</v>
      </c>
      <c r="H2122" s="8" t="inlineStr">
        <is>
          <t>m3</t>
        </is>
      </c>
      <c r="I2122" s="8" t="inlineStr">
        <is>
          <t>cumulative</t>
        </is>
      </c>
      <c r="J2122" s="8" t="inlineStr">
        <is>
          <t>GH</t>
        </is>
      </c>
      <c r="K2122" s="8" t="inlineStr"/>
      <c r="L2122" s="10">
        <f>IFERROR(IF(F2122&lt;F2121,"NEGATIVE",ROUND(F2122-F2121,2)),"")</f>
        <v/>
      </c>
    </row>
    <row r="2123" ht="22" customHeight="1">
      <c r="B2123" s="5" t="inlineStr">
        <is>
          <t>R02119</t>
        </is>
      </c>
      <c r="C2123" s="5" t="inlineStr">
        <is>
          <t>MTR-WSH-002</t>
        </is>
      </c>
      <c r="D2123" s="5" t="inlineStr">
        <is>
          <t>Washing Hall</t>
        </is>
      </c>
      <c r="E2123" s="5" t="inlineStr">
        <is>
          <t>Washing Machine 3</t>
        </is>
      </c>
      <c r="F2123" s="5" t="inlineStr">
        <is>
          <t>2024-09-22 08:00</t>
        </is>
      </c>
      <c r="G2123" s="11" t="n">
        <v>95943.67</v>
      </c>
      <c r="H2123" s="5" t="inlineStr">
        <is>
          <t>m3</t>
        </is>
      </c>
      <c r="I2123" s="5" t="inlineStr">
        <is>
          <t>cumulative</t>
        </is>
      </c>
      <c r="J2123" s="5" t="inlineStr">
        <is>
          <t>EF</t>
        </is>
      </c>
      <c r="K2123" s="5" t="inlineStr"/>
      <c r="L2123" s="7">
        <f>IFERROR(IF(F2123&lt;F2122,"NEGATIVE",ROUND(F2123-F2122,2)),"")</f>
        <v/>
      </c>
    </row>
    <row r="2124" ht="22" customHeight="1">
      <c r="B2124" s="8" t="inlineStr">
        <is>
          <t>R02120</t>
        </is>
      </c>
      <c r="C2124" s="8" t="inlineStr">
        <is>
          <t>MTR-WSH-002</t>
        </is>
      </c>
      <c r="D2124" s="8" t="inlineStr">
        <is>
          <t>Washing Hall</t>
        </is>
      </c>
      <c r="E2124" s="8" t="inlineStr">
        <is>
          <t>Washing Machine 3</t>
        </is>
      </c>
      <c r="F2124" s="8" t="inlineStr">
        <is>
          <t>2024-09-23 08:00</t>
        </is>
      </c>
      <c r="G2124" s="12" t="n">
        <v>95974.72</v>
      </c>
      <c r="H2124" s="8" t="inlineStr">
        <is>
          <t>m3</t>
        </is>
      </c>
      <c r="I2124" s="8" t="inlineStr">
        <is>
          <t>cumulative</t>
        </is>
      </c>
      <c r="J2124" s="8" t="inlineStr">
        <is>
          <t>GH</t>
        </is>
      </c>
      <c r="K2124" s="8" t="inlineStr"/>
      <c r="L2124" s="10">
        <f>IFERROR(IF(F2124&lt;F2123,"NEGATIVE",ROUND(F2124-F2123,2)),"")</f>
        <v/>
      </c>
    </row>
    <row r="2125" ht="22" customHeight="1">
      <c r="B2125" s="5" t="inlineStr">
        <is>
          <t>R02121</t>
        </is>
      </c>
      <c r="C2125" s="5" t="inlineStr">
        <is>
          <t>MTR-WSH-002</t>
        </is>
      </c>
      <c r="D2125" s="5" t="inlineStr">
        <is>
          <t>Washing Hall</t>
        </is>
      </c>
      <c r="E2125" s="5" t="inlineStr">
        <is>
          <t>Washing Machine 3</t>
        </is>
      </c>
      <c r="F2125" s="5" t="inlineStr">
        <is>
          <t>2024-09-24 08:00</t>
        </is>
      </c>
      <c r="G2125" s="11" t="n">
        <v>96010.03999999999</v>
      </c>
      <c r="H2125" s="5" t="inlineStr">
        <is>
          <t>m3</t>
        </is>
      </c>
      <c r="I2125" s="5" t="inlineStr">
        <is>
          <t>cumulative</t>
        </is>
      </c>
      <c r="J2125" s="5" t="inlineStr">
        <is>
          <t>KL</t>
        </is>
      </c>
      <c r="K2125" s="5" t="inlineStr"/>
      <c r="L2125" s="7">
        <f>IFERROR(IF(F2125&lt;F2124,"NEGATIVE",ROUND(F2125-F2124,2)),"")</f>
        <v/>
      </c>
    </row>
    <row r="2126" ht="22" customHeight="1">
      <c r="B2126" s="8" t="inlineStr">
        <is>
          <t>R02122</t>
        </is>
      </c>
      <c r="C2126" s="8" t="inlineStr">
        <is>
          <t>MTR-WSH-002</t>
        </is>
      </c>
      <c r="D2126" s="8" t="inlineStr">
        <is>
          <t>Washing Hall</t>
        </is>
      </c>
      <c r="E2126" s="8" t="inlineStr">
        <is>
          <t>Washing Machine 3</t>
        </is>
      </c>
      <c r="F2126" s="8" t="inlineStr">
        <is>
          <t>2024-09-25 08:00</t>
        </is>
      </c>
      <c r="G2126" s="12" t="n">
        <v>96040.59</v>
      </c>
      <c r="H2126" s="8" t="inlineStr">
        <is>
          <t>m3</t>
        </is>
      </c>
      <c r="I2126" s="8" t="inlineStr">
        <is>
          <t>cumulative</t>
        </is>
      </c>
      <c r="J2126" s="8" t="inlineStr">
        <is>
          <t>EF</t>
        </is>
      </c>
      <c r="K2126" s="8" t="inlineStr"/>
      <c r="L2126" s="10">
        <f>IFERROR(IF(F2126&lt;F2125,"NEGATIVE",ROUND(F2126-F2125,2)),"")</f>
        <v/>
      </c>
    </row>
    <row r="2127" ht="22" customHeight="1">
      <c r="B2127" s="5" t="inlineStr">
        <is>
          <t>R02123</t>
        </is>
      </c>
      <c r="C2127" s="5" t="inlineStr">
        <is>
          <t>MTR-WSH-002</t>
        </is>
      </c>
      <c r="D2127" s="5" t="inlineStr">
        <is>
          <t>Washing Hall</t>
        </is>
      </c>
      <c r="E2127" s="5" t="inlineStr">
        <is>
          <t>Washing Machine 3</t>
        </is>
      </c>
      <c r="F2127" s="5" t="inlineStr">
        <is>
          <t>2024-09-26 08:00</t>
        </is>
      </c>
      <c r="G2127" s="11" t="n">
        <v>96071.17999999999</v>
      </c>
      <c r="H2127" s="5" t="inlineStr">
        <is>
          <t>m3</t>
        </is>
      </c>
      <c r="I2127" s="5" t="inlineStr">
        <is>
          <t>cumulative</t>
        </is>
      </c>
      <c r="J2127" s="5" t="inlineStr">
        <is>
          <t>IJ</t>
        </is>
      </c>
      <c r="K2127" s="5" t="inlineStr"/>
      <c r="L2127" s="7">
        <f>IFERROR(IF(F2127&lt;F2126,"NEGATIVE",ROUND(F2127-F2126,2)),"")</f>
        <v/>
      </c>
    </row>
    <row r="2128" ht="22" customHeight="1">
      <c r="B2128" s="8" t="inlineStr">
        <is>
          <t>R02124</t>
        </is>
      </c>
      <c r="C2128" s="8" t="inlineStr">
        <is>
          <t>MTR-WSH-002</t>
        </is>
      </c>
      <c r="D2128" s="8" t="inlineStr">
        <is>
          <t>Washing Hall</t>
        </is>
      </c>
      <c r="E2128" s="8" t="inlineStr">
        <is>
          <t>Washing Machine 3</t>
        </is>
      </c>
      <c r="F2128" s="8" t="inlineStr">
        <is>
          <t>2024-09-27 08:00</t>
        </is>
      </c>
      <c r="G2128" s="12" t="n">
        <v>96108</v>
      </c>
      <c r="H2128" s="8" t="inlineStr">
        <is>
          <t>m3</t>
        </is>
      </c>
      <c r="I2128" s="8" t="inlineStr">
        <is>
          <t>cumulative</t>
        </is>
      </c>
      <c r="J2128" s="8" t="inlineStr">
        <is>
          <t>KL</t>
        </is>
      </c>
      <c r="K2128" s="8" t="inlineStr"/>
      <c r="L2128" s="10">
        <f>IFERROR(IF(F2128&lt;F2127,"NEGATIVE",ROUND(F2128-F2127,2)),"")</f>
        <v/>
      </c>
    </row>
    <row r="2129" ht="22" customHeight="1">
      <c r="B2129" s="5" t="inlineStr">
        <is>
          <t>R02125</t>
        </is>
      </c>
      <c r="C2129" s="5" t="inlineStr">
        <is>
          <t>MTR-WSH-002</t>
        </is>
      </c>
      <c r="D2129" s="5" t="inlineStr">
        <is>
          <t>Washing Hall</t>
        </is>
      </c>
      <c r="E2129" s="5" t="inlineStr">
        <is>
          <t>Washing Machine 3</t>
        </is>
      </c>
      <c r="F2129" s="5" t="inlineStr">
        <is>
          <t>2024-09-28 08:00</t>
        </is>
      </c>
      <c r="G2129" s="11" t="n">
        <v>96132.09</v>
      </c>
      <c r="H2129" s="5" t="inlineStr">
        <is>
          <t>m3</t>
        </is>
      </c>
      <c r="I2129" s="5" t="inlineStr">
        <is>
          <t>cumulative</t>
        </is>
      </c>
      <c r="J2129" s="5" t="inlineStr">
        <is>
          <t>AB</t>
        </is>
      </c>
      <c r="K2129" s="5" t="inlineStr"/>
      <c r="L2129" s="7">
        <f>IFERROR(IF(F2129&lt;F2128,"NEGATIVE",ROUND(F2129-F2128,2)),"")</f>
        <v/>
      </c>
    </row>
    <row r="2130" ht="22" customHeight="1">
      <c r="B2130" s="8" t="inlineStr">
        <is>
          <t>R02126</t>
        </is>
      </c>
      <c r="C2130" s="8" t="inlineStr">
        <is>
          <t>MTR-WSH-002</t>
        </is>
      </c>
      <c r="D2130" s="8" t="inlineStr">
        <is>
          <t>Washing Hall</t>
        </is>
      </c>
      <c r="E2130" s="8" t="inlineStr">
        <is>
          <t>Washing Machine 3</t>
        </is>
      </c>
      <c r="F2130" s="8" t="inlineStr">
        <is>
          <t>2024-09-29 08:00</t>
        </is>
      </c>
      <c r="G2130" s="12" t="n">
        <v>96149.71000000001</v>
      </c>
      <c r="H2130" s="8" t="inlineStr">
        <is>
          <t>m3</t>
        </is>
      </c>
      <c r="I2130" s="8" t="inlineStr">
        <is>
          <t>cumulative</t>
        </is>
      </c>
      <c r="J2130" s="8" t="inlineStr">
        <is>
          <t>AB</t>
        </is>
      </c>
      <c r="K2130" s="8" t="inlineStr"/>
      <c r="L2130" s="10">
        <f>IFERROR(IF(F2130&lt;F2129,"NEGATIVE",ROUND(F2130-F2129,2)),"")</f>
        <v/>
      </c>
    </row>
    <row r="2131" ht="22" customHeight="1">
      <c r="B2131" s="5" t="inlineStr">
        <is>
          <t>R02127</t>
        </is>
      </c>
      <c r="C2131" s="5" t="inlineStr">
        <is>
          <t>MTR-WSH-002</t>
        </is>
      </c>
      <c r="D2131" s="5" t="inlineStr">
        <is>
          <t>Washing Hall</t>
        </is>
      </c>
      <c r="E2131" s="5" t="inlineStr">
        <is>
          <t>Washing Machine 3</t>
        </is>
      </c>
      <c r="F2131" s="5" t="inlineStr">
        <is>
          <t>2024-09-30 08:00</t>
        </is>
      </c>
      <c r="G2131" s="11" t="n">
        <v>96180.92999999999</v>
      </c>
      <c r="H2131" s="5" t="inlineStr">
        <is>
          <t>m3</t>
        </is>
      </c>
      <c r="I2131" s="5" t="inlineStr">
        <is>
          <t>cumulative</t>
        </is>
      </c>
      <c r="J2131" s="5" t="inlineStr">
        <is>
          <t>IJ</t>
        </is>
      </c>
      <c r="K2131" s="5" t="inlineStr"/>
      <c r="L2131" s="7">
        <f>IFERROR(IF(F2131&lt;F2130,"NEGATIVE",ROUND(F2131-F2130,2)),"")</f>
        <v/>
      </c>
    </row>
    <row r="2132" ht="22" customHeight="1">
      <c r="B2132" s="8" t="inlineStr">
        <is>
          <t>R02128</t>
        </is>
      </c>
      <c r="C2132" s="8" t="inlineStr">
        <is>
          <t>MTR-WSH-002</t>
        </is>
      </c>
      <c r="D2132" s="8" t="inlineStr">
        <is>
          <t>Washing Hall</t>
        </is>
      </c>
      <c r="E2132" s="8" t="inlineStr">
        <is>
          <t>Washing Machine 3</t>
        </is>
      </c>
      <c r="F2132" s="8" t="inlineStr">
        <is>
          <t>2024-10-01 08:00</t>
        </is>
      </c>
      <c r="G2132" s="12" t="n">
        <v>96217.75999999999</v>
      </c>
      <c r="H2132" s="8" t="inlineStr">
        <is>
          <t>m3</t>
        </is>
      </c>
      <c r="I2132" s="8" t="inlineStr">
        <is>
          <t>cumulative</t>
        </is>
      </c>
      <c r="J2132" s="8" t="inlineStr">
        <is>
          <t>CD</t>
        </is>
      </c>
      <c r="K2132" s="8" t="inlineStr"/>
      <c r="L2132" s="10">
        <f>IFERROR(IF(F2132&lt;F2131,"NEGATIVE",ROUND(F2132-F2131,2)),"")</f>
        <v/>
      </c>
    </row>
    <row r="2133" ht="22" customHeight="1">
      <c r="B2133" s="5" t="inlineStr">
        <is>
          <t>R02129</t>
        </is>
      </c>
      <c r="C2133" s="5" t="inlineStr">
        <is>
          <t>MTR-WSH-002</t>
        </is>
      </c>
      <c r="D2133" s="5" t="inlineStr">
        <is>
          <t>Washing Hall</t>
        </is>
      </c>
      <c r="E2133" s="5" t="inlineStr">
        <is>
          <t>Washing Machine 3</t>
        </is>
      </c>
      <c r="F2133" s="5" t="inlineStr">
        <is>
          <t>2024-10-02 08:00</t>
        </is>
      </c>
      <c r="G2133" s="11" t="n">
        <v>96253.42999999999</v>
      </c>
      <c r="H2133" s="5" t="inlineStr">
        <is>
          <t>m3</t>
        </is>
      </c>
      <c r="I2133" s="5" t="inlineStr">
        <is>
          <t>cumulative</t>
        </is>
      </c>
      <c r="J2133" s="5" t="inlineStr">
        <is>
          <t>EF</t>
        </is>
      </c>
      <c r="K2133" s="5" t="inlineStr"/>
      <c r="L2133" s="7">
        <f>IFERROR(IF(F2133&lt;F2132,"NEGATIVE",ROUND(F2133-F2132,2)),"")</f>
        <v/>
      </c>
    </row>
    <row r="2134" ht="22" customHeight="1">
      <c r="B2134" s="8" t="inlineStr">
        <is>
          <t>R02130</t>
        </is>
      </c>
      <c r="C2134" s="8" t="inlineStr">
        <is>
          <t>MTR-WSH-002</t>
        </is>
      </c>
      <c r="D2134" s="8" t="inlineStr">
        <is>
          <t>Washing Hall</t>
        </is>
      </c>
      <c r="E2134" s="8" t="inlineStr">
        <is>
          <t>Washing Machine 3</t>
        </is>
      </c>
      <c r="F2134" s="8" t="inlineStr">
        <is>
          <t>2024-10-03 08:00</t>
        </is>
      </c>
      <c r="G2134" s="12" t="n">
        <v>96290.02</v>
      </c>
      <c r="H2134" s="8" t="inlineStr">
        <is>
          <t>m3</t>
        </is>
      </c>
      <c r="I2134" s="8" t="inlineStr">
        <is>
          <t>cumulative</t>
        </is>
      </c>
      <c r="J2134" s="8" t="inlineStr">
        <is>
          <t>CD</t>
        </is>
      </c>
      <c r="K2134" s="8" t="inlineStr"/>
      <c r="L2134" s="10">
        <f>IFERROR(IF(F2134&lt;F2133,"NEGATIVE",ROUND(F2134-F2133,2)),"")</f>
        <v/>
      </c>
    </row>
    <row r="2135" ht="22" customHeight="1">
      <c r="B2135" s="5" t="inlineStr">
        <is>
          <t>R02131</t>
        </is>
      </c>
      <c r="C2135" s="5" t="inlineStr">
        <is>
          <t>MTR-WSH-002</t>
        </is>
      </c>
      <c r="D2135" s="5" t="inlineStr">
        <is>
          <t>Washing Hall</t>
        </is>
      </c>
      <c r="E2135" s="5" t="inlineStr">
        <is>
          <t>Washing Machine 3</t>
        </is>
      </c>
      <c r="F2135" s="5" t="inlineStr">
        <is>
          <t>2024-10-04 08:00</t>
        </is>
      </c>
      <c r="G2135" s="11" t="n">
        <v>96318.08</v>
      </c>
      <c r="H2135" s="5" t="inlineStr">
        <is>
          <t>m3</t>
        </is>
      </c>
      <c r="I2135" s="5" t="inlineStr">
        <is>
          <t>cumulative</t>
        </is>
      </c>
      <c r="J2135" s="5" t="inlineStr">
        <is>
          <t>AB</t>
        </is>
      </c>
      <c r="K2135" s="5" t="inlineStr"/>
      <c r="L2135" s="7">
        <f>IFERROR(IF(F2135&lt;F2134,"NEGATIVE",ROUND(F2135-F2134,2)),"")</f>
        <v/>
      </c>
    </row>
    <row r="2136" ht="22" customHeight="1">
      <c r="B2136" s="8" t="inlineStr">
        <is>
          <t>R02132</t>
        </is>
      </c>
      <c r="C2136" s="8" t="inlineStr">
        <is>
          <t>MTR-WSH-002</t>
        </is>
      </c>
      <c r="D2136" s="8" t="inlineStr">
        <is>
          <t>Washing Hall</t>
        </is>
      </c>
      <c r="E2136" s="8" t="inlineStr">
        <is>
          <t>Washing Machine 3</t>
        </is>
      </c>
      <c r="F2136" s="8" t="inlineStr">
        <is>
          <t>2024-10-05 08:00</t>
        </is>
      </c>
      <c r="G2136" s="12" t="n">
        <v>96346.75</v>
      </c>
      <c r="H2136" s="8" t="inlineStr">
        <is>
          <t>m3</t>
        </is>
      </c>
      <c r="I2136" s="8" t="inlineStr">
        <is>
          <t>cumulative</t>
        </is>
      </c>
      <c r="J2136" s="8" t="inlineStr">
        <is>
          <t>GH</t>
        </is>
      </c>
      <c r="K2136" s="8" t="inlineStr"/>
      <c r="L2136" s="10">
        <f>IFERROR(IF(F2136&lt;F2135,"NEGATIVE",ROUND(F2136-F2135,2)),"")</f>
        <v/>
      </c>
    </row>
    <row r="2137" ht="22" customHeight="1">
      <c r="B2137" s="5" t="inlineStr">
        <is>
          <t>R02133</t>
        </is>
      </c>
      <c r="C2137" s="5" t="inlineStr">
        <is>
          <t>MTR-WSH-002</t>
        </is>
      </c>
      <c r="D2137" s="5" t="inlineStr">
        <is>
          <t>Washing Hall</t>
        </is>
      </c>
      <c r="E2137" s="5" t="inlineStr">
        <is>
          <t>Washing Machine 3</t>
        </is>
      </c>
      <c r="F2137" s="5" t="inlineStr">
        <is>
          <t>2024-10-06 08:00</t>
        </is>
      </c>
      <c r="G2137" s="11" t="n">
        <v>96361.57000000001</v>
      </c>
      <c r="H2137" s="5" t="inlineStr">
        <is>
          <t>m3</t>
        </is>
      </c>
      <c r="I2137" s="5" t="inlineStr">
        <is>
          <t>cumulative</t>
        </is>
      </c>
      <c r="J2137" s="5" t="inlineStr">
        <is>
          <t>AB</t>
        </is>
      </c>
      <c r="K2137" s="5" t="inlineStr"/>
      <c r="L2137" s="7">
        <f>IFERROR(IF(F2137&lt;F2136,"NEGATIVE",ROUND(F2137-F2136,2)),"")</f>
        <v/>
      </c>
    </row>
    <row r="2138" ht="22" customHeight="1">
      <c r="B2138" s="8" t="inlineStr">
        <is>
          <t>R02134</t>
        </is>
      </c>
      <c r="C2138" s="8" t="inlineStr">
        <is>
          <t>MTR-WSH-002</t>
        </is>
      </c>
      <c r="D2138" s="8" t="inlineStr">
        <is>
          <t>Washing Hall</t>
        </is>
      </c>
      <c r="E2138" s="8" t="inlineStr">
        <is>
          <t>Washing Machine 3</t>
        </is>
      </c>
      <c r="F2138" s="8" t="inlineStr">
        <is>
          <t>2024-10-07 08:00</t>
        </is>
      </c>
      <c r="G2138" s="12" t="n">
        <v>96389.67999999999</v>
      </c>
      <c r="H2138" s="8" t="inlineStr">
        <is>
          <t>m3</t>
        </is>
      </c>
      <c r="I2138" s="8" t="inlineStr">
        <is>
          <t>cumulative</t>
        </is>
      </c>
      <c r="J2138" s="8" t="inlineStr">
        <is>
          <t>KL</t>
        </is>
      </c>
      <c r="K2138" s="8" t="inlineStr"/>
      <c r="L2138" s="10">
        <f>IFERROR(IF(F2138&lt;F2137,"NEGATIVE",ROUND(F2138-F2137,2)),"")</f>
        <v/>
      </c>
    </row>
    <row r="2139" ht="22" customHeight="1">
      <c r="B2139" s="5" t="inlineStr">
        <is>
          <t>R02135</t>
        </is>
      </c>
      <c r="C2139" s="5" t="inlineStr">
        <is>
          <t>MTR-WSH-002</t>
        </is>
      </c>
      <c r="D2139" s="5" t="inlineStr">
        <is>
          <t>Washing Hall</t>
        </is>
      </c>
      <c r="E2139" s="5" t="inlineStr">
        <is>
          <t>Washing Machine 3</t>
        </is>
      </c>
      <c r="F2139" s="5" t="inlineStr">
        <is>
          <t>2024-10-08 08:00</t>
        </is>
      </c>
      <c r="G2139" s="11" t="n">
        <v>96420.73</v>
      </c>
      <c r="H2139" s="5" t="inlineStr">
        <is>
          <t>m3</t>
        </is>
      </c>
      <c r="I2139" s="5" t="inlineStr">
        <is>
          <t>cumulative</t>
        </is>
      </c>
      <c r="J2139" s="5" t="inlineStr">
        <is>
          <t>AB</t>
        </is>
      </c>
      <c r="K2139" s="5" t="inlineStr"/>
      <c r="L2139" s="7">
        <f>IFERROR(IF(F2139&lt;F2138,"NEGATIVE",ROUND(F2139-F2138,2)),"")</f>
        <v/>
      </c>
    </row>
    <row r="2140" ht="22" customHeight="1">
      <c r="B2140" s="8" t="inlineStr">
        <is>
          <t>R02136</t>
        </is>
      </c>
      <c r="C2140" s="8" t="inlineStr">
        <is>
          <t>MTR-WSH-002</t>
        </is>
      </c>
      <c r="D2140" s="8" t="inlineStr">
        <is>
          <t>Washing Hall</t>
        </is>
      </c>
      <c r="E2140" s="8" t="inlineStr">
        <is>
          <t>Washing Machine 3</t>
        </is>
      </c>
      <c r="F2140" s="8" t="inlineStr">
        <is>
          <t>2024-10-09 08:00</t>
        </is>
      </c>
      <c r="G2140" s="12" t="n">
        <v>96448.88</v>
      </c>
      <c r="H2140" s="8" t="inlineStr">
        <is>
          <t>m3</t>
        </is>
      </c>
      <c r="I2140" s="8" t="inlineStr">
        <is>
          <t>cumulative</t>
        </is>
      </c>
      <c r="J2140" s="8" t="inlineStr">
        <is>
          <t>AB</t>
        </is>
      </c>
      <c r="K2140" s="8" t="inlineStr"/>
      <c r="L2140" s="10">
        <f>IFERROR(IF(F2140&lt;F2139,"NEGATIVE",ROUND(F2140-F2139,2)),"")</f>
        <v/>
      </c>
    </row>
    <row r="2141" ht="22" customHeight="1">
      <c r="B2141" s="5" t="inlineStr">
        <is>
          <t>R02137</t>
        </is>
      </c>
      <c r="C2141" s="5" t="inlineStr">
        <is>
          <t>MTR-WSH-002</t>
        </is>
      </c>
      <c r="D2141" s="5" t="inlineStr">
        <is>
          <t>Washing Hall</t>
        </is>
      </c>
      <c r="E2141" s="5" t="inlineStr">
        <is>
          <t>Washing Machine 3</t>
        </is>
      </c>
      <c r="F2141" s="5" t="inlineStr">
        <is>
          <t>2024-10-10 08:00</t>
        </is>
      </c>
      <c r="G2141" s="11" t="n">
        <v>96485.13</v>
      </c>
      <c r="H2141" s="5" t="inlineStr">
        <is>
          <t>m3</t>
        </is>
      </c>
      <c r="I2141" s="5" t="inlineStr">
        <is>
          <t>cumulative</t>
        </is>
      </c>
      <c r="J2141" s="5" t="inlineStr">
        <is>
          <t>AB</t>
        </is>
      </c>
      <c r="K2141" s="5" t="inlineStr"/>
      <c r="L2141" s="7">
        <f>IFERROR(IF(F2141&lt;F2140,"NEGATIVE",ROUND(F2141-F2140,2)),"")</f>
        <v/>
      </c>
    </row>
    <row r="2142" ht="22" customHeight="1">
      <c r="B2142" s="8" t="inlineStr">
        <is>
          <t>R02138</t>
        </is>
      </c>
      <c r="C2142" s="8" t="inlineStr">
        <is>
          <t>MTR-WSH-002</t>
        </is>
      </c>
      <c r="D2142" s="8" t="inlineStr">
        <is>
          <t>Washing Hall</t>
        </is>
      </c>
      <c r="E2142" s="8" t="inlineStr">
        <is>
          <t>Washing Machine 3</t>
        </is>
      </c>
      <c r="F2142" s="8" t="inlineStr">
        <is>
          <t>2024-10-11 08:00</t>
        </is>
      </c>
      <c r="G2142" s="12" t="n">
        <v>96513.25</v>
      </c>
      <c r="H2142" s="8" t="inlineStr">
        <is>
          <t>m3</t>
        </is>
      </c>
      <c r="I2142" s="8" t="inlineStr">
        <is>
          <t>cumulative</t>
        </is>
      </c>
      <c r="J2142" s="8" t="inlineStr">
        <is>
          <t>EF</t>
        </is>
      </c>
      <c r="K2142" s="8" t="inlineStr"/>
      <c r="L2142" s="10">
        <f>IFERROR(IF(F2142&lt;F2141,"NEGATIVE",ROUND(F2142-F2141,2)),"")</f>
        <v/>
      </c>
    </row>
    <row r="2143" ht="22" customHeight="1">
      <c r="B2143" s="5" t="inlineStr">
        <is>
          <t>R02139</t>
        </is>
      </c>
      <c r="C2143" s="5" t="inlineStr">
        <is>
          <t>MTR-WSH-002</t>
        </is>
      </c>
      <c r="D2143" s="5" t="inlineStr">
        <is>
          <t>Washing Hall</t>
        </is>
      </c>
      <c r="E2143" s="5" t="inlineStr">
        <is>
          <t>Washing Machine 3</t>
        </is>
      </c>
      <c r="F2143" s="5" t="inlineStr">
        <is>
          <t>2024-10-12 08:00</t>
        </is>
      </c>
      <c r="G2143" s="11" t="n">
        <v>96536.64999999999</v>
      </c>
      <c r="H2143" s="5" t="inlineStr">
        <is>
          <t>m3</t>
        </is>
      </c>
      <c r="I2143" s="5" t="inlineStr">
        <is>
          <t>cumulative</t>
        </is>
      </c>
      <c r="J2143" s="5" t="inlineStr">
        <is>
          <t>CD</t>
        </is>
      </c>
      <c r="K2143" s="5" t="inlineStr"/>
      <c r="L2143" s="7">
        <f>IFERROR(IF(F2143&lt;F2142,"NEGATIVE",ROUND(F2143-F2142,2)),"")</f>
        <v/>
      </c>
    </row>
    <row r="2144" ht="22" customHeight="1">
      <c r="B2144" s="8" t="inlineStr">
        <is>
          <t>R02140</t>
        </is>
      </c>
      <c r="C2144" s="8" t="inlineStr">
        <is>
          <t>MTR-WSH-002</t>
        </is>
      </c>
      <c r="D2144" s="8" t="inlineStr">
        <is>
          <t>Washing Hall</t>
        </is>
      </c>
      <c r="E2144" s="8" t="inlineStr">
        <is>
          <t>Washing Machine 3</t>
        </is>
      </c>
      <c r="F2144" s="8" t="inlineStr">
        <is>
          <t>2024-10-13 08:00</t>
        </is>
      </c>
      <c r="G2144" s="12" t="n">
        <v>96555.36</v>
      </c>
      <c r="H2144" s="8" t="inlineStr">
        <is>
          <t>m3</t>
        </is>
      </c>
      <c r="I2144" s="8" t="inlineStr">
        <is>
          <t>cumulative</t>
        </is>
      </c>
      <c r="J2144" s="8" t="inlineStr">
        <is>
          <t>GH</t>
        </is>
      </c>
      <c r="K2144" s="8" t="inlineStr"/>
      <c r="L2144" s="10">
        <f>IFERROR(IF(F2144&lt;F2143,"NEGATIVE",ROUND(F2144-F2143,2)),"")</f>
        <v/>
      </c>
    </row>
    <row r="2145" ht="22" customHeight="1">
      <c r="B2145" s="5" t="inlineStr">
        <is>
          <t>R02141</t>
        </is>
      </c>
      <c r="C2145" s="5" t="inlineStr">
        <is>
          <t>MTR-WSH-002</t>
        </is>
      </c>
      <c r="D2145" s="5" t="inlineStr">
        <is>
          <t>Washing Hall</t>
        </is>
      </c>
      <c r="E2145" s="5" t="inlineStr">
        <is>
          <t>Washing Machine 3</t>
        </is>
      </c>
      <c r="F2145" s="5" t="inlineStr">
        <is>
          <t>2024-10-14 08:00</t>
        </is>
      </c>
      <c r="G2145" s="11" t="n">
        <v>96590.12</v>
      </c>
      <c r="H2145" s="5" t="inlineStr">
        <is>
          <t>m3</t>
        </is>
      </c>
      <c r="I2145" s="5" t="inlineStr">
        <is>
          <t>cumulative</t>
        </is>
      </c>
      <c r="J2145" s="5" t="inlineStr">
        <is>
          <t>EF</t>
        </is>
      </c>
      <c r="K2145" s="5" t="inlineStr"/>
      <c r="L2145" s="7">
        <f>IFERROR(IF(F2145&lt;F2144,"NEGATIVE",ROUND(F2145-F2144,2)),"")</f>
        <v/>
      </c>
    </row>
    <row r="2146" ht="22" customHeight="1">
      <c r="B2146" s="8" t="inlineStr">
        <is>
          <t>R02142</t>
        </is>
      </c>
      <c r="C2146" s="8" t="inlineStr">
        <is>
          <t>MTR-WSH-002</t>
        </is>
      </c>
      <c r="D2146" s="8" t="inlineStr">
        <is>
          <t>Washing Hall</t>
        </is>
      </c>
      <c r="E2146" s="8" t="inlineStr">
        <is>
          <t>Washing Machine 3</t>
        </is>
      </c>
      <c r="F2146" s="8" t="inlineStr">
        <is>
          <t>2024-10-15 08:00</t>
        </is>
      </c>
      <c r="G2146" s="12" t="n">
        <v>96617.64</v>
      </c>
      <c r="H2146" s="8" t="inlineStr">
        <is>
          <t>m3</t>
        </is>
      </c>
      <c r="I2146" s="8" t="inlineStr">
        <is>
          <t>cumulative</t>
        </is>
      </c>
      <c r="J2146" s="8" t="inlineStr">
        <is>
          <t>EF</t>
        </is>
      </c>
      <c r="K2146" s="8" t="inlineStr"/>
      <c r="L2146" s="10">
        <f>IFERROR(IF(F2146&lt;F2145,"NEGATIVE",ROUND(F2146-F2145,2)),"")</f>
        <v/>
      </c>
    </row>
    <row r="2147" ht="22" customHeight="1">
      <c r="B2147" s="5" t="inlineStr">
        <is>
          <t>R02143</t>
        </is>
      </c>
      <c r="C2147" s="5" t="inlineStr">
        <is>
          <t>MTR-WSH-002</t>
        </is>
      </c>
      <c r="D2147" s="5" t="inlineStr">
        <is>
          <t>Washing Hall</t>
        </is>
      </c>
      <c r="E2147" s="5" t="inlineStr">
        <is>
          <t>Washing Machine 3</t>
        </is>
      </c>
      <c r="F2147" s="5" t="inlineStr">
        <is>
          <t>2024-10-16 08:00</t>
        </is>
      </c>
      <c r="G2147" s="11" t="n">
        <v>96652.73</v>
      </c>
      <c r="H2147" s="5" t="inlineStr">
        <is>
          <t>m3</t>
        </is>
      </c>
      <c r="I2147" s="5" t="inlineStr">
        <is>
          <t>cumulative</t>
        </is>
      </c>
      <c r="J2147" s="5" t="inlineStr">
        <is>
          <t>KL</t>
        </is>
      </c>
      <c r="K2147" s="5" t="inlineStr"/>
      <c r="L2147" s="7">
        <f>IFERROR(IF(F2147&lt;F2146,"NEGATIVE",ROUND(F2147-F2146,2)),"")</f>
        <v/>
      </c>
    </row>
    <row r="2148" ht="22" customHeight="1">
      <c r="B2148" s="8" t="inlineStr">
        <is>
          <t>R02144</t>
        </is>
      </c>
      <c r="C2148" s="8" t="inlineStr">
        <is>
          <t>MTR-WSH-002</t>
        </is>
      </c>
      <c r="D2148" s="8" t="inlineStr">
        <is>
          <t>Washing Hall</t>
        </is>
      </c>
      <c r="E2148" s="8" t="inlineStr">
        <is>
          <t>Washing Machine 3</t>
        </is>
      </c>
      <c r="F2148" s="8" t="inlineStr">
        <is>
          <t>2024-10-17 08:00</t>
        </is>
      </c>
      <c r="G2148" s="12" t="n">
        <v>96686.67999999999</v>
      </c>
      <c r="H2148" s="8" t="inlineStr">
        <is>
          <t>m3</t>
        </is>
      </c>
      <c r="I2148" s="8" t="inlineStr">
        <is>
          <t>cumulative</t>
        </is>
      </c>
      <c r="J2148" s="8" t="inlineStr">
        <is>
          <t>IJ</t>
        </is>
      </c>
      <c r="K2148" s="8" t="inlineStr"/>
      <c r="L2148" s="10">
        <f>IFERROR(IF(F2148&lt;F2147,"NEGATIVE",ROUND(F2148-F2147,2)),"")</f>
        <v/>
      </c>
    </row>
    <row r="2149" ht="22" customHeight="1">
      <c r="B2149" s="5" t="inlineStr">
        <is>
          <t>R02145</t>
        </is>
      </c>
      <c r="C2149" s="5" t="inlineStr">
        <is>
          <t>MTR-WSH-002</t>
        </is>
      </c>
      <c r="D2149" s="5" t="inlineStr">
        <is>
          <t>Washing Hall</t>
        </is>
      </c>
      <c r="E2149" s="5" t="inlineStr">
        <is>
          <t>Washing Machine 3</t>
        </is>
      </c>
      <c r="F2149" s="5" t="inlineStr">
        <is>
          <t>2024-10-18 08:00</t>
        </is>
      </c>
      <c r="G2149" s="11" t="n">
        <v>96718.63</v>
      </c>
      <c r="H2149" s="5" t="inlineStr">
        <is>
          <t>m3</t>
        </is>
      </c>
      <c r="I2149" s="5" t="inlineStr">
        <is>
          <t>cumulative</t>
        </is>
      </c>
      <c r="J2149" s="5" t="inlineStr">
        <is>
          <t>AB</t>
        </is>
      </c>
      <c r="K2149" s="5" t="inlineStr"/>
      <c r="L2149" s="7">
        <f>IFERROR(IF(F2149&lt;F2148,"NEGATIVE",ROUND(F2149-F2148,2)),"")</f>
        <v/>
      </c>
    </row>
    <row r="2150" ht="22" customHeight="1">
      <c r="B2150" s="8" t="inlineStr">
        <is>
          <t>R02146</t>
        </is>
      </c>
      <c r="C2150" s="8" t="inlineStr">
        <is>
          <t>MTR-WSH-002</t>
        </is>
      </c>
      <c r="D2150" s="8" t="inlineStr">
        <is>
          <t>Washing Hall</t>
        </is>
      </c>
      <c r="E2150" s="8" t="inlineStr">
        <is>
          <t>Washing Machine 3</t>
        </is>
      </c>
      <c r="F2150" s="8" t="inlineStr">
        <is>
          <t>2024-10-19 08:00</t>
        </is>
      </c>
      <c r="G2150" s="12" t="n">
        <v>96746.25999999999</v>
      </c>
      <c r="H2150" s="8" t="inlineStr">
        <is>
          <t>m3</t>
        </is>
      </c>
      <c r="I2150" s="8" t="inlineStr">
        <is>
          <t>cumulative</t>
        </is>
      </c>
      <c r="J2150" s="8" t="inlineStr">
        <is>
          <t>EF</t>
        </is>
      </c>
      <c r="K2150" s="8" t="inlineStr"/>
      <c r="L2150" s="10">
        <f>IFERROR(IF(F2150&lt;F2149,"NEGATIVE",ROUND(F2150-F2149,2)),"")</f>
        <v/>
      </c>
    </row>
    <row r="2151" ht="22" customHeight="1">
      <c r="B2151" s="5" t="inlineStr">
        <is>
          <t>R02147</t>
        </is>
      </c>
      <c r="C2151" s="5" t="inlineStr">
        <is>
          <t>MTR-WSH-002</t>
        </is>
      </c>
      <c r="D2151" s="5" t="inlineStr">
        <is>
          <t>Washing Hall</t>
        </is>
      </c>
      <c r="E2151" s="5" t="inlineStr">
        <is>
          <t>Washing Machine 3</t>
        </is>
      </c>
      <c r="F2151" s="5" t="inlineStr">
        <is>
          <t>2024-10-20 08:00</t>
        </is>
      </c>
      <c r="G2151" s="11" t="n">
        <v>96762.52</v>
      </c>
      <c r="H2151" s="5" t="inlineStr">
        <is>
          <t>m3</t>
        </is>
      </c>
      <c r="I2151" s="5" t="inlineStr">
        <is>
          <t>cumulative</t>
        </is>
      </c>
      <c r="J2151" s="5" t="inlineStr">
        <is>
          <t>AB</t>
        </is>
      </c>
      <c r="K2151" s="5" t="inlineStr"/>
      <c r="L2151" s="7">
        <f>IFERROR(IF(F2151&lt;F2150,"NEGATIVE",ROUND(F2151-F2150,2)),"")</f>
        <v/>
      </c>
    </row>
    <row r="2152" ht="22" customHeight="1">
      <c r="B2152" s="8" t="inlineStr">
        <is>
          <t>R02148</t>
        </is>
      </c>
      <c r="C2152" s="8" t="inlineStr">
        <is>
          <t>MTR-WSH-002</t>
        </is>
      </c>
      <c r="D2152" s="8" t="inlineStr">
        <is>
          <t>Washing Hall</t>
        </is>
      </c>
      <c r="E2152" s="8" t="inlineStr">
        <is>
          <t>Washing Machine 3</t>
        </is>
      </c>
      <c r="F2152" s="8" t="inlineStr">
        <is>
          <t>2024-10-21 08:00</t>
        </is>
      </c>
      <c r="G2152" s="12" t="n">
        <v>96796.56</v>
      </c>
      <c r="H2152" s="8" t="inlineStr">
        <is>
          <t>m3</t>
        </is>
      </c>
      <c r="I2152" s="8" t="inlineStr">
        <is>
          <t>cumulative</t>
        </is>
      </c>
      <c r="J2152" s="8" t="inlineStr">
        <is>
          <t>IJ</t>
        </is>
      </c>
      <c r="K2152" s="8" t="inlineStr"/>
      <c r="L2152" s="10">
        <f>IFERROR(IF(F2152&lt;F2151,"NEGATIVE",ROUND(F2152-F2151,2)),"")</f>
        <v/>
      </c>
    </row>
    <row r="2153" ht="22" customHeight="1">
      <c r="B2153" s="5" t="inlineStr">
        <is>
          <t>R02149</t>
        </is>
      </c>
      <c r="C2153" s="5" t="inlineStr">
        <is>
          <t>MTR-WSH-002</t>
        </is>
      </c>
      <c r="D2153" s="5" t="inlineStr">
        <is>
          <t>Washing Hall</t>
        </is>
      </c>
      <c r="E2153" s="5" t="inlineStr">
        <is>
          <t>Washing Machine 3</t>
        </is>
      </c>
      <c r="F2153" s="5" t="inlineStr">
        <is>
          <t>2024-10-22 08:00</t>
        </is>
      </c>
      <c r="G2153" s="11" t="n">
        <v>96825.50999999999</v>
      </c>
      <c r="H2153" s="5" t="inlineStr">
        <is>
          <t>m3</t>
        </is>
      </c>
      <c r="I2153" s="5" t="inlineStr">
        <is>
          <t>cumulative</t>
        </is>
      </c>
      <c r="J2153" s="5" t="inlineStr">
        <is>
          <t>AB</t>
        </is>
      </c>
      <c r="K2153" s="5" t="inlineStr"/>
      <c r="L2153" s="7">
        <f>IFERROR(IF(F2153&lt;F2152,"NEGATIVE",ROUND(F2153-F2152,2)),"")</f>
        <v/>
      </c>
    </row>
    <row r="2154" ht="22" customHeight="1">
      <c r="B2154" s="8" t="inlineStr">
        <is>
          <t>R02150</t>
        </is>
      </c>
      <c r="C2154" s="8" t="inlineStr">
        <is>
          <t>MTR-WSH-002</t>
        </is>
      </c>
      <c r="D2154" s="8" t="inlineStr">
        <is>
          <t>Washing Hall</t>
        </is>
      </c>
      <c r="E2154" s="8" t="inlineStr">
        <is>
          <t>Washing Machine 3</t>
        </is>
      </c>
      <c r="F2154" s="8" t="inlineStr">
        <is>
          <t>2024-10-23 08:00</t>
        </is>
      </c>
      <c r="G2154" s="12" t="n">
        <v>96853.75</v>
      </c>
      <c r="H2154" s="8" t="inlineStr">
        <is>
          <t>m3</t>
        </is>
      </c>
      <c r="I2154" s="8" t="inlineStr">
        <is>
          <t>cumulative</t>
        </is>
      </c>
      <c r="J2154" s="8" t="inlineStr">
        <is>
          <t>GH</t>
        </is>
      </c>
      <c r="K2154" s="8" t="inlineStr"/>
      <c r="L2154" s="10">
        <f>IFERROR(IF(F2154&lt;F2153,"NEGATIVE",ROUND(F2154-F2153,2)),"")</f>
        <v/>
      </c>
    </row>
    <row r="2155" ht="22" customHeight="1">
      <c r="B2155" s="5" t="inlineStr">
        <is>
          <t>R02151</t>
        </is>
      </c>
      <c r="C2155" s="5" t="inlineStr">
        <is>
          <t>MTR-WSH-002</t>
        </is>
      </c>
      <c r="D2155" s="5" t="inlineStr">
        <is>
          <t>Washing Hall</t>
        </is>
      </c>
      <c r="E2155" s="5" t="inlineStr">
        <is>
          <t>Washing Machine 3</t>
        </is>
      </c>
      <c r="F2155" s="5" t="inlineStr">
        <is>
          <t>2024-10-24 08:00</t>
        </is>
      </c>
      <c r="G2155" s="11" t="n">
        <v>96887.13</v>
      </c>
      <c r="H2155" s="5" t="inlineStr">
        <is>
          <t>m3</t>
        </is>
      </c>
      <c r="I2155" s="5" t="inlineStr">
        <is>
          <t>cumulative</t>
        </is>
      </c>
      <c r="J2155" s="5" t="inlineStr">
        <is>
          <t>EF</t>
        </is>
      </c>
      <c r="K2155" s="5" t="inlineStr"/>
      <c r="L2155" s="7">
        <f>IFERROR(IF(F2155&lt;F2154,"NEGATIVE",ROUND(F2155-F2154,2)),"")</f>
        <v/>
      </c>
    </row>
    <row r="2156" ht="22" customHeight="1">
      <c r="B2156" s="8" t="inlineStr">
        <is>
          <t>R02152</t>
        </is>
      </c>
      <c r="C2156" s="8" t="inlineStr">
        <is>
          <t>MTR-WSH-002</t>
        </is>
      </c>
      <c r="D2156" s="8" t="inlineStr">
        <is>
          <t>Washing Hall</t>
        </is>
      </c>
      <c r="E2156" s="8" t="inlineStr">
        <is>
          <t>Washing Machine 3</t>
        </is>
      </c>
      <c r="F2156" s="8" t="inlineStr">
        <is>
          <t>2024-10-25 08:00</t>
        </is>
      </c>
      <c r="G2156" s="12" t="n">
        <v>96918.58</v>
      </c>
      <c r="H2156" s="8" t="inlineStr">
        <is>
          <t>m3</t>
        </is>
      </c>
      <c r="I2156" s="8" t="inlineStr">
        <is>
          <t>cumulative</t>
        </is>
      </c>
      <c r="J2156" s="8" t="inlineStr">
        <is>
          <t>GH</t>
        </is>
      </c>
      <c r="K2156" s="8" t="inlineStr"/>
      <c r="L2156" s="10">
        <f>IFERROR(IF(F2156&lt;F2155,"NEGATIVE",ROUND(F2156-F2155,2)),"")</f>
        <v/>
      </c>
    </row>
    <row r="2157" ht="22" customHeight="1">
      <c r="B2157" s="5" t="inlineStr">
        <is>
          <t>R02153</t>
        </is>
      </c>
      <c r="C2157" s="5" t="inlineStr">
        <is>
          <t>MTR-WSH-002</t>
        </is>
      </c>
      <c r="D2157" s="5" t="inlineStr">
        <is>
          <t>Washing Hall</t>
        </is>
      </c>
      <c r="E2157" s="5" t="inlineStr">
        <is>
          <t>Washing Machine 3</t>
        </is>
      </c>
      <c r="F2157" s="5" t="inlineStr">
        <is>
          <t>2024-10-26 08:00</t>
        </is>
      </c>
      <c r="G2157" s="11" t="n">
        <v>96945.7</v>
      </c>
      <c r="H2157" s="5" t="inlineStr">
        <is>
          <t>m3</t>
        </is>
      </c>
      <c r="I2157" s="5" t="inlineStr">
        <is>
          <t>cumulative</t>
        </is>
      </c>
      <c r="J2157" s="5" t="inlineStr">
        <is>
          <t>KL</t>
        </is>
      </c>
      <c r="K2157" s="5" t="inlineStr"/>
      <c r="L2157" s="7">
        <f>IFERROR(IF(F2157&lt;F2156,"NEGATIVE",ROUND(F2157-F2156,2)),"")</f>
        <v/>
      </c>
    </row>
    <row r="2158" ht="22" customHeight="1">
      <c r="B2158" s="8" t="inlineStr">
        <is>
          <t>R02154</t>
        </is>
      </c>
      <c r="C2158" s="8" t="inlineStr">
        <is>
          <t>MTR-WSH-002</t>
        </is>
      </c>
      <c r="D2158" s="8" t="inlineStr">
        <is>
          <t>Washing Hall</t>
        </is>
      </c>
      <c r="E2158" s="8" t="inlineStr">
        <is>
          <t>Washing Machine 3</t>
        </is>
      </c>
      <c r="F2158" s="8" t="inlineStr">
        <is>
          <t>2024-10-27 08:00</t>
        </is>
      </c>
      <c r="G2158" s="12" t="n">
        <v>96964.44</v>
      </c>
      <c r="H2158" s="8" t="inlineStr">
        <is>
          <t>m3</t>
        </is>
      </c>
      <c r="I2158" s="8" t="inlineStr">
        <is>
          <t>cumulative</t>
        </is>
      </c>
      <c r="J2158" s="8" t="inlineStr">
        <is>
          <t>CD</t>
        </is>
      </c>
      <c r="K2158" s="8" t="inlineStr"/>
      <c r="L2158" s="10">
        <f>IFERROR(IF(F2158&lt;F2157,"NEGATIVE",ROUND(F2158-F2157,2)),"")</f>
        <v/>
      </c>
    </row>
    <row r="2159" ht="22" customHeight="1">
      <c r="B2159" s="5" t="inlineStr">
        <is>
          <t>R02155</t>
        </is>
      </c>
      <c r="C2159" s="5" t="inlineStr">
        <is>
          <t>MTR-WSH-002</t>
        </is>
      </c>
      <c r="D2159" s="5" t="inlineStr">
        <is>
          <t>Washing Hall</t>
        </is>
      </c>
      <c r="E2159" s="5" t="inlineStr">
        <is>
          <t>Washing Machine 3</t>
        </is>
      </c>
      <c r="F2159" s="5" t="inlineStr">
        <is>
          <t>2024-10-28 08:00</t>
        </is>
      </c>
      <c r="G2159" s="11" t="n">
        <v>96993.27</v>
      </c>
      <c r="H2159" s="5" t="inlineStr">
        <is>
          <t>m3</t>
        </is>
      </c>
      <c r="I2159" s="5" t="inlineStr">
        <is>
          <t>cumulative</t>
        </is>
      </c>
      <c r="J2159" s="5" t="inlineStr">
        <is>
          <t>GH</t>
        </is>
      </c>
      <c r="K2159" s="5" t="inlineStr"/>
      <c r="L2159" s="7">
        <f>IFERROR(IF(F2159&lt;F2158,"NEGATIVE",ROUND(F2159-F2158,2)),"")</f>
        <v/>
      </c>
    </row>
    <row r="2160" ht="22" customHeight="1">
      <c r="B2160" s="8" t="inlineStr">
        <is>
          <t>R02156</t>
        </is>
      </c>
      <c r="C2160" s="8" t="inlineStr">
        <is>
          <t>MTR-WSH-002</t>
        </is>
      </c>
      <c r="D2160" s="8" t="inlineStr">
        <is>
          <t>Washing Hall</t>
        </is>
      </c>
      <c r="E2160" s="8" t="inlineStr">
        <is>
          <t>Washing Machine 3</t>
        </is>
      </c>
      <c r="F2160" s="8" t="inlineStr">
        <is>
          <t>2024-10-29 08:00</t>
        </is>
      </c>
      <c r="G2160" s="12" t="n">
        <v>97023.22</v>
      </c>
      <c r="H2160" s="8" t="inlineStr">
        <is>
          <t>m3</t>
        </is>
      </c>
      <c r="I2160" s="8" t="inlineStr">
        <is>
          <t>cumulative</t>
        </is>
      </c>
      <c r="J2160" s="8" t="inlineStr">
        <is>
          <t>CD</t>
        </is>
      </c>
      <c r="K2160" s="8" t="inlineStr"/>
      <c r="L2160" s="10">
        <f>IFERROR(IF(F2160&lt;F2159,"NEGATIVE",ROUND(F2160-F2159,2)),"")</f>
        <v/>
      </c>
    </row>
    <row r="2161" ht="22" customHeight="1">
      <c r="B2161" s="5" t="inlineStr">
        <is>
          <t>R02157</t>
        </is>
      </c>
      <c r="C2161" s="5" t="inlineStr">
        <is>
          <t>MTR-WSH-002</t>
        </is>
      </c>
      <c r="D2161" s="5" t="inlineStr">
        <is>
          <t>Washing Hall</t>
        </is>
      </c>
      <c r="E2161" s="5" t="inlineStr">
        <is>
          <t>Washing Machine 3</t>
        </is>
      </c>
      <c r="F2161" s="5" t="inlineStr">
        <is>
          <t>2024-10-30 08:00</t>
        </is>
      </c>
      <c r="G2161" s="11" t="n">
        <v>97056.47</v>
      </c>
      <c r="H2161" s="5" t="inlineStr">
        <is>
          <t>m3</t>
        </is>
      </c>
      <c r="I2161" s="5" t="inlineStr">
        <is>
          <t>cumulative</t>
        </is>
      </c>
      <c r="J2161" s="5" t="inlineStr">
        <is>
          <t>GH</t>
        </is>
      </c>
      <c r="K2161" s="5" t="inlineStr"/>
      <c r="L2161" s="7">
        <f>IFERROR(IF(F2161&lt;F2160,"NEGATIVE",ROUND(F2161-F2160,2)),"")</f>
        <v/>
      </c>
    </row>
    <row r="2162" ht="22" customHeight="1">
      <c r="B2162" s="8" t="inlineStr">
        <is>
          <t>R02158</t>
        </is>
      </c>
      <c r="C2162" s="8" t="inlineStr">
        <is>
          <t>MTR-WSH-002</t>
        </is>
      </c>
      <c r="D2162" s="8" t="inlineStr">
        <is>
          <t>Washing Hall</t>
        </is>
      </c>
      <c r="E2162" s="8" t="inlineStr">
        <is>
          <t>Washing Machine 3</t>
        </is>
      </c>
      <c r="F2162" s="8" t="inlineStr">
        <is>
          <t>2024-10-31 08:00</t>
        </is>
      </c>
      <c r="G2162" s="12" t="n">
        <v>97088.24000000001</v>
      </c>
      <c r="H2162" s="8" t="inlineStr">
        <is>
          <t>m3</t>
        </is>
      </c>
      <c r="I2162" s="8" t="inlineStr">
        <is>
          <t>cumulative</t>
        </is>
      </c>
      <c r="J2162" s="8" t="inlineStr">
        <is>
          <t>KL</t>
        </is>
      </c>
      <c r="K2162" s="8" t="inlineStr"/>
      <c r="L2162" s="10">
        <f>IFERROR(IF(F2162&lt;F2161,"NEGATIVE",ROUND(F2162-F2161,2)),"")</f>
        <v/>
      </c>
    </row>
    <row r="2163" ht="22" customHeight="1">
      <c r="B2163" s="5" t="inlineStr">
        <is>
          <t>R02159</t>
        </is>
      </c>
      <c r="C2163" s="5" t="inlineStr">
        <is>
          <t>MTR-WSH-002</t>
        </is>
      </c>
      <c r="D2163" s="5" t="inlineStr">
        <is>
          <t>Washing Hall</t>
        </is>
      </c>
      <c r="E2163" s="5" t="inlineStr">
        <is>
          <t>Washing Machine 3</t>
        </is>
      </c>
      <c r="F2163" s="5" t="inlineStr">
        <is>
          <t>2024-11-01 08:00</t>
        </is>
      </c>
      <c r="G2163" s="11" t="n">
        <v>97119.08</v>
      </c>
      <c r="H2163" s="5" t="inlineStr">
        <is>
          <t>m3</t>
        </is>
      </c>
      <c r="I2163" s="5" t="inlineStr">
        <is>
          <t>cumulative</t>
        </is>
      </c>
      <c r="J2163" s="5" t="inlineStr">
        <is>
          <t>CD</t>
        </is>
      </c>
      <c r="K2163" s="5" t="inlineStr"/>
      <c r="L2163" s="7">
        <f>IFERROR(IF(F2163&lt;F2162,"NEGATIVE",ROUND(F2163-F2162,2)),"")</f>
        <v/>
      </c>
    </row>
    <row r="2164" ht="22" customHeight="1">
      <c r="B2164" s="8" t="inlineStr">
        <is>
          <t>R02160</t>
        </is>
      </c>
      <c r="C2164" s="8" t="inlineStr">
        <is>
          <t>MTR-WSH-002</t>
        </is>
      </c>
      <c r="D2164" s="8" t="inlineStr">
        <is>
          <t>Washing Hall</t>
        </is>
      </c>
      <c r="E2164" s="8" t="inlineStr">
        <is>
          <t>Washing Machine 3</t>
        </is>
      </c>
      <c r="F2164" s="8" t="inlineStr">
        <is>
          <t>2024-11-02 08:00</t>
        </is>
      </c>
      <c r="G2164" s="12" t="n">
        <v>97142.25</v>
      </c>
      <c r="H2164" s="8" t="inlineStr">
        <is>
          <t>m3</t>
        </is>
      </c>
      <c r="I2164" s="8" t="inlineStr">
        <is>
          <t>cumulative</t>
        </is>
      </c>
      <c r="J2164" s="8" t="inlineStr">
        <is>
          <t>AB</t>
        </is>
      </c>
      <c r="K2164" s="8" t="inlineStr"/>
      <c r="L2164" s="10">
        <f>IFERROR(IF(F2164&lt;F2163,"NEGATIVE",ROUND(F2164-F2163,2)),"")</f>
        <v/>
      </c>
    </row>
    <row r="2165" ht="22" customHeight="1">
      <c r="B2165" s="5" t="inlineStr">
        <is>
          <t>R02161</t>
        </is>
      </c>
      <c r="C2165" s="5" t="inlineStr">
        <is>
          <t>MTR-WSH-002</t>
        </is>
      </c>
      <c r="D2165" s="5" t="inlineStr">
        <is>
          <t>Washing Hall</t>
        </is>
      </c>
      <c r="E2165" s="5" t="inlineStr">
        <is>
          <t>Washing Machine 3</t>
        </is>
      </c>
      <c r="F2165" s="5" t="inlineStr">
        <is>
          <t>2024-11-03 08:00</t>
        </is>
      </c>
      <c r="G2165" s="11" t="n">
        <v>97158.06</v>
      </c>
      <c r="H2165" s="5" t="inlineStr">
        <is>
          <t>m3</t>
        </is>
      </c>
      <c r="I2165" s="5" t="inlineStr">
        <is>
          <t>cumulative</t>
        </is>
      </c>
      <c r="J2165" s="5" t="inlineStr">
        <is>
          <t>KL</t>
        </is>
      </c>
      <c r="K2165" s="5" t="inlineStr"/>
      <c r="L2165" s="7">
        <f>IFERROR(IF(F2165&lt;F2164,"NEGATIVE",ROUND(F2165-F2164,2)),"")</f>
        <v/>
      </c>
    </row>
    <row r="2166" ht="22" customHeight="1">
      <c r="B2166" s="8" t="inlineStr">
        <is>
          <t>R02162</t>
        </is>
      </c>
      <c r="C2166" s="8" t="inlineStr">
        <is>
          <t>MTR-WSH-002</t>
        </is>
      </c>
      <c r="D2166" s="8" t="inlineStr">
        <is>
          <t>Washing Hall</t>
        </is>
      </c>
      <c r="E2166" s="8" t="inlineStr">
        <is>
          <t>Washing Machine 3</t>
        </is>
      </c>
      <c r="F2166" s="8" t="inlineStr">
        <is>
          <t>2024-11-04 08:00</t>
        </is>
      </c>
      <c r="G2166" s="12" t="n">
        <v>97193.64</v>
      </c>
      <c r="H2166" s="8" t="inlineStr">
        <is>
          <t>m3</t>
        </is>
      </c>
      <c r="I2166" s="8" t="inlineStr">
        <is>
          <t>cumulative</t>
        </is>
      </c>
      <c r="J2166" s="8" t="inlineStr">
        <is>
          <t>CD</t>
        </is>
      </c>
      <c r="K2166" s="8" t="inlineStr"/>
      <c r="L2166" s="10">
        <f>IFERROR(IF(F2166&lt;F2165,"NEGATIVE",ROUND(F2166-F2165,2)),"")</f>
        <v/>
      </c>
    </row>
    <row r="2167" ht="22" customHeight="1">
      <c r="B2167" s="5" t="inlineStr">
        <is>
          <t>R02163</t>
        </is>
      </c>
      <c r="C2167" s="5" t="inlineStr">
        <is>
          <t>MTR-WSH-002</t>
        </is>
      </c>
      <c r="D2167" s="5" t="inlineStr">
        <is>
          <t>Washing Hall</t>
        </is>
      </c>
      <c r="E2167" s="5" t="inlineStr">
        <is>
          <t>Washing Machine 3</t>
        </is>
      </c>
      <c r="F2167" s="5" t="inlineStr">
        <is>
          <t>2024-11-05 08:00</t>
        </is>
      </c>
      <c r="G2167" s="11" t="n">
        <v>97228.67999999999</v>
      </c>
      <c r="H2167" s="5" t="inlineStr">
        <is>
          <t>m3</t>
        </is>
      </c>
      <c r="I2167" s="5" t="inlineStr">
        <is>
          <t>cumulative</t>
        </is>
      </c>
      <c r="J2167" s="5" t="inlineStr">
        <is>
          <t>AB</t>
        </is>
      </c>
      <c r="K2167" s="5" t="inlineStr"/>
      <c r="L2167" s="7">
        <f>IFERROR(IF(F2167&lt;F2166,"NEGATIVE",ROUND(F2167-F2166,2)),"")</f>
        <v/>
      </c>
    </row>
    <row r="2168" ht="22" customHeight="1">
      <c r="B2168" s="8" t="inlineStr">
        <is>
          <t>R02164</t>
        </is>
      </c>
      <c r="C2168" s="8" t="inlineStr">
        <is>
          <t>MTR-WSH-002</t>
        </is>
      </c>
      <c r="D2168" s="8" t="inlineStr">
        <is>
          <t>Washing Hall</t>
        </is>
      </c>
      <c r="E2168" s="8" t="inlineStr">
        <is>
          <t>Washing Machine 3</t>
        </is>
      </c>
      <c r="F2168" s="8" t="inlineStr">
        <is>
          <t>2024-11-06 08:00</t>
        </is>
      </c>
      <c r="G2168" s="12" t="n">
        <v>97260.66</v>
      </c>
      <c r="H2168" s="8" t="inlineStr">
        <is>
          <t>m3</t>
        </is>
      </c>
      <c r="I2168" s="8" t="inlineStr">
        <is>
          <t>cumulative</t>
        </is>
      </c>
      <c r="J2168" s="8" t="inlineStr">
        <is>
          <t>GH</t>
        </is>
      </c>
      <c r="K2168" s="8" t="inlineStr"/>
      <c r="L2168" s="10">
        <f>IFERROR(IF(F2168&lt;F2167,"NEGATIVE",ROUND(F2168-F2167,2)),"")</f>
        <v/>
      </c>
    </row>
    <row r="2169" ht="22" customHeight="1">
      <c r="B2169" s="5" t="inlineStr">
        <is>
          <t>R02165</t>
        </is>
      </c>
      <c r="C2169" s="5" t="inlineStr">
        <is>
          <t>MTR-WSH-002</t>
        </is>
      </c>
      <c r="D2169" s="5" t="inlineStr">
        <is>
          <t>Washing Hall</t>
        </is>
      </c>
      <c r="E2169" s="5" t="inlineStr">
        <is>
          <t>Washing Machine 3</t>
        </is>
      </c>
      <c r="F2169" s="5" t="inlineStr">
        <is>
          <t>2024-11-07 08:00</t>
        </is>
      </c>
      <c r="G2169" s="11" t="n">
        <v>97295.25999999999</v>
      </c>
      <c r="H2169" s="5" t="inlineStr">
        <is>
          <t>m3</t>
        </is>
      </c>
      <c r="I2169" s="5" t="inlineStr">
        <is>
          <t>cumulative</t>
        </is>
      </c>
      <c r="J2169" s="5" t="inlineStr">
        <is>
          <t>EF</t>
        </is>
      </c>
      <c r="K2169" s="5" t="inlineStr"/>
      <c r="L2169" s="7">
        <f>IFERROR(IF(F2169&lt;F2168,"NEGATIVE",ROUND(F2169-F2168,2)),"")</f>
        <v/>
      </c>
    </row>
    <row r="2170" ht="22" customHeight="1">
      <c r="B2170" s="8" t="inlineStr">
        <is>
          <t>R02166</t>
        </is>
      </c>
      <c r="C2170" s="8" t="inlineStr">
        <is>
          <t>MTR-WSH-002</t>
        </is>
      </c>
      <c r="D2170" s="8" t="inlineStr">
        <is>
          <t>Washing Hall</t>
        </is>
      </c>
      <c r="E2170" s="8" t="inlineStr">
        <is>
          <t>Washing Machine 3</t>
        </is>
      </c>
      <c r="F2170" s="8" t="inlineStr">
        <is>
          <t>2024-11-08 08:00</t>
        </is>
      </c>
      <c r="G2170" s="12" t="n">
        <v>97327.44</v>
      </c>
      <c r="H2170" s="8" t="inlineStr">
        <is>
          <t>m3</t>
        </is>
      </c>
      <c r="I2170" s="8" t="inlineStr">
        <is>
          <t>cumulative</t>
        </is>
      </c>
      <c r="J2170" s="8" t="inlineStr">
        <is>
          <t>KL</t>
        </is>
      </c>
      <c r="K2170" s="8" t="inlineStr"/>
      <c r="L2170" s="10">
        <f>IFERROR(IF(F2170&lt;F2169,"NEGATIVE",ROUND(F2170-F2169,2)),"")</f>
        <v/>
      </c>
    </row>
    <row r="2171" ht="22" customHeight="1">
      <c r="B2171" s="5" t="inlineStr">
        <is>
          <t>R02167</t>
        </is>
      </c>
      <c r="C2171" s="5" t="inlineStr">
        <is>
          <t>MTR-WSH-002</t>
        </is>
      </c>
      <c r="D2171" s="5" t="inlineStr">
        <is>
          <t>Washing Hall</t>
        </is>
      </c>
      <c r="E2171" s="5" t="inlineStr">
        <is>
          <t>Washing Machine 3</t>
        </is>
      </c>
      <c r="F2171" s="5" t="inlineStr">
        <is>
          <t>2024-11-09 08:00</t>
        </is>
      </c>
      <c r="G2171" s="11" t="n">
        <v>97351.44</v>
      </c>
      <c r="H2171" s="5" t="inlineStr">
        <is>
          <t>m3</t>
        </is>
      </c>
      <c r="I2171" s="5" t="inlineStr">
        <is>
          <t>cumulative</t>
        </is>
      </c>
      <c r="J2171" s="5" t="inlineStr">
        <is>
          <t>EF</t>
        </is>
      </c>
      <c r="K2171" s="5" t="inlineStr"/>
      <c r="L2171" s="7">
        <f>IFERROR(IF(F2171&lt;F2170,"NEGATIVE",ROUND(F2171-F2170,2)),"")</f>
        <v/>
      </c>
    </row>
    <row r="2172" ht="22" customHeight="1">
      <c r="B2172" s="8" t="inlineStr">
        <is>
          <t>R02168</t>
        </is>
      </c>
      <c r="C2172" s="8" t="inlineStr">
        <is>
          <t>MTR-WSH-002</t>
        </is>
      </c>
      <c r="D2172" s="8" t="inlineStr">
        <is>
          <t>Washing Hall</t>
        </is>
      </c>
      <c r="E2172" s="8" t="inlineStr">
        <is>
          <t>Washing Machine 3</t>
        </is>
      </c>
      <c r="F2172" s="8" t="inlineStr">
        <is>
          <t>2024-11-10 08:00</t>
        </is>
      </c>
      <c r="G2172" s="12" t="n">
        <v>97366.63</v>
      </c>
      <c r="H2172" s="8" t="inlineStr">
        <is>
          <t>m3</t>
        </is>
      </c>
      <c r="I2172" s="8" t="inlineStr">
        <is>
          <t>cumulative</t>
        </is>
      </c>
      <c r="J2172" s="8" t="inlineStr">
        <is>
          <t>GH</t>
        </is>
      </c>
      <c r="K2172" s="8" t="inlineStr"/>
      <c r="L2172" s="10">
        <f>IFERROR(IF(F2172&lt;F2171,"NEGATIVE",ROUND(F2172-F2171,2)),"")</f>
        <v/>
      </c>
    </row>
    <row r="2173" ht="22" customHeight="1">
      <c r="B2173" s="5" t="inlineStr">
        <is>
          <t>R02169</t>
        </is>
      </c>
      <c r="C2173" s="5" t="inlineStr">
        <is>
          <t>MTR-WSH-002</t>
        </is>
      </c>
      <c r="D2173" s="5" t="inlineStr">
        <is>
          <t>Washing Hall</t>
        </is>
      </c>
      <c r="E2173" s="5" t="inlineStr">
        <is>
          <t>Washing Machine 3</t>
        </is>
      </c>
      <c r="F2173" s="5" t="inlineStr">
        <is>
          <t>2024-11-11 08:00</t>
        </is>
      </c>
      <c r="G2173" s="11" t="n">
        <v>97397.94</v>
      </c>
      <c r="H2173" s="5" t="inlineStr">
        <is>
          <t>m3</t>
        </is>
      </c>
      <c r="I2173" s="5" t="inlineStr">
        <is>
          <t>cumulative</t>
        </is>
      </c>
      <c r="J2173" s="5" t="inlineStr">
        <is>
          <t>CD</t>
        </is>
      </c>
      <c r="K2173" s="5" t="inlineStr"/>
      <c r="L2173" s="7">
        <f>IFERROR(IF(F2173&lt;F2172,"NEGATIVE",ROUND(F2173-F2172,2)),"")</f>
        <v/>
      </c>
    </row>
    <row r="2174" ht="22" customHeight="1">
      <c r="B2174" s="8" t="inlineStr">
        <is>
          <t>R02170</t>
        </is>
      </c>
      <c r="C2174" s="8" t="inlineStr">
        <is>
          <t>MTR-WSH-002</t>
        </is>
      </c>
      <c r="D2174" s="8" t="inlineStr">
        <is>
          <t>Washing Hall</t>
        </is>
      </c>
      <c r="E2174" s="8" t="inlineStr">
        <is>
          <t>Washing Machine 3</t>
        </is>
      </c>
      <c r="F2174" s="8" t="inlineStr">
        <is>
          <t>2024-11-12 08:00</t>
        </is>
      </c>
      <c r="G2174" s="12" t="n">
        <v>97432.25</v>
      </c>
      <c r="H2174" s="8" t="inlineStr">
        <is>
          <t>m3</t>
        </is>
      </c>
      <c r="I2174" s="8" t="inlineStr">
        <is>
          <t>cumulative</t>
        </is>
      </c>
      <c r="J2174" s="8" t="inlineStr">
        <is>
          <t>CD</t>
        </is>
      </c>
      <c r="K2174" s="8" t="inlineStr"/>
      <c r="L2174" s="10">
        <f>IFERROR(IF(F2174&lt;F2173,"NEGATIVE",ROUND(F2174-F2173,2)),"")</f>
        <v/>
      </c>
    </row>
    <row r="2175" ht="22" customHeight="1">
      <c r="B2175" s="5" t="inlineStr">
        <is>
          <t>R02171</t>
        </is>
      </c>
      <c r="C2175" s="5" t="inlineStr">
        <is>
          <t>MTR-WSH-002</t>
        </is>
      </c>
      <c r="D2175" s="5" t="inlineStr">
        <is>
          <t>Washing Hall</t>
        </is>
      </c>
      <c r="E2175" s="5" t="inlineStr">
        <is>
          <t>Washing Machine 3</t>
        </is>
      </c>
      <c r="F2175" s="5" t="inlineStr">
        <is>
          <t>2024-11-13 08:00</t>
        </is>
      </c>
      <c r="G2175" s="11" t="n">
        <v>97465.11</v>
      </c>
      <c r="H2175" s="5" t="inlineStr">
        <is>
          <t>m3</t>
        </is>
      </c>
      <c r="I2175" s="5" t="inlineStr">
        <is>
          <t>cumulative</t>
        </is>
      </c>
      <c r="J2175" s="5" t="inlineStr">
        <is>
          <t>CD</t>
        </is>
      </c>
      <c r="K2175" s="5" t="inlineStr"/>
      <c r="L2175" s="7">
        <f>IFERROR(IF(F2175&lt;F2174,"NEGATIVE",ROUND(F2175-F2174,2)),"")</f>
        <v/>
      </c>
    </row>
    <row r="2176" ht="22" customHeight="1">
      <c r="B2176" s="8" t="inlineStr">
        <is>
          <t>R02172</t>
        </is>
      </c>
      <c r="C2176" s="8" t="inlineStr">
        <is>
          <t>MTR-WSH-002</t>
        </is>
      </c>
      <c r="D2176" s="8" t="inlineStr">
        <is>
          <t>Washing Hall</t>
        </is>
      </c>
      <c r="E2176" s="8" t="inlineStr">
        <is>
          <t>Washing Machine 3</t>
        </is>
      </c>
      <c r="F2176" s="8" t="inlineStr">
        <is>
          <t>2024-11-14 08:00</t>
        </is>
      </c>
      <c r="G2176" s="12" t="n">
        <v>97492.44</v>
      </c>
      <c r="H2176" s="8" t="inlineStr">
        <is>
          <t>m3</t>
        </is>
      </c>
      <c r="I2176" s="8" t="inlineStr">
        <is>
          <t>cumulative</t>
        </is>
      </c>
      <c r="J2176" s="8" t="inlineStr">
        <is>
          <t>AB</t>
        </is>
      </c>
      <c r="K2176" s="8" t="inlineStr"/>
      <c r="L2176" s="10">
        <f>IFERROR(IF(F2176&lt;F2175,"NEGATIVE",ROUND(F2176-F2175,2)),"")</f>
        <v/>
      </c>
    </row>
    <row r="2177" ht="22" customHeight="1">
      <c r="B2177" s="5" t="inlineStr">
        <is>
          <t>R02173</t>
        </is>
      </c>
      <c r="C2177" s="5" t="inlineStr">
        <is>
          <t>MTR-WSH-002</t>
        </is>
      </c>
      <c r="D2177" s="5" t="inlineStr">
        <is>
          <t>Washing Hall</t>
        </is>
      </c>
      <c r="E2177" s="5" t="inlineStr">
        <is>
          <t>Washing Machine 3</t>
        </is>
      </c>
      <c r="F2177" s="5" t="inlineStr">
        <is>
          <t>2024-11-15 08:00</t>
        </is>
      </c>
      <c r="G2177" s="11" t="n">
        <v>97523.73</v>
      </c>
      <c r="H2177" s="5" t="inlineStr">
        <is>
          <t>m3</t>
        </is>
      </c>
      <c r="I2177" s="5" t="inlineStr">
        <is>
          <t>cumulative</t>
        </is>
      </c>
      <c r="J2177" s="5" t="inlineStr">
        <is>
          <t>KL</t>
        </is>
      </c>
      <c r="K2177" s="5" t="inlineStr"/>
      <c r="L2177" s="7">
        <f>IFERROR(IF(F2177&lt;F2176,"NEGATIVE",ROUND(F2177-F2176,2)),"")</f>
        <v/>
      </c>
    </row>
    <row r="2178" ht="22" customHeight="1">
      <c r="B2178" s="8" t="inlineStr">
        <is>
          <t>R02174</t>
        </is>
      </c>
      <c r="C2178" s="8" t="inlineStr">
        <is>
          <t>MTR-WSH-002</t>
        </is>
      </c>
      <c r="D2178" s="8" t="inlineStr">
        <is>
          <t>Washing Hall</t>
        </is>
      </c>
      <c r="E2178" s="8" t="inlineStr">
        <is>
          <t>Washing Machine 3</t>
        </is>
      </c>
      <c r="F2178" s="8" t="inlineStr">
        <is>
          <t>2024-11-16 08:00</t>
        </is>
      </c>
      <c r="G2178" s="12" t="n">
        <v>97550.03999999999</v>
      </c>
      <c r="H2178" s="8" t="inlineStr">
        <is>
          <t>m3</t>
        </is>
      </c>
      <c r="I2178" s="8" t="inlineStr">
        <is>
          <t>cumulative</t>
        </is>
      </c>
      <c r="J2178" s="8" t="inlineStr">
        <is>
          <t>GH</t>
        </is>
      </c>
      <c r="K2178" s="8" t="inlineStr"/>
      <c r="L2178" s="10">
        <f>IFERROR(IF(F2178&lt;F2177,"NEGATIVE",ROUND(F2178-F2177,2)),"")</f>
        <v/>
      </c>
    </row>
    <row r="2179" ht="22" customHeight="1">
      <c r="B2179" s="5" t="inlineStr">
        <is>
          <t>R02175</t>
        </is>
      </c>
      <c r="C2179" s="5" t="inlineStr">
        <is>
          <t>MTR-WSH-002</t>
        </is>
      </c>
      <c r="D2179" s="5" t="inlineStr">
        <is>
          <t>Washing Hall</t>
        </is>
      </c>
      <c r="E2179" s="5" t="inlineStr">
        <is>
          <t>Washing Machine 3</t>
        </is>
      </c>
      <c r="F2179" s="5" t="inlineStr">
        <is>
          <t>2024-11-17 08:00</t>
        </is>
      </c>
      <c r="G2179" s="11" t="n">
        <v>97563.95</v>
      </c>
      <c r="H2179" s="5" t="inlineStr">
        <is>
          <t>m3</t>
        </is>
      </c>
      <c r="I2179" s="5" t="inlineStr">
        <is>
          <t>cumulative</t>
        </is>
      </c>
      <c r="J2179" s="5" t="inlineStr">
        <is>
          <t>KL</t>
        </is>
      </c>
      <c r="K2179" s="5" t="inlineStr"/>
      <c r="L2179" s="7">
        <f>IFERROR(IF(F2179&lt;F2178,"NEGATIVE",ROUND(F2179-F2178,2)),"")</f>
        <v/>
      </c>
    </row>
    <row r="2180" ht="22" customHeight="1">
      <c r="B2180" s="8" t="inlineStr">
        <is>
          <t>R02176</t>
        </is>
      </c>
      <c r="C2180" s="8" t="inlineStr">
        <is>
          <t>MTR-WSH-002</t>
        </is>
      </c>
      <c r="D2180" s="8" t="inlineStr">
        <is>
          <t>Washing Hall</t>
        </is>
      </c>
      <c r="E2180" s="8" t="inlineStr">
        <is>
          <t>Washing Machine 3</t>
        </is>
      </c>
      <c r="F2180" s="8" t="inlineStr">
        <is>
          <t>2024-11-18 08:00</t>
        </is>
      </c>
      <c r="G2180" s="12" t="n">
        <v>97596.42999999999</v>
      </c>
      <c r="H2180" s="8" t="inlineStr">
        <is>
          <t>m3</t>
        </is>
      </c>
      <c r="I2180" s="8" t="inlineStr">
        <is>
          <t>cumulative</t>
        </is>
      </c>
      <c r="J2180" s="8" t="inlineStr">
        <is>
          <t>EF</t>
        </is>
      </c>
      <c r="K2180" s="8" t="inlineStr"/>
      <c r="L2180" s="10">
        <f>IFERROR(IF(F2180&lt;F2179,"NEGATIVE",ROUND(F2180-F2179,2)),"")</f>
        <v/>
      </c>
    </row>
    <row r="2181" ht="22" customHeight="1">
      <c r="B2181" s="5" t="inlineStr">
        <is>
          <t>R02177</t>
        </is>
      </c>
      <c r="C2181" s="5" t="inlineStr">
        <is>
          <t>MTR-WSH-002</t>
        </is>
      </c>
      <c r="D2181" s="5" t="inlineStr">
        <is>
          <t>Washing Hall</t>
        </is>
      </c>
      <c r="E2181" s="5" t="inlineStr">
        <is>
          <t>Washing Machine 3</t>
        </is>
      </c>
      <c r="F2181" s="5" t="inlineStr">
        <is>
          <t>2024-11-19 08:00</t>
        </is>
      </c>
      <c r="G2181" s="11" t="n">
        <v>97626.7</v>
      </c>
      <c r="H2181" s="5" t="inlineStr">
        <is>
          <t>m3</t>
        </is>
      </c>
      <c r="I2181" s="5" t="inlineStr">
        <is>
          <t>cumulative</t>
        </is>
      </c>
      <c r="J2181" s="5" t="inlineStr">
        <is>
          <t>EF</t>
        </is>
      </c>
      <c r="K2181" s="5" t="inlineStr"/>
      <c r="L2181" s="7">
        <f>IFERROR(IF(F2181&lt;F2180,"NEGATIVE",ROUND(F2181-F2180,2)),"")</f>
        <v/>
      </c>
    </row>
    <row r="2182" ht="22" customHeight="1">
      <c r="B2182" s="8" t="inlineStr">
        <is>
          <t>R02178</t>
        </is>
      </c>
      <c r="C2182" s="8" t="inlineStr">
        <is>
          <t>MTR-WSH-002</t>
        </is>
      </c>
      <c r="D2182" s="8" t="inlineStr">
        <is>
          <t>Washing Hall</t>
        </is>
      </c>
      <c r="E2182" s="8" t="inlineStr">
        <is>
          <t>Washing Machine 3</t>
        </is>
      </c>
      <c r="F2182" s="8" t="inlineStr">
        <is>
          <t>2024-11-20 08:00</t>
        </is>
      </c>
      <c r="G2182" s="12" t="n">
        <v>97658.64</v>
      </c>
      <c r="H2182" s="8" t="inlineStr">
        <is>
          <t>m3</t>
        </is>
      </c>
      <c r="I2182" s="8" t="inlineStr">
        <is>
          <t>cumulative</t>
        </is>
      </c>
      <c r="J2182" s="8" t="inlineStr">
        <is>
          <t>IJ</t>
        </is>
      </c>
      <c r="K2182" s="8" t="inlineStr"/>
      <c r="L2182" s="10">
        <f>IFERROR(IF(F2182&lt;F2181,"NEGATIVE",ROUND(F2182-F2181,2)),"")</f>
        <v/>
      </c>
    </row>
    <row r="2183" ht="22" customHeight="1">
      <c r="B2183" s="5" t="inlineStr">
        <is>
          <t>R02179</t>
        </is>
      </c>
      <c r="C2183" s="5" t="inlineStr">
        <is>
          <t>MTR-WSH-002</t>
        </is>
      </c>
      <c r="D2183" s="5" t="inlineStr">
        <is>
          <t>Washing Hall</t>
        </is>
      </c>
      <c r="E2183" s="5" t="inlineStr">
        <is>
          <t>Washing Machine 3</t>
        </is>
      </c>
      <c r="F2183" s="5" t="inlineStr">
        <is>
          <t>2024-11-21 08:00</t>
        </is>
      </c>
      <c r="G2183" s="11" t="n">
        <v>97693.03</v>
      </c>
      <c r="H2183" s="5" t="inlineStr">
        <is>
          <t>m3</t>
        </is>
      </c>
      <c r="I2183" s="5" t="inlineStr">
        <is>
          <t>cumulative</t>
        </is>
      </c>
      <c r="J2183" s="5" t="inlineStr">
        <is>
          <t>KL</t>
        </is>
      </c>
      <c r="K2183" s="5" t="inlineStr"/>
      <c r="L2183" s="7">
        <f>IFERROR(IF(F2183&lt;F2182,"NEGATIVE",ROUND(F2183-F2182,2)),"")</f>
        <v/>
      </c>
    </row>
    <row r="2184" ht="22" customHeight="1">
      <c r="B2184" s="8" t="inlineStr">
        <is>
          <t>R02180</t>
        </is>
      </c>
      <c r="C2184" s="8" t="inlineStr">
        <is>
          <t>MTR-WSH-002</t>
        </is>
      </c>
      <c r="D2184" s="8" t="inlineStr">
        <is>
          <t>Washing Hall</t>
        </is>
      </c>
      <c r="E2184" s="8" t="inlineStr">
        <is>
          <t>Washing Machine 3</t>
        </is>
      </c>
      <c r="F2184" s="8" t="inlineStr">
        <is>
          <t>2024-11-22 08:00</t>
        </is>
      </c>
      <c r="G2184" s="12" t="n">
        <v>97728.37</v>
      </c>
      <c r="H2184" s="8" t="inlineStr">
        <is>
          <t>m3</t>
        </is>
      </c>
      <c r="I2184" s="8" t="inlineStr">
        <is>
          <t>cumulative</t>
        </is>
      </c>
      <c r="J2184" s="8" t="inlineStr">
        <is>
          <t>EF</t>
        </is>
      </c>
      <c r="K2184" s="8" t="inlineStr"/>
      <c r="L2184" s="10">
        <f>IFERROR(IF(F2184&lt;F2183,"NEGATIVE",ROUND(F2184-F2183,2)),"")</f>
        <v/>
      </c>
    </row>
    <row r="2185" ht="22" customHeight="1">
      <c r="B2185" s="5" t="inlineStr">
        <is>
          <t>R02181</t>
        </is>
      </c>
      <c r="C2185" s="5" t="inlineStr">
        <is>
          <t>MTR-WSH-002</t>
        </is>
      </c>
      <c r="D2185" s="5" t="inlineStr">
        <is>
          <t>Washing Hall</t>
        </is>
      </c>
      <c r="E2185" s="5" t="inlineStr">
        <is>
          <t>Washing Machine 3</t>
        </is>
      </c>
      <c r="F2185" s="5" t="inlineStr">
        <is>
          <t>2024-11-23 08:00</t>
        </is>
      </c>
      <c r="G2185" s="11" t="n">
        <v>97752.03999999999</v>
      </c>
      <c r="H2185" s="5" t="inlineStr">
        <is>
          <t>m3</t>
        </is>
      </c>
      <c r="I2185" s="5" t="inlineStr">
        <is>
          <t>cumulative</t>
        </is>
      </c>
      <c r="J2185" s="5" t="inlineStr">
        <is>
          <t>AB</t>
        </is>
      </c>
      <c r="K2185" s="5" t="inlineStr"/>
      <c r="L2185" s="7">
        <f>IFERROR(IF(F2185&lt;F2184,"NEGATIVE",ROUND(F2185-F2184,2)),"")</f>
        <v/>
      </c>
    </row>
    <row r="2186" ht="22" customHeight="1">
      <c r="B2186" s="8" t="inlineStr">
        <is>
          <t>R02182</t>
        </is>
      </c>
      <c r="C2186" s="8" t="inlineStr">
        <is>
          <t>MTR-WSH-002</t>
        </is>
      </c>
      <c r="D2186" s="8" t="inlineStr">
        <is>
          <t>Washing Hall</t>
        </is>
      </c>
      <c r="E2186" s="8" t="inlineStr">
        <is>
          <t>Washing Machine 3</t>
        </is>
      </c>
      <c r="F2186" s="8" t="inlineStr">
        <is>
          <t>2024-11-24 08:00</t>
        </is>
      </c>
      <c r="G2186" s="12" t="n">
        <v>97767.94</v>
      </c>
      <c r="H2186" s="8" t="inlineStr">
        <is>
          <t>m3</t>
        </is>
      </c>
      <c r="I2186" s="8" t="inlineStr">
        <is>
          <t>cumulative</t>
        </is>
      </c>
      <c r="J2186" s="8" t="inlineStr">
        <is>
          <t>CD</t>
        </is>
      </c>
      <c r="K2186" s="8" t="inlineStr"/>
      <c r="L2186" s="10">
        <f>IFERROR(IF(F2186&lt;F2185,"NEGATIVE",ROUND(F2186-F2185,2)),"")</f>
        <v/>
      </c>
    </row>
    <row r="2187" ht="22" customHeight="1">
      <c r="B2187" s="5" t="inlineStr">
        <is>
          <t>R02183</t>
        </is>
      </c>
      <c r="C2187" s="5" t="inlineStr">
        <is>
          <t>MTR-WSH-002</t>
        </is>
      </c>
      <c r="D2187" s="5" t="inlineStr">
        <is>
          <t>Washing Hall</t>
        </is>
      </c>
      <c r="E2187" s="5" t="inlineStr">
        <is>
          <t>Washing Machine 3</t>
        </is>
      </c>
      <c r="F2187" s="5" t="inlineStr">
        <is>
          <t>2024-11-25 08:00</t>
        </is>
      </c>
      <c r="G2187" s="11" t="n">
        <v>97798.99000000001</v>
      </c>
      <c r="H2187" s="5" t="inlineStr">
        <is>
          <t>m3</t>
        </is>
      </c>
      <c r="I2187" s="5" t="inlineStr">
        <is>
          <t>cumulative</t>
        </is>
      </c>
      <c r="J2187" s="5" t="inlineStr">
        <is>
          <t>KL</t>
        </is>
      </c>
      <c r="K2187" s="5" t="inlineStr"/>
      <c r="L2187" s="7">
        <f>IFERROR(IF(F2187&lt;F2186,"NEGATIVE",ROUND(F2187-F2186,2)),"")</f>
        <v/>
      </c>
    </row>
    <row r="2188" ht="22" customHeight="1">
      <c r="B2188" s="8" t="inlineStr">
        <is>
          <t>R02184</t>
        </is>
      </c>
      <c r="C2188" s="8" t="inlineStr">
        <is>
          <t>MTR-WSH-002</t>
        </is>
      </c>
      <c r="D2188" s="8" t="inlineStr">
        <is>
          <t>Washing Hall</t>
        </is>
      </c>
      <c r="E2188" s="8" t="inlineStr">
        <is>
          <t>Washing Machine 3</t>
        </is>
      </c>
      <c r="F2188" s="8" t="inlineStr">
        <is>
          <t>2024-11-26 08:00</t>
        </is>
      </c>
      <c r="G2188" s="12" t="n">
        <v>97830.06</v>
      </c>
      <c r="H2188" s="8" t="inlineStr">
        <is>
          <t>m3</t>
        </is>
      </c>
      <c r="I2188" s="8" t="inlineStr">
        <is>
          <t>cumulative</t>
        </is>
      </c>
      <c r="J2188" s="8" t="inlineStr">
        <is>
          <t>AB</t>
        </is>
      </c>
      <c r="K2188" s="8" t="inlineStr"/>
      <c r="L2188" s="10">
        <f>IFERROR(IF(F2188&lt;F2187,"NEGATIVE",ROUND(F2188-F2187,2)),"")</f>
        <v/>
      </c>
    </row>
    <row r="2189" ht="22" customHeight="1">
      <c r="B2189" s="5" t="inlineStr">
        <is>
          <t>R02185</t>
        </is>
      </c>
      <c r="C2189" s="5" t="inlineStr">
        <is>
          <t>MTR-WSH-002</t>
        </is>
      </c>
      <c r="D2189" s="5" t="inlineStr">
        <is>
          <t>Washing Hall</t>
        </is>
      </c>
      <c r="E2189" s="5" t="inlineStr">
        <is>
          <t>Washing Machine 3</t>
        </is>
      </c>
      <c r="F2189" s="5" t="inlineStr">
        <is>
          <t>2024-11-27 08:00</t>
        </is>
      </c>
      <c r="G2189" s="11" t="n">
        <v>97860.03999999999</v>
      </c>
      <c r="H2189" s="5" t="inlineStr">
        <is>
          <t>m3</t>
        </is>
      </c>
      <c r="I2189" s="5" t="inlineStr">
        <is>
          <t>cumulative</t>
        </is>
      </c>
      <c r="J2189" s="5" t="inlineStr">
        <is>
          <t>AB</t>
        </is>
      </c>
      <c r="K2189" s="5" t="inlineStr"/>
      <c r="L2189" s="7">
        <f>IFERROR(IF(F2189&lt;F2188,"NEGATIVE",ROUND(F2189-F2188,2)),"")</f>
        <v/>
      </c>
    </row>
    <row r="2190" ht="22" customHeight="1">
      <c r="B2190" s="8" t="inlineStr">
        <is>
          <t>R02186</t>
        </is>
      </c>
      <c r="C2190" s="8" t="inlineStr">
        <is>
          <t>MTR-WSH-002</t>
        </is>
      </c>
      <c r="D2190" s="8" t="inlineStr">
        <is>
          <t>Washing Hall</t>
        </is>
      </c>
      <c r="E2190" s="8" t="inlineStr">
        <is>
          <t>Washing Machine 3</t>
        </is>
      </c>
      <c r="F2190" s="8" t="inlineStr">
        <is>
          <t>2024-11-28 08:00</t>
        </is>
      </c>
      <c r="G2190" s="12" t="n">
        <v>97887.73</v>
      </c>
      <c r="H2190" s="8" t="inlineStr">
        <is>
          <t>m3</t>
        </is>
      </c>
      <c r="I2190" s="8" t="inlineStr">
        <is>
          <t>cumulative</t>
        </is>
      </c>
      <c r="J2190" s="8" t="inlineStr">
        <is>
          <t>GH</t>
        </is>
      </c>
      <c r="K2190" s="8" t="inlineStr"/>
      <c r="L2190" s="10">
        <f>IFERROR(IF(F2190&lt;F2189,"NEGATIVE",ROUND(F2190-F2189,2)),"")</f>
        <v/>
      </c>
    </row>
    <row r="2191" ht="22" customHeight="1">
      <c r="B2191" s="5" t="inlineStr">
        <is>
          <t>R02187</t>
        </is>
      </c>
      <c r="C2191" s="5" t="inlineStr">
        <is>
          <t>MTR-WSH-002</t>
        </is>
      </c>
      <c r="D2191" s="5" t="inlineStr">
        <is>
          <t>Washing Hall</t>
        </is>
      </c>
      <c r="E2191" s="5" t="inlineStr">
        <is>
          <t>Washing Machine 3</t>
        </is>
      </c>
      <c r="F2191" s="5" t="inlineStr">
        <is>
          <t>2024-11-29 08:00</t>
        </is>
      </c>
      <c r="G2191" s="11" t="n">
        <v>97918.27</v>
      </c>
      <c r="H2191" s="5" t="inlineStr">
        <is>
          <t>m3</t>
        </is>
      </c>
      <c r="I2191" s="5" t="inlineStr">
        <is>
          <t>cumulative</t>
        </is>
      </c>
      <c r="J2191" s="5" t="inlineStr">
        <is>
          <t>KL</t>
        </is>
      </c>
      <c r="K2191" s="5" t="inlineStr"/>
      <c r="L2191" s="7">
        <f>IFERROR(IF(F2191&lt;F2190,"NEGATIVE",ROUND(F2191-F2190,2)),"")</f>
        <v/>
      </c>
    </row>
    <row r="2192" ht="22" customHeight="1">
      <c r="B2192" s="8" t="inlineStr">
        <is>
          <t>R02188</t>
        </is>
      </c>
      <c r="C2192" s="8" t="inlineStr">
        <is>
          <t>MTR-WSH-002</t>
        </is>
      </c>
      <c r="D2192" s="8" t="inlineStr">
        <is>
          <t>Washing Hall</t>
        </is>
      </c>
      <c r="E2192" s="8" t="inlineStr">
        <is>
          <t>Washing Machine 3</t>
        </is>
      </c>
      <c r="F2192" s="8" t="inlineStr">
        <is>
          <t>2024-11-30 08:00</t>
        </is>
      </c>
      <c r="G2192" s="12" t="n">
        <v>97945.22</v>
      </c>
      <c r="H2192" s="8" t="inlineStr">
        <is>
          <t>m3</t>
        </is>
      </c>
      <c r="I2192" s="8" t="inlineStr">
        <is>
          <t>cumulative</t>
        </is>
      </c>
      <c r="J2192" s="8" t="inlineStr">
        <is>
          <t>CD</t>
        </is>
      </c>
      <c r="K2192" s="8" t="inlineStr"/>
      <c r="L2192" s="10">
        <f>IFERROR(IF(F2192&lt;F2191,"NEGATIVE",ROUND(F2192-F2191,2)),"")</f>
        <v/>
      </c>
    </row>
    <row r="2193" ht="22" customHeight="1">
      <c r="B2193" s="5" t="inlineStr">
        <is>
          <t>R02189</t>
        </is>
      </c>
      <c r="C2193" s="5" t="inlineStr">
        <is>
          <t>MTR-WSH-002</t>
        </is>
      </c>
      <c r="D2193" s="5" t="inlineStr">
        <is>
          <t>Washing Hall</t>
        </is>
      </c>
      <c r="E2193" s="5" t="inlineStr">
        <is>
          <t>Washing Machine 3</t>
        </is>
      </c>
      <c r="F2193" s="5" t="inlineStr">
        <is>
          <t>2024-12-01 08:00</t>
        </is>
      </c>
      <c r="G2193" s="11" t="n">
        <v>97959.92</v>
      </c>
      <c r="H2193" s="5" t="inlineStr">
        <is>
          <t>m3</t>
        </is>
      </c>
      <c r="I2193" s="5" t="inlineStr">
        <is>
          <t>cumulative</t>
        </is>
      </c>
      <c r="J2193" s="5" t="inlineStr">
        <is>
          <t>IJ</t>
        </is>
      </c>
      <c r="K2193" s="5" t="inlineStr"/>
      <c r="L2193" s="7">
        <f>IFERROR(IF(F2193&lt;F2192,"NEGATIVE",ROUND(F2193-F2192,2)),"")</f>
        <v/>
      </c>
    </row>
    <row r="2194" ht="22" customHeight="1">
      <c r="B2194" s="8" t="inlineStr">
        <is>
          <t>R02190</t>
        </is>
      </c>
      <c r="C2194" s="8" t="inlineStr">
        <is>
          <t>MTR-WSH-002</t>
        </is>
      </c>
      <c r="D2194" s="8" t="inlineStr">
        <is>
          <t>Washing Hall</t>
        </is>
      </c>
      <c r="E2194" s="8" t="inlineStr">
        <is>
          <t>Washing Machine 3</t>
        </is>
      </c>
      <c r="F2194" s="8" t="inlineStr">
        <is>
          <t>2024-12-02 08:00</t>
        </is>
      </c>
      <c r="G2194" s="12" t="n">
        <v>97986.78</v>
      </c>
      <c r="H2194" s="8" t="inlineStr">
        <is>
          <t>m3</t>
        </is>
      </c>
      <c r="I2194" s="8" t="inlineStr">
        <is>
          <t>cumulative</t>
        </is>
      </c>
      <c r="J2194" s="8" t="inlineStr">
        <is>
          <t>EF</t>
        </is>
      </c>
      <c r="K2194" s="8" t="inlineStr"/>
      <c r="L2194" s="10">
        <f>IFERROR(IF(F2194&lt;F2193,"NEGATIVE",ROUND(F2194-F2193,2)),"")</f>
        <v/>
      </c>
    </row>
    <row r="2195" ht="22" customHeight="1">
      <c r="B2195" s="5" t="inlineStr">
        <is>
          <t>R02191</t>
        </is>
      </c>
      <c r="C2195" s="5" t="inlineStr">
        <is>
          <t>MTR-WSH-002</t>
        </is>
      </c>
      <c r="D2195" s="5" t="inlineStr">
        <is>
          <t>Washing Hall</t>
        </is>
      </c>
      <c r="E2195" s="5" t="inlineStr">
        <is>
          <t>Washing Machine 3</t>
        </is>
      </c>
      <c r="F2195" s="5" t="inlineStr">
        <is>
          <t>2024-12-03 08:00</t>
        </is>
      </c>
      <c r="G2195" s="11" t="n">
        <v>98018.17999999999</v>
      </c>
      <c r="H2195" s="5" t="inlineStr">
        <is>
          <t>m3</t>
        </is>
      </c>
      <c r="I2195" s="5" t="inlineStr">
        <is>
          <t>cumulative</t>
        </is>
      </c>
      <c r="J2195" s="5" t="inlineStr">
        <is>
          <t>KL</t>
        </is>
      </c>
      <c r="K2195" s="5" t="inlineStr"/>
      <c r="L2195" s="7">
        <f>IFERROR(IF(F2195&lt;F2194,"NEGATIVE",ROUND(F2195-F2194,2)),"")</f>
        <v/>
      </c>
    </row>
    <row r="2196" ht="22" customHeight="1">
      <c r="B2196" s="8" t="inlineStr">
        <is>
          <t>R02192</t>
        </is>
      </c>
      <c r="C2196" s="8" t="inlineStr">
        <is>
          <t>MTR-WSH-002</t>
        </is>
      </c>
      <c r="D2196" s="8" t="inlineStr">
        <is>
          <t>Washing Hall</t>
        </is>
      </c>
      <c r="E2196" s="8" t="inlineStr">
        <is>
          <t>Washing Machine 3</t>
        </is>
      </c>
      <c r="F2196" s="8" t="inlineStr">
        <is>
          <t>2024-12-04 08:00</t>
        </is>
      </c>
      <c r="G2196" s="12" t="n">
        <v>98050.99000000001</v>
      </c>
      <c r="H2196" s="8" t="inlineStr">
        <is>
          <t>m3</t>
        </is>
      </c>
      <c r="I2196" s="8" t="inlineStr">
        <is>
          <t>cumulative</t>
        </is>
      </c>
      <c r="J2196" s="8" t="inlineStr">
        <is>
          <t>IJ</t>
        </is>
      </c>
      <c r="K2196" s="8" t="inlineStr"/>
      <c r="L2196" s="10">
        <f>IFERROR(IF(F2196&lt;F2195,"NEGATIVE",ROUND(F2196-F2195,2)),"")</f>
        <v/>
      </c>
    </row>
    <row r="2197" ht="22" customHeight="1">
      <c r="B2197" s="5" t="inlineStr">
        <is>
          <t>R02193</t>
        </is>
      </c>
      <c r="C2197" s="5" t="inlineStr">
        <is>
          <t>MTR-WSH-002</t>
        </is>
      </c>
      <c r="D2197" s="5" t="inlineStr">
        <is>
          <t>Washing Hall</t>
        </is>
      </c>
      <c r="E2197" s="5" t="inlineStr">
        <is>
          <t>Washing Machine 3</t>
        </is>
      </c>
      <c r="F2197" s="5" t="inlineStr">
        <is>
          <t>2024-12-05 08:00</t>
        </is>
      </c>
      <c r="G2197" s="11" t="n">
        <v>98079.73</v>
      </c>
      <c r="H2197" s="5" t="inlineStr">
        <is>
          <t>m3</t>
        </is>
      </c>
      <c r="I2197" s="5" t="inlineStr">
        <is>
          <t>cumulative</t>
        </is>
      </c>
      <c r="J2197" s="5" t="inlineStr">
        <is>
          <t>AB</t>
        </is>
      </c>
      <c r="K2197" s="5" t="inlineStr"/>
      <c r="L2197" s="7">
        <f>IFERROR(IF(F2197&lt;F2196,"NEGATIVE",ROUND(F2197-F2196,2)),"")</f>
        <v/>
      </c>
    </row>
    <row r="2198" ht="22" customHeight="1">
      <c r="B2198" s="8" t="inlineStr">
        <is>
          <t>R02194</t>
        </is>
      </c>
      <c r="C2198" s="8" t="inlineStr">
        <is>
          <t>MTR-WSH-002</t>
        </is>
      </c>
      <c r="D2198" s="8" t="inlineStr">
        <is>
          <t>Washing Hall</t>
        </is>
      </c>
      <c r="E2198" s="8" t="inlineStr">
        <is>
          <t>Washing Machine 3</t>
        </is>
      </c>
      <c r="F2198" s="8" t="inlineStr">
        <is>
          <t>2024-12-06 08:00</t>
        </is>
      </c>
      <c r="G2198" s="12" t="n">
        <v>98106.39</v>
      </c>
      <c r="H2198" s="8" t="inlineStr">
        <is>
          <t>m3</t>
        </is>
      </c>
      <c r="I2198" s="8" t="inlineStr">
        <is>
          <t>cumulative</t>
        </is>
      </c>
      <c r="J2198" s="8" t="inlineStr">
        <is>
          <t>EF</t>
        </is>
      </c>
      <c r="K2198" s="8" t="inlineStr"/>
      <c r="L2198" s="10">
        <f>IFERROR(IF(F2198&lt;F2197,"NEGATIVE",ROUND(F2198-F2197,2)),"")</f>
        <v/>
      </c>
    </row>
    <row r="2199" ht="22" customHeight="1">
      <c r="B2199" s="5" t="inlineStr">
        <is>
          <t>R02195</t>
        </is>
      </c>
      <c r="C2199" s="5" t="inlineStr">
        <is>
          <t>MTR-WSH-002</t>
        </is>
      </c>
      <c r="D2199" s="5" t="inlineStr">
        <is>
          <t>Washing Hall</t>
        </is>
      </c>
      <c r="E2199" s="5" t="inlineStr">
        <is>
          <t>Washing Machine 3</t>
        </is>
      </c>
      <c r="F2199" s="5" t="inlineStr">
        <is>
          <t>2024-12-07 08:00</t>
        </is>
      </c>
      <c r="G2199" s="11" t="n">
        <v>98129.88</v>
      </c>
      <c r="H2199" s="5" t="inlineStr">
        <is>
          <t>m3</t>
        </is>
      </c>
      <c r="I2199" s="5" t="inlineStr">
        <is>
          <t>cumulative</t>
        </is>
      </c>
      <c r="J2199" s="5" t="inlineStr">
        <is>
          <t>KL</t>
        </is>
      </c>
      <c r="K2199" s="5" t="inlineStr"/>
      <c r="L2199" s="7">
        <f>IFERROR(IF(F2199&lt;F2198,"NEGATIVE",ROUND(F2199-F2198,2)),"")</f>
        <v/>
      </c>
    </row>
    <row r="2200" ht="22" customHeight="1">
      <c r="B2200" s="8" t="inlineStr">
        <is>
          <t>R02196</t>
        </is>
      </c>
      <c r="C2200" s="8" t="inlineStr">
        <is>
          <t>MTR-WSH-002</t>
        </is>
      </c>
      <c r="D2200" s="8" t="inlineStr">
        <is>
          <t>Washing Hall</t>
        </is>
      </c>
      <c r="E2200" s="8" t="inlineStr">
        <is>
          <t>Washing Machine 3</t>
        </is>
      </c>
      <c r="F2200" s="8" t="inlineStr">
        <is>
          <t>2024-12-08 08:00</t>
        </is>
      </c>
      <c r="G2200" s="12" t="n">
        <v>98147.91</v>
      </c>
      <c r="H2200" s="8" t="inlineStr">
        <is>
          <t>m3</t>
        </is>
      </c>
      <c r="I2200" s="8" t="inlineStr">
        <is>
          <t>cumulative</t>
        </is>
      </c>
      <c r="J2200" s="8" t="inlineStr">
        <is>
          <t>EF</t>
        </is>
      </c>
      <c r="K2200" s="8" t="inlineStr"/>
      <c r="L2200" s="10">
        <f>IFERROR(IF(F2200&lt;F2199,"NEGATIVE",ROUND(F2200-F2199,2)),"")</f>
        <v/>
      </c>
    </row>
    <row r="2201" ht="22" customHeight="1">
      <c r="B2201" s="5" t="inlineStr">
        <is>
          <t>R02197</t>
        </is>
      </c>
      <c r="C2201" s="5" t="inlineStr">
        <is>
          <t>MTR-WSH-002</t>
        </is>
      </c>
      <c r="D2201" s="5" t="inlineStr">
        <is>
          <t>Washing Hall</t>
        </is>
      </c>
      <c r="E2201" s="5" t="inlineStr">
        <is>
          <t>Washing Machine 3</t>
        </is>
      </c>
      <c r="F2201" s="5" t="inlineStr">
        <is>
          <t>2024-12-09 08:00</t>
        </is>
      </c>
      <c r="G2201" s="11" t="n">
        <v>98179.92</v>
      </c>
      <c r="H2201" s="5" t="inlineStr">
        <is>
          <t>m3</t>
        </is>
      </c>
      <c r="I2201" s="5" t="inlineStr">
        <is>
          <t>cumulative</t>
        </is>
      </c>
      <c r="J2201" s="5" t="inlineStr">
        <is>
          <t>GH</t>
        </is>
      </c>
      <c r="K2201" s="5" t="inlineStr"/>
      <c r="L2201" s="7">
        <f>IFERROR(IF(F2201&lt;F2200,"NEGATIVE",ROUND(F2201-F2200,2)),"")</f>
        <v/>
      </c>
    </row>
    <row r="2202" ht="22" customHeight="1">
      <c r="B2202" s="8" t="inlineStr">
        <is>
          <t>R02198</t>
        </is>
      </c>
      <c r="C2202" s="8" t="inlineStr">
        <is>
          <t>MTR-WSH-002</t>
        </is>
      </c>
      <c r="D2202" s="8" t="inlineStr">
        <is>
          <t>Washing Hall</t>
        </is>
      </c>
      <c r="E2202" s="8" t="inlineStr">
        <is>
          <t>Washing Machine 3</t>
        </is>
      </c>
      <c r="F2202" s="8" t="inlineStr">
        <is>
          <t>2024-12-10 08:00</t>
        </is>
      </c>
      <c r="G2202" s="12" t="n">
        <v>98210.03999999999</v>
      </c>
      <c r="H2202" s="8" t="inlineStr">
        <is>
          <t>m3</t>
        </is>
      </c>
      <c r="I2202" s="8" t="inlineStr">
        <is>
          <t>cumulative</t>
        </is>
      </c>
      <c r="J2202" s="8" t="inlineStr">
        <is>
          <t>IJ</t>
        </is>
      </c>
      <c r="K2202" s="8" t="inlineStr"/>
      <c r="L2202" s="10">
        <f>IFERROR(IF(F2202&lt;F2201,"NEGATIVE",ROUND(F2202-F2201,2)),"")</f>
        <v/>
      </c>
    </row>
    <row r="2203" ht="22" customHeight="1">
      <c r="B2203" s="5" t="inlineStr">
        <is>
          <t>R02199</t>
        </is>
      </c>
      <c r="C2203" s="5" t="inlineStr">
        <is>
          <t>MTR-WSH-002</t>
        </is>
      </c>
      <c r="D2203" s="5" t="inlineStr">
        <is>
          <t>Washing Hall</t>
        </is>
      </c>
      <c r="E2203" s="5" t="inlineStr">
        <is>
          <t>Washing Machine 3</t>
        </is>
      </c>
      <c r="F2203" s="5" t="inlineStr">
        <is>
          <t>2024-12-11 08:00</t>
        </is>
      </c>
      <c r="G2203" s="11" t="n">
        <v>98240.17</v>
      </c>
      <c r="H2203" s="5" t="inlineStr">
        <is>
          <t>m3</t>
        </is>
      </c>
      <c r="I2203" s="5" t="inlineStr">
        <is>
          <t>cumulative</t>
        </is>
      </c>
      <c r="J2203" s="5" t="inlineStr">
        <is>
          <t>GH</t>
        </is>
      </c>
      <c r="K2203" s="5" t="inlineStr"/>
      <c r="L2203" s="7">
        <f>IFERROR(IF(F2203&lt;F2202,"NEGATIVE",ROUND(F2203-F2202,2)),"")</f>
        <v/>
      </c>
    </row>
    <row r="2204" ht="22" customHeight="1">
      <c r="B2204" s="8" t="inlineStr">
        <is>
          <t>R02200</t>
        </is>
      </c>
      <c r="C2204" s="8" t="inlineStr">
        <is>
          <t>MTR-WSH-002</t>
        </is>
      </c>
      <c r="D2204" s="8" t="inlineStr">
        <is>
          <t>Washing Hall</t>
        </is>
      </c>
      <c r="E2204" s="8" t="inlineStr">
        <is>
          <t>Washing Machine 3</t>
        </is>
      </c>
      <c r="F2204" s="8" t="inlineStr">
        <is>
          <t>2024-12-12 08:00</t>
        </is>
      </c>
      <c r="G2204" s="12" t="n">
        <v>98271.14999999999</v>
      </c>
      <c r="H2204" s="8" t="inlineStr">
        <is>
          <t>m3</t>
        </is>
      </c>
      <c r="I2204" s="8" t="inlineStr">
        <is>
          <t>cumulative</t>
        </is>
      </c>
      <c r="J2204" s="8" t="inlineStr">
        <is>
          <t>IJ</t>
        </is>
      </c>
      <c r="K2204" s="8" t="inlineStr"/>
      <c r="L2204" s="10">
        <f>IFERROR(IF(F2204&lt;F2203,"NEGATIVE",ROUND(F2204-F2203,2)),"")</f>
        <v/>
      </c>
    </row>
    <row r="2205" ht="22" customHeight="1">
      <c r="B2205" s="5" t="inlineStr">
        <is>
          <t>R02201</t>
        </is>
      </c>
      <c r="C2205" s="5" t="inlineStr">
        <is>
          <t>MTR-WSH-002</t>
        </is>
      </c>
      <c r="D2205" s="5" t="inlineStr">
        <is>
          <t>Washing Hall</t>
        </is>
      </c>
      <c r="E2205" s="5" t="inlineStr">
        <is>
          <t>Washing Machine 3</t>
        </is>
      </c>
      <c r="F2205" s="5" t="inlineStr">
        <is>
          <t>2024-12-13 08:00</t>
        </is>
      </c>
      <c r="G2205" s="11" t="n">
        <v>98301.27</v>
      </c>
      <c r="H2205" s="5" t="inlineStr">
        <is>
          <t>m3</t>
        </is>
      </c>
      <c r="I2205" s="5" t="inlineStr">
        <is>
          <t>cumulative</t>
        </is>
      </c>
      <c r="J2205" s="5" t="inlineStr">
        <is>
          <t>KL</t>
        </is>
      </c>
      <c r="K2205" s="5" t="inlineStr"/>
      <c r="L2205" s="7">
        <f>IFERROR(IF(F2205&lt;F2204,"NEGATIVE",ROUND(F2205-F2204,2)),"")</f>
        <v/>
      </c>
    </row>
    <row r="2206" ht="22" customHeight="1">
      <c r="B2206" s="8" t="inlineStr">
        <is>
          <t>R02202</t>
        </is>
      </c>
      <c r="C2206" s="8" t="inlineStr">
        <is>
          <t>MTR-WSH-002</t>
        </is>
      </c>
      <c r="D2206" s="8" t="inlineStr">
        <is>
          <t>Washing Hall</t>
        </is>
      </c>
      <c r="E2206" s="8" t="inlineStr">
        <is>
          <t>Washing Machine 3</t>
        </is>
      </c>
      <c r="F2206" s="8" t="inlineStr">
        <is>
          <t>2024-12-14 08:00</t>
        </is>
      </c>
      <c r="G2206" s="12" t="n">
        <v>98328.35000000001</v>
      </c>
      <c r="H2206" s="8" t="inlineStr">
        <is>
          <t>m3</t>
        </is>
      </c>
      <c r="I2206" s="8" t="inlineStr">
        <is>
          <t>cumulative</t>
        </is>
      </c>
      <c r="J2206" s="8" t="inlineStr">
        <is>
          <t>GH</t>
        </is>
      </c>
      <c r="K2206" s="8" t="inlineStr"/>
      <c r="L2206" s="10">
        <f>IFERROR(IF(F2206&lt;F2205,"NEGATIVE",ROUND(F2206-F2205,2)),"")</f>
        <v/>
      </c>
    </row>
    <row r="2207" ht="22" customHeight="1">
      <c r="B2207" s="5" t="inlineStr">
        <is>
          <t>R02203</t>
        </is>
      </c>
      <c r="C2207" s="5" t="inlineStr">
        <is>
          <t>MTR-WSH-002</t>
        </is>
      </c>
      <c r="D2207" s="5" t="inlineStr">
        <is>
          <t>Washing Hall</t>
        </is>
      </c>
      <c r="E2207" s="5" t="inlineStr">
        <is>
          <t>Washing Machine 3</t>
        </is>
      </c>
      <c r="F2207" s="5" t="inlineStr">
        <is>
          <t>2024-12-15 08:00</t>
        </is>
      </c>
      <c r="G2207" s="11" t="n">
        <v>98343.75</v>
      </c>
      <c r="H2207" s="5" t="inlineStr">
        <is>
          <t>m3</t>
        </is>
      </c>
      <c r="I2207" s="5" t="inlineStr">
        <is>
          <t>cumulative</t>
        </is>
      </c>
      <c r="J2207" s="5" t="inlineStr">
        <is>
          <t>CD</t>
        </is>
      </c>
      <c r="K2207" s="5" t="inlineStr"/>
      <c r="L2207" s="7">
        <f>IFERROR(IF(F2207&lt;F2206,"NEGATIVE",ROUND(F2207-F2206,2)),"")</f>
        <v/>
      </c>
    </row>
    <row r="2208" ht="22" customHeight="1">
      <c r="B2208" s="8" t="inlineStr">
        <is>
          <t>R02204</t>
        </is>
      </c>
      <c r="C2208" s="8" t="inlineStr">
        <is>
          <t>MTR-WSH-002</t>
        </is>
      </c>
      <c r="D2208" s="8" t="inlineStr">
        <is>
          <t>Washing Hall</t>
        </is>
      </c>
      <c r="E2208" s="8" t="inlineStr">
        <is>
          <t>Washing Machine 3</t>
        </is>
      </c>
      <c r="F2208" s="8" t="inlineStr">
        <is>
          <t>2024-12-16 08:00</t>
        </is>
      </c>
      <c r="G2208" s="12" t="n">
        <v>98375.42999999999</v>
      </c>
      <c r="H2208" s="8" t="inlineStr">
        <is>
          <t>m3</t>
        </is>
      </c>
      <c r="I2208" s="8" t="inlineStr">
        <is>
          <t>cumulative</t>
        </is>
      </c>
      <c r="J2208" s="8" t="inlineStr">
        <is>
          <t>AB</t>
        </is>
      </c>
      <c r="K2208" s="8" t="inlineStr"/>
      <c r="L2208" s="10">
        <f>IFERROR(IF(F2208&lt;F2207,"NEGATIVE",ROUND(F2208-F2207,2)),"")</f>
        <v/>
      </c>
    </row>
    <row r="2209" ht="22" customHeight="1">
      <c r="B2209" s="5" t="inlineStr">
        <is>
          <t>R02205</t>
        </is>
      </c>
      <c r="C2209" s="5" t="inlineStr">
        <is>
          <t>MTR-WSH-002</t>
        </is>
      </c>
      <c r="D2209" s="5" t="inlineStr">
        <is>
          <t>Washing Hall</t>
        </is>
      </c>
      <c r="E2209" s="5" t="inlineStr">
        <is>
          <t>Washing Machine 3</t>
        </is>
      </c>
      <c r="F2209" s="5" t="inlineStr">
        <is>
          <t>2024-12-17 08:00</t>
        </is>
      </c>
      <c r="G2209" s="11" t="n">
        <v>98406.28</v>
      </c>
      <c r="H2209" s="5" t="inlineStr">
        <is>
          <t>m3</t>
        </is>
      </c>
      <c r="I2209" s="5" t="inlineStr">
        <is>
          <t>cumulative</t>
        </is>
      </c>
      <c r="J2209" s="5" t="inlineStr">
        <is>
          <t>KL</t>
        </is>
      </c>
      <c r="K2209" s="5" t="inlineStr"/>
      <c r="L2209" s="7">
        <f>IFERROR(IF(F2209&lt;F2208,"NEGATIVE",ROUND(F2209-F2208,2)),"")</f>
        <v/>
      </c>
    </row>
    <row r="2210" ht="22" customHeight="1">
      <c r="B2210" s="8" t="inlineStr">
        <is>
          <t>R02206</t>
        </is>
      </c>
      <c r="C2210" s="8" t="inlineStr">
        <is>
          <t>MTR-WSH-002</t>
        </is>
      </c>
      <c r="D2210" s="8" t="inlineStr">
        <is>
          <t>Washing Hall</t>
        </is>
      </c>
      <c r="E2210" s="8" t="inlineStr">
        <is>
          <t>Washing Machine 3</t>
        </is>
      </c>
      <c r="F2210" s="8" t="inlineStr">
        <is>
          <t>2024-12-18 08:00</t>
        </is>
      </c>
      <c r="G2210" s="12" t="n">
        <v>98437.99000000001</v>
      </c>
      <c r="H2210" s="8" t="inlineStr">
        <is>
          <t>m3</t>
        </is>
      </c>
      <c r="I2210" s="8" t="inlineStr">
        <is>
          <t>cumulative</t>
        </is>
      </c>
      <c r="J2210" s="8" t="inlineStr">
        <is>
          <t>KL</t>
        </is>
      </c>
      <c r="K2210" s="8" t="inlineStr"/>
      <c r="L2210" s="10">
        <f>IFERROR(IF(F2210&lt;F2209,"NEGATIVE",ROUND(F2210-F2209,2)),"")</f>
        <v/>
      </c>
    </row>
    <row r="2211" ht="22" customHeight="1">
      <c r="B2211" s="5" t="inlineStr">
        <is>
          <t>R02207</t>
        </is>
      </c>
      <c r="C2211" s="5" t="inlineStr">
        <is>
          <t>MTR-WSH-002</t>
        </is>
      </c>
      <c r="D2211" s="5" t="inlineStr">
        <is>
          <t>Washing Hall</t>
        </is>
      </c>
      <c r="E2211" s="5" t="inlineStr">
        <is>
          <t>Washing Machine 3</t>
        </is>
      </c>
      <c r="F2211" s="5" t="inlineStr">
        <is>
          <t>2024-12-19 08:00</t>
        </is>
      </c>
      <c r="G2211" s="11" t="n">
        <v>98470.11</v>
      </c>
      <c r="H2211" s="5" t="inlineStr">
        <is>
          <t>m3</t>
        </is>
      </c>
      <c r="I2211" s="5" t="inlineStr">
        <is>
          <t>cumulative</t>
        </is>
      </c>
      <c r="J2211" s="5" t="inlineStr">
        <is>
          <t>AB</t>
        </is>
      </c>
      <c r="K2211" s="5" t="inlineStr"/>
      <c r="L2211" s="7">
        <f>IFERROR(IF(F2211&lt;F2210,"NEGATIVE",ROUND(F2211-F2210,2)),"")</f>
        <v/>
      </c>
    </row>
    <row r="2212" ht="22" customHeight="1">
      <c r="B2212" s="8" t="inlineStr">
        <is>
          <t>R02208</t>
        </is>
      </c>
      <c r="C2212" s="8" t="inlineStr">
        <is>
          <t>MTR-WSH-002</t>
        </is>
      </c>
      <c r="D2212" s="8" t="inlineStr">
        <is>
          <t>Washing Hall</t>
        </is>
      </c>
      <c r="E2212" s="8" t="inlineStr">
        <is>
          <t>Washing Machine 3</t>
        </is>
      </c>
      <c r="F2212" s="8" t="inlineStr">
        <is>
          <t>2024-12-20 08:00</t>
        </is>
      </c>
      <c r="G2212" s="12" t="n">
        <v>98504.3</v>
      </c>
      <c r="H2212" s="8" t="inlineStr">
        <is>
          <t>m3</t>
        </is>
      </c>
      <c r="I2212" s="8" t="inlineStr">
        <is>
          <t>cumulative</t>
        </is>
      </c>
      <c r="J2212" s="8" t="inlineStr">
        <is>
          <t>GH</t>
        </is>
      </c>
      <c r="K2212" s="8" t="inlineStr"/>
      <c r="L2212" s="10">
        <f>IFERROR(IF(F2212&lt;F2211,"NEGATIVE",ROUND(F2212-F2211,2)),"")</f>
        <v/>
      </c>
    </row>
    <row r="2213" ht="22" customHeight="1">
      <c r="B2213" s="5" t="inlineStr">
        <is>
          <t>R02209</t>
        </is>
      </c>
      <c r="C2213" s="5" t="inlineStr">
        <is>
          <t>MTR-WSH-002</t>
        </is>
      </c>
      <c r="D2213" s="5" t="inlineStr">
        <is>
          <t>Washing Hall</t>
        </is>
      </c>
      <c r="E2213" s="5" t="inlineStr">
        <is>
          <t>Washing Machine 3</t>
        </is>
      </c>
      <c r="F2213" s="5" t="inlineStr">
        <is>
          <t>2024-12-21 08:00</t>
        </is>
      </c>
      <c r="G2213" s="11" t="n">
        <v>98528.5</v>
      </c>
      <c r="H2213" s="5" t="inlineStr">
        <is>
          <t>m3</t>
        </is>
      </c>
      <c r="I2213" s="5" t="inlineStr">
        <is>
          <t>cumulative</t>
        </is>
      </c>
      <c r="J2213" s="5" t="inlineStr">
        <is>
          <t>IJ</t>
        </is>
      </c>
      <c r="K2213" s="5" t="inlineStr"/>
      <c r="L2213" s="7">
        <f>IFERROR(IF(F2213&lt;F2212,"NEGATIVE",ROUND(F2213-F2212,2)),"")</f>
        <v/>
      </c>
    </row>
    <row r="2214" ht="22" customHeight="1">
      <c r="B2214" s="8" t="inlineStr">
        <is>
          <t>R02210</t>
        </is>
      </c>
      <c r="C2214" s="8" t="inlineStr">
        <is>
          <t>MTR-WSH-002</t>
        </is>
      </c>
      <c r="D2214" s="8" t="inlineStr">
        <is>
          <t>Washing Hall</t>
        </is>
      </c>
      <c r="E2214" s="8" t="inlineStr">
        <is>
          <t>Washing Machine 3</t>
        </is>
      </c>
      <c r="F2214" s="8" t="inlineStr">
        <is>
          <t>2024-12-22 08:00</t>
        </is>
      </c>
      <c r="G2214" s="12" t="n">
        <v>98546.38</v>
      </c>
      <c r="H2214" s="8" t="inlineStr">
        <is>
          <t>m3</t>
        </is>
      </c>
      <c r="I2214" s="8" t="inlineStr">
        <is>
          <t>cumulative</t>
        </is>
      </c>
      <c r="J2214" s="8" t="inlineStr">
        <is>
          <t>CD</t>
        </is>
      </c>
      <c r="K2214" s="8" t="inlineStr"/>
      <c r="L2214" s="10">
        <f>IFERROR(IF(F2214&lt;F2213,"NEGATIVE",ROUND(F2214-F2213,2)),"")</f>
        <v/>
      </c>
    </row>
    <row r="2215" ht="22" customHeight="1">
      <c r="B2215" s="5" t="inlineStr">
        <is>
          <t>R02211</t>
        </is>
      </c>
      <c r="C2215" s="5" t="inlineStr">
        <is>
          <t>MTR-WSH-002</t>
        </is>
      </c>
      <c r="D2215" s="5" t="inlineStr">
        <is>
          <t>Washing Hall</t>
        </is>
      </c>
      <c r="E2215" s="5" t="inlineStr">
        <is>
          <t>Washing Machine 3</t>
        </is>
      </c>
      <c r="F2215" s="5" t="inlineStr">
        <is>
          <t>2024-12-23 08:00</t>
        </is>
      </c>
      <c r="G2215" s="11" t="n">
        <v>98575.92</v>
      </c>
      <c r="H2215" s="5" t="inlineStr">
        <is>
          <t>m3</t>
        </is>
      </c>
      <c r="I2215" s="5" t="inlineStr">
        <is>
          <t>cumulative</t>
        </is>
      </c>
      <c r="J2215" s="5" t="inlineStr">
        <is>
          <t>IJ</t>
        </is>
      </c>
      <c r="K2215" s="5" t="inlineStr"/>
      <c r="L2215" s="7">
        <f>IFERROR(IF(F2215&lt;F2214,"NEGATIVE",ROUND(F2215-F2214,2)),"")</f>
        <v/>
      </c>
    </row>
    <row r="2216" ht="22" customHeight="1">
      <c r="B2216" s="8" t="inlineStr">
        <is>
          <t>R02212</t>
        </is>
      </c>
      <c r="C2216" s="8" t="inlineStr">
        <is>
          <t>MTR-WSH-002</t>
        </is>
      </c>
      <c r="D2216" s="8" t="inlineStr">
        <is>
          <t>Washing Hall</t>
        </is>
      </c>
      <c r="E2216" s="8" t="inlineStr">
        <is>
          <t>Washing Machine 3</t>
        </is>
      </c>
      <c r="F2216" s="8" t="inlineStr">
        <is>
          <t>2024-12-24 08:00</t>
        </is>
      </c>
      <c r="G2216" s="12" t="n">
        <v>98609.71000000001</v>
      </c>
      <c r="H2216" s="8" t="inlineStr">
        <is>
          <t>m3</t>
        </is>
      </c>
      <c r="I2216" s="8" t="inlineStr">
        <is>
          <t>cumulative</t>
        </is>
      </c>
      <c r="J2216" s="8" t="inlineStr">
        <is>
          <t>IJ</t>
        </is>
      </c>
      <c r="K2216" s="8" t="inlineStr"/>
      <c r="L2216" s="10">
        <f>IFERROR(IF(F2216&lt;F2215,"NEGATIVE",ROUND(F2216-F2215,2)),"")</f>
        <v/>
      </c>
    </row>
    <row r="2217" ht="22" customHeight="1">
      <c r="B2217" s="5" t="inlineStr">
        <is>
          <t>R02213</t>
        </is>
      </c>
      <c r="C2217" s="5" t="inlineStr">
        <is>
          <t>MTR-WSH-002</t>
        </is>
      </c>
      <c r="D2217" s="5" t="inlineStr">
        <is>
          <t>Washing Hall</t>
        </is>
      </c>
      <c r="E2217" s="5" t="inlineStr">
        <is>
          <t>Washing Machine 3</t>
        </is>
      </c>
      <c r="F2217" s="5" t="inlineStr">
        <is>
          <t>2024-12-25 08:00</t>
        </is>
      </c>
      <c r="G2217" s="11" t="n">
        <v>98638.09</v>
      </c>
      <c r="H2217" s="5" t="inlineStr">
        <is>
          <t>m3</t>
        </is>
      </c>
      <c r="I2217" s="5" t="inlineStr">
        <is>
          <t>cumulative</t>
        </is>
      </c>
      <c r="J2217" s="5" t="inlineStr">
        <is>
          <t>EF</t>
        </is>
      </c>
      <c r="K2217" s="5" t="inlineStr"/>
      <c r="L2217" s="7">
        <f>IFERROR(IF(F2217&lt;F2216,"NEGATIVE",ROUND(F2217-F2216,2)),"")</f>
        <v/>
      </c>
    </row>
    <row r="2218" ht="22" customHeight="1">
      <c r="B2218" s="8" t="inlineStr">
        <is>
          <t>R02214</t>
        </is>
      </c>
      <c r="C2218" s="8" t="inlineStr">
        <is>
          <t>MTR-WSH-002</t>
        </is>
      </c>
      <c r="D2218" s="8" t="inlineStr">
        <is>
          <t>Washing Hall</t>
        </is>
      </c>
      <c r="E2218" s="8" t="inlineStr">
        <is>
          <t>Washing Machine 3</t>
        </is>
      </c>
      <c r="F2218" s="8" t="inlineStr">
        <is>
          <t>2024-12-26 08:00</t>
        </is>
      </c>
      <c r="G2218" s="12" t="n">
        <v>98664.88</v>
      </c>
      <c r="H2218" s="8" t="inlineStr">
        <is>
          <t>m3</t>
        </is>
      </c>
      <c r="I2218" s="8" t="inlineStr">
        <is>
          <t>cumulative</t>
        </is>
      </c>
      <c r="J2218" s="8" t="inlineStr">
        <is>
          <t>EF</t>
        </is>
      </c>
      <c r="K2218" s="8" t="inlineStr"/>
      <c r="L2218" s="10">
        <f>IFERROR(IF(F2218&lt;F2217,"NEGATIVE",ROUND(F2218-F2217,2)),"")</f>
        <v/>
      </c>
    </row>
    <row r="2219" ht="22" customHeight="1">
      <c r="B2219" s="5" t="inlineStr">
        <is>
          <t>R02215</t>
        </is>
      </c>
      <c r="C2219" s="5" t="inlineStr">
        <is>
          <t>MTR-WSH-002</t>
        </is>
      </c>
      <c r="D2219" s="5" t="inlineStr">
        <is>
          <t>Washing Hall</t>
        </is>
      </c>
      <c r="E2219" s="5" t="inlineStr">
        <is>
          <t>Washing Machine 3</t>
        </is>
      </c>
      <c r="F2219" s="5" t="inlineStr">
        <is>
          <t>2024-12-27 08:00</t>
        </is>
      </c>
      <c r="G2219" s="11" t="n">
        <v>98697.96000000001</v>
      </c>
      <c r="H2219" s="5" t="inlineStr">
        <is>
          <t>m3</t>
        </is>
      </c>
      <c r="I2219" s="5" t="inlineStr">
        <is>
          <t>cumulative</t>
        </is>
      </c>
      <c r="J2219" s="5" t="inlineStr">
        <is>
          <t>IJ</t>
        </is>
      </c>
      <c r="K2219" s="5" t="inlineStr"/>
      <c r="L2219" s="7">
        <f>IFERROR(IF(F2219&lt;F2218,"NEGATIVE",ROUND(F2219-F2218,2)),"")</f>
        <v/>
      </c>
    </row>
    <row r="2220" ht="22" customHeight="1">
      <c r="B2220" s="8" t="inlineStr">
        <is>
          <t>R02216</t>
        </is>
      </c>
      <c r="C2220" s="8" t="inlineStr">
        <is>
          <t>MTR-WSH-002</t>
        </is>
      </c>
      <c r="D2220" s="8" t="inlineStr">
        <is>
          <t>Washing Hall</t>
        </is>
      </c>
      <c r="E2220" s="8" t="inlineStr">
        <is>
          <t>Washing Machine 3</t>
        </is>
      </c>
      <c r="F2220" s="8" t="inlineStr">
        <is>
          <t>2024-12-28 08:00</t>
        </is>
      </c>
      <c r="G2220" s="12" t="n">
        <v>98720.64</v>
      </c>
      <c r="H2220" s="8" t="inlineStr">
        <is>
          <t>m3</t>
        </is>
      </c>
      <c r="I2220" s="8" t="inlineStr">
        <is>
          <t>cumulative</t>
        </is>
      </c>
      <c r="J2220" s="8" t="inlineStr">
        <is>
          <t>AB</t>
        </is>
      </c>
      <c r="K2220" s="8" t="inlineStr"/>
      <c r="L2220" s="10">
        <f>IFERROR(IF(F2220&lt;F2219,"NEGATIVE",ROUND(F2220-F2219,2)),"")</f>
        <v/>
      </c>
    </row>
    <row r="2221" ht="22" customHeight="1">
      <c r="B2221" s="5" t="inlineStr">
        <is>
          <t>R02217</t>
        </is>
      </c>
      <c r="C2221" s="5" t="inlineStr">
        <is>
          <t>MTR-WSH-002</t>
        </is>
      </c>
      <c r="D2221" s="5" t="inlineStr">
        <is>
          <t>Washing Hall</t>
        </is>
      </c>
      <c r="E2221" s="5" t="inlineStr">
        <is>
          <t>Washing Machine 3</t>
        </is>
      </c>
      <c r="F2221" s="5" t="inlineStr">
        <is>
          <t>2024-12-29 08:00</t>
        </is>
      </c>
      <c r="G2221" s="11" t="n">
        <v>98737.66</v>
      </c>
      <c r="H2221" s="5" t="inlineStr">
        <is>
          <t>m3</t>
        </is>
      </c>
      <c r="I2221" s="5" t="inlineStr">
        <is>
          <t>cumulative</t>
        </is>
      </c>
      <c r="J2221" s="5" t="inlineStr">
        <is>
          <t>IJ</t>
        </is>
      </c>
      <c r="K2221" s="5" t="inlineStr"/>
      <c r="L2221" s="7">
        <f>IFERROR(IF(F2221&lt;F2220,"NEGATIVE",ROUND(F2221-F2220,2)),"")</f>
        <v/>
      </c>
    </row>
    <row r="2222" ht="22" customHeight="1">
      <c r="B2222" s="8" t="inlineStr">
        <is>
          <t>R02218</t>
        </is>
      </c>
      <c r="C2222" s="8" t="inlineStr">
        <is>
          <t>MTR-WSH-002</t>
        </is>
      </c>
      <c r="D2222" s="8" t="inlineStr">
        <is>
          <t>Washing Hall</t>
        </is>
      </c>
      <c r="E2222" s="8" t="inlineStr">
        <is>
          <t>Washing Machine 3</t>
        </is>
      </c>
      <c r="F2222" s="8" t="inlineStr">
        <is>
          <t>2024-12-30 08:00</t>
        </is>
      </c>
      <c r="G2222" s="12" t="n">
        <v>98766.24000000001</v>
      </c>
      <c r="H2222" s="8" t="inlineStr">
        <is>
          <t>m3</t>
        </is>
      </c>
      <c r="I2222" s="8" t="inlineStr">
        <is>
          <t>cumulative</t>
        </is>
      </c>
      <c r="J2222" s="8" t="inlineStr">
        <is>
          <t>IJ</t>
        </is>
      </c>
      <c r="K2222" s="8" t="inlineStr"/>
      <c r="L2222" s="10">
        <f>IFERROR(IF(F2222&lt;F2221,"NEGATIVE",ROUND(F2222-F2221,2)),"")</f>
        <v/>
      </c>
    </row>
    <row r="2223" ht="22" customHeight="1">
      <c r="B2223" s="5" t="inlineStr">
        <is>
          <t>R02219</t>
        </is>
      </c>
      <c r="C2223" s="5" t="inlineStr">
        <is>
          <t>MTR-WSH-002</t>
        </is>
      </c>
      <c r="D2223" s="5" t="inlineStr">
        <is>
          <t>Washing Hall</t>
        </is>
      </c>
      <c r="E2223" s="5" t="inlineStr">
        <is>
          <t>Washing Machine 3</t>
        </is>
      </c>
      <c r="F2223" s="5" t="inlineStr">
        <is>
          <t>2024-12-31 08:00</t>
        </is>
      </c>
      <c r="G2223" s="11" t="n">
        <v>98795.32000000001</v>
      </c>
      <c r="H2223" s="5" t="inlineStr">
        <is>
          <t>m3</t>
        </is>
      </c>
      <c r="I2223" s="5" t="inlineStr">
        <is>
          <t>cumulative</t>
        </is>
      </c>
      <c r="J2223" s="5" t="inlineStr">
        <is>
          <t>IJ</t>
        </is>
      </c>
      <c r="K2223" s="5" t="inlineStr"/>
      <c r="L2223" s="7">
        <f>IFERROR(IF(F2223&lt;F2222,"NEGATIVE",ROUND(F2223-F2222,2)),"")</f>
        <v/>
      </c>
    </row>
  </sheetData>
  <mergeCells count="1">
    <mergeCell ref="B2:K2"/>
  </mergeCells>
  <conditionalFormatting sqref="L5:L2223">
    <cfRule type="expression" priority="1" dxfId="0">
      <formula>L5="NEGATIVE"</formula>
    </cfRule>
  </conditionalFormatting>
  <conditionalFormatting sqref="G5:G2223">
    <cfRule type="dataBar" priority="2">
      <dataBar showValue="1">
        <cfvo type="min"/>
        <cfvo type="max"/>
        <color rgb="001B2A4A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19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2" customWidth="1" min="3" max="3"/>
    <col width="9" customWidth="1" min="4" max="4"/>
    <col width="8" customWidth="1" min="5" max="5"/>
    <col width="23" customWidth="1" min="6" max="6"/>
    <col width="24" customWidth="1" min="7" max="7"/>
    <col width="24" customWidth="1" min="8" max="8"/>
  </cols>
  <sheetData>
    <row r="1" ht="15" customHeight="1"/>
    <row r="2" ht="32" customHeight="1">
      <c r="B2" s="1" t="inlineStr">
        <is>
          <t>Daily Consumption Summary by Meter</t>
        </is>
      </c>
    </row>
    <row r="3" ht="8" customHeight="1"/>
    <row r="4" ht="28" customHeight="1">
      <c r="B4" s="4" t="inlineStr">
        <is>
          <t>Meter ID</t>
        </is>
      </c>
      <c r="C4" s="4" t="inlineStr">
        <is>
          <t>Date</t>
        </is>
      </c>
      <c r="D4" s="4" t="inlineStr">
        <is>
          <t>Daily Consumption (m3)</t>
        </is>
      </c>
      <c r="E4" s="4" t="inlineStr">
        <is>
          <t>Target (m3)</t>
        </is>
      </c>
      <c r="F4" s="4" t="inlineStr">
        <is>
          <t>Variance (m3)</t>
        </is>
      </c>
      <c r="G4" s="4" t="inlineStr">
        <is>
          <t>Variance %</t>
        </is>
      </c>
      <c r="H4" s="4" t="inlineStr">
        <is>
          <t>Status</t>
        </is>
      </c>
    </row>
    <row r="5" ht="22" customHeight="1">
      <c r="B5" s="5" t="inlineStr">
        <is>
          <t>MTR-BLR-003</t>
        </is>
      </c>
      <c r="C5" s="5" t="inlineStr">
        <is>
          <t>2024-01-02</t>
        </is>
      </c>
      <c r="D5" s="11" t="n">
        <v>16.22</v>
      </c>
      <c r="E5" s="11" t="n">
        <v>20</v>
      </c>
      <c r="F5" s="11">
        <f>ROUND(D5-E5,2)</f>
        <v/>
      </c>
      <c r="G5" s="13">
        <f>IFERROR(ROUND(F5/E5,4),"")</f>
        <v/>
      </c>
      <c r="H5" s="14">
        <f>IF(D5=0,"NO DATA",IF(D5&gt;E5*1.5,"OVER",IF(D5&gt;E5*1.1,"HIGH",IF(D5&lt;E5*0.5,"LOW","OK"))))</f>
        <v/>
      </c>
    </row>
    <row r="6" ht="22" customHeight="1">
      <c r="B6" s="8" t="inlineStr">
        <is>
          <t>MTR-BLR-003</t>
        </is>
      </c>
      <c r="C6" s="8" t="inlineStr">
        <is>
          <t>2024-01-03</t>
        </is>
      </c>
      <c r="D6" s="12" t="n">
        <v>20.02</v>
      </c>
      <c r="E6" s="12" t="n">
        <v>20</v>
      </c>
      <c r="F6" s="12">
        <f>ROUND(D6-E6,2)</f>
        <v/>
      </c>
      <c r="G6" s="15">
        <f>IFERROR(ROUND(F6/E6,4),"")</f>
        <v/>
      </c>
      <c r="H6" s="16">
        <f>IF(D6=0,"NO DATA",IF(D6&gt;E6*1.5,"OVER",IF(D6&gt;E6*1.1,"HIGH",IF(D6&lt;E6*0.5,"LOW","OK"))))</f>
        <v/>
      </c>
    </row>
    <row r="7" ht="22" customHeight="1">
      <c r="B7" s="5" t="inlineStr">
        <is>
          <t>MTR-BLR-003</t>
        </is>
      </c>
      <c r="C7" s="5" t="inlineStr">
        <is>
          <t>2024-01-04</t>
        </is>
      </c>
      <c r="D7" s="11" t="n">
        <v>20.2</v>
      </c>
      <c r="E7" s="11" t="n">
        <v>20</v>
      </c>
      <c r="F7" s="11">
        <f>ROUND(D7-E7,2)</f>
        <v/>
      </c>
      <c r="G7" s="13">
        <f>IFERROR(ROUND(F7/E7,4),"")</f>
        <v/>
      </c>
      <c r="H7" s="14">
        <f>IF(D7=0,"NO DATA",IF(D7&gt;E7*1.5,"OVER",IF(D7&gt;E7*1.1,"HIGH",IF(D7&lt;E7*0.5,"LOW","OK"))))</f>
        <v/>
      </c>
    </row>
    <row r="8" ht="22" customHeight="1">
      <c r="B8" s="8" t="inlineStr">
        <is>
          <t>MTR-BLR-003</t>
        </is>
      </c>
      <c r="C8" s="8" t="inlineStr">
        <is>
          <t>2024-01-05</t>
        </is>
      </c>
      <c r="D8" s="12" t="n">
        <v>16.46</v>
      </c>
      <c r="E8" s="12" t="n">
        <v>20</v>
      </c>
      <c r="F8" s="12">
        <f>ROUND(D8-E8,2)</f>
        <v/>
      </c>
      <c r="G8" s="15">
        <f>IFERROR(ROUND(F8/E8,4),"")</f>
        <v/>
      </c>
      <c r="H8" s="16">
        <f>IF(D8=0,"NO DATA",IF(D8&gt;E8*1.5,"OVER",IF(D8&gt;E8*1.1,"HIGH",IF(D8&lt;E8*0.5,"LOW","OK"))))</f>
        <v/>
      </c>
    </row>
    <row r="9" ht="22" customHeight="1">
      <c r="B9" s="5" t="inlineStr">
        <is>
          <t>MTR-BLR-003</t>
        </is>
      </c>
      <c r="C9" s="5" t="inlineStr">
        <is>
          <t>2024-01-06</t>
        </is>
      </c>
      <c r="D9" s="11" t="n">
        <v>14.7</v>
      </c>
      <c r="E9" s="11" t="n">
        <v>20</v>
      </c>
      <c r="F9" s="11">
        <f>ROUND(D9-E9,2)</f>
        <v/>
      </c>
      <c r="G9" s="13">
        <f>IFERROR(ROUND(F9/E9,4),"")</f>
        <v/>
      </c>
      <c r="H9" s="14">
        <f>IF(D9=0,"NO DATA",IF(D9&gt;E9*1.5,"OVER",IF(D9&gt;E9*1.1,"HIGH",IF(D9&lt;E9*0.5,"LOW","OK"))))</f>
        <v/>
      </c>
    </row>
    <row r="10" ht="22" customHeight="1">
      <c r="B10" s="8" t="inlineStr">
        <is>
          <t>MTR-BLR-003</t>
        </is>
      </c>
      <c r="C10" s="8" t="inlineStr">
        <is>
          <t>2024-01-07</t>
        </is>
      </c>
      <c r="D10" s="12" t="n">
        <v>9.539999999999999</v>
      </c>
      <c r="E10" s="12" t="n">
        <v>20</v>
      </c>
      <c r="F10" s="12">
        <f>ROUND(D10-E10,2)</f>
        <v/>
      </c>
      <c r="G10" s="15">
        <f>IFERROR(ROUND(F10/E10,4),"")</f>
        <v/>
      </c>
      <c r="H10" s="16">
        <f>IF(D10=0,"NO DATA",IF(D10&gt;E10*1.5,"OVER",IF(D10&gt;E10*1.1,"HIGH",IF(D10&lt;E10*0.5,"LOW","OK"))))</f>
        <v/>
      </c>
    </row>
    <row r="11" ht="22" customHeight="1">
      <c r="B11" s="5" t="inlineStr">
        <is>
          <t>MTR-BLR-003</t>
        </is>
      </c>
      <c r="C11" s="5" t="inlineStr">
        <is>
          <t>2024-01-08</t>
        </is>
      </c>
      <c r="D11" s="11" t="n">
        <v>21.24</v>
      </c>
      <c r="E11" s="11" t="n">
        <v>20</v>
      </c>
      <c r="F11" s="11">
        <f>ROUND(D11-E11,2)</f>
        <v/>
      </c>
      <c r="G11" s="13">
        <f>IFERROR(ROUND(F11/E11,4),"")</f>
        <v/>
      </c>
      <c r="H11" s="14">
        <f>IF(D11=0,"NO DATA",IF(D11&gt;E11*1.5,"OVER",IF(D11&gt;E11*1.1,"HIGH",IF(D11&lt;E11*0.5,"LOW","OK"))))</f>
        <v/>
      </c>
    </row>
    <row r="12" ht="22" customHeight="1">
      <c r="B12" s="8" t="inlineStr">
        <is>
          <t>MTR-BLR-003</t>
        </is>
      </c>
      <c r="C12" s="8" t="inlineStr">
        <is>
          <t>2024-01-09</t>
        </is>
      </c>
      <c r="D12" s="12" t="n">
        <v>19.25</v>
      </c>
      <c r="E12" s="12" t="n">
        <v>20</v>
      </c>
      <c r="F12" s="12">
        <f>ROUND(D12-E12,2)</f>
        <v/>
      </c>
      <c r="G12" s="15">
        <f>IFERROR(ROUND(F12/E12,4),"")</f>
        <v/>
      </c>
      <c r="H12" s="16">
        <f>IF(D12=0,"NO DATA",IF(D12&gt;E12*1.5,"OVER",IF(D12&gt;E12*1.1,"HIGH",IF(D12&lt;E12*0.5,"LOW","OK"))))</f>
        <v/>
      </c>
    </row>
    <row r="13" ht="22" customHeight="1">
      <c r="B13" s="5" t="inlineStr">
        <is>
          <t>MTR-BLR-003</t>
        </is>
      </c>
      <c r="C13" s="5" t="inlineStr">
        <is>
          <t>2024-01-10</t>
        </is>
      </c>
      <c r="D13" s="11" t="n">
        <v>16.93</v>
      </c>
      <c r="E13" s="11" t="n">
        <v>20</v>
      </c>
      <c r="F13" s="11">
        <f>ROUND(D13-E13,2)</f>
        <v/>
      </c>
      <c r="G13" s="13">
        <f>IFERROR(ROUND(F13/E13,4),"")</f>
        <v/>
      </c>
      <c r="H13" s="14">
        <f>IF(D13=0,"NO DATA",IF(D13&gt;E13*1.5,"OVER",IF(D13&gt;E13*1.1,"HIGH",IF(D13&lt;E13*0.5,"LOW","OK"))))</f>
        <v/>
      </c>
    </row>
    <row r="14" ht="22" customHeight="1">
      <c r="B14" s="8" t="inlineStr">
        <is>
          <t>MTR-BLR-003</t>
        </is>
      </c>
      <c r="C14" s="8" t="inlineStr">
        <is>
          <t>2024-01-11</t>
        </is>
      </c>
      <c r="D14" s="12" t="n">
        <v>19.92</v>
      </c>
      <c r="E14" s="12" t="n">
        <v>20</v>
      </c>
      <c r="F14" s="12">
        <f>ROUND(D14-E14,2)</f>
        <v/>
      </c>
      <c r="G14" s="15">
        <f>IFERROR(ROUND(F14/E14,4),"")</f>
        <v/>
      </c>
      <c r="H14" s="16">
        <f>IF(D14=0,"NO DATA",IF(D14&gt;E14*1.5,"OVER",IF(D14&gt;E14*1.1,"HIGH",IF(D14&lt;E14*0.5,"LOW","OK"))))</f>
        <v/>
      </c>
    </row>
    <row r="15" ht="22" customHeight="1">
      <c r="B15" s="5" t="inlineStr">
        <is>
          <t>MTR-BLR-003</t>
        </is>
      </c>
      <c r="C15" s="5" t="inlineStr">
        <is>
          <t>2024-01-12</t>
        </is>
      </c>
      <c r="D15" s="11" t="n">
        <v>21.03</v>
      </c>
      <c r="E15" s="11" t="n">
        <v>20</v>
      </c>
      <c r="F15" s="11">
        <f>ROUND(D15-E15,2)</f>
        <v/>
      </c>
      <c r="G15" s="13">
        <f>IFERROR(ROUND(F15/E15,4),"")</f>
        <v/>
      </c>
      <c r="H15" s="14">
        <f>IF(D15=0,"NO DATA",IF(D15&gt;E15*1.5,"OVER",IF(D15&gt;E15*1.1,"HIGH",IF(D15&lt;E15*0.5,"LOW","OK"))))</f>
        <v/>
      </c>
    </row>
    <row r="16" ht="22" customHeight="1">
      <c r="B16" s="8" t="inlineStr">
        <is>
          <t>MTR-BLR-003</t>
        </is>
      </c>
      <c r="C16" s="8" t="inlineStr">
        <is>
          <t>2024-01-13</t>
        </is>
      </c>
      <c r="D16" s="12" t="n">
        <v>14.72</v>
      </c>
      <c r="E16" s="12" t="n">
        <v>20</v>
      </c>
      <c r="F16" s="12">
        <f>ROUND(D16-E16,2)</f>
        <v/>
      </c>
      <c r="G16" s="15">
        <f>IFERROR(ROUND(F16/E16,4),"")</f>
        <v/>
      </c>
      <c r="H16" s="16">
        <f>IF(D16=0,"NO DATA",IF(D16&gt;E16*1.5,"OVER",IF(D16&gt;E16*1.1,"HIGH",IF(D16&lt;E16*0.5,"LOW","OK"))))</f>
        <v/>
      </c>
    </row>
    <row r="17" ht="22" customHeight="1">
      <c r="B17" s="5" t="inlineStr">
        <is>
          <t>MTR-BLR-003</t>
        </is>
      </c>
      <c r="C17" s="5" t="inlineStr">
        <is>
          <t>2024-01-14</t>
        </is>
      </c>
      <c r="D17" s="11" t="n">
        <v>9.130000000000001</v>
      </c>
      <c r="E17" s="11" t="n">
        <v>20</v>
      </c>
      <c r="F17" s="11">
        <f>ROUND(D17-E17,2)</f>
        <v/>
      </c>
      <c r="G17" s="13">
        <f>IFERROR(ROUND(F17/E17,4),"")</f>
        <v/>
      </c>
      <c r="H17" s="14">
        <f>IF(D17=0,"NO DATA",IF(D17&gt;E17*1.5,"OVER",IF(D17&gt;E17*1.1,"HIGH",IF(D17&lt;E17*0.5,"LOW","OK"))))</f>
        <v/>
      </c>
    </row>
    <row r="18" ht="22" customHeight="1">
      <c r="B18" s="8" t="inlineStr">
        <is>
          <t>MTR-BLR-003</t>
        </is>
      </c>
      <c r="C18" s="8" t="inlineStr">
        <is>
          <t>2024-01-15</t>
        </is>
      </c>
      <c r="D18" s="12" t="n">
        <v>17</v>
      </c>
      <c r="E18" s="12" t="n">
        <v>20</v>
      </c>
      <c r="F18" s="12">
        <f>ROUND(D18-E18,2)</f>
        <v/>
      </c>
      <c r="G18" s="15">
        <f>IFERROR(ROUND(F18/E18,4),"")</f>
        <v/>
      </c>
      <c r="H18" s="16">
        <f>IF(D18=0,"NO DATA",IF(D18&gt;E18*1.5,"OVER",IF(D18&gt;E18*1.1,"HIGH",IF(D18&lt;E18*0.5,"LOW","OK"))))</f>
        <v/>
      </c>
    </row>
    <row r="19" ht="22" customHeight="1">
      <c r="B19" s="5" t="inlineStr">
        <is>
          <t>MTR-BLR-003</t>
        </is>
      </c>
      <c r="C19" s="5" t="inlineStr">
        <is>
          <t>2024-01-16</t>
        </is>
      </c>
      <c r="D19" s="11" t="n">
        <v>19.75</v>
      </c>
      <c r="E19" s="11" t="n">
        <v>20</v>
      </c>
      <c r="F19" s="11">
        <f>ROUND(D19-E19,2)</f>
        <v/>
      </c>
      <c r="G19" s="13">
        <f>IFERROR(ROUND(F19/E19,4),"")</f>
        <v/>
      </c>
      <c r="H19" s="14">
        <f>IF(D19=0,"NO DATA",IF(D19&gt;E19*1.5,"OVER",IF(D19&gt;E19*1.1,"HIGH",IF(D19&lt;E19*0.5,"LOW","OK"))))</f>
        <v/>
      </c>
    </row>
    <row r="20" ht="22" customHeight="1">
      <c r="B20" s="8" t="inlineStr">
        <is>
          <t>MTR-BLR-003</t>
        </is>
      </c>
      <c r="C20" s="8" t="inlineStr">
        <is>
          <t>2024-01-17</t>
        </is>
      </c>
      <c r="D20" s="12" t="n">
        <v>16.47</v>
      </c>
      <c r="E20" s="12" t="n">
        <v>20</v>
      </c>
      <c r="F20" s="12">
        <f>ROUND(D20-E20,2)</f>
        <v/>
      </c>
      <c r="G20" s="15">
        <f>IFERROR(ROUND(F20/E20,4),"")</f>
        <v/>
      </c>
      <c r="H20" s="16">
        <f>IF(D20=0,"NO DATA",IF(D20&gt;E20*1.5,"OVER",IF(D20&gt;E20*1.1,"HIGH",IF(D20&lt;E20*0.5,"LOW","OK"))))</f>
        <v/>
      </c>
    </row>
    <row r="21" ht="22" customHeight="1">
      <c r="B21" s="5" t="inlineStr">
        <is>
          <t>MTR-BLR-003</t>
        </is>
      </c>
      <c r="C21" s="5" t="inlineStr">
        <is>
          <t>2024-01-18</t>
        </is>
      </c>
      <c r="D21" s="11" t="n">
        <v>20.17</v>
      </c>
      <c r="E21" s="11" t="n">
        <v>20</v>
      </c>
      <c r="F21" s="11">
        <f>ROUND(D21-E21,2)</f>
        <v/>
      </c>
      <c r="G21" s="13">
        <f>IFERROR(ROUND(F21/E21,4),"")</f>
        <v/>
      </c>
      <c r="H21" s="14">
        <f>IF(D21=0,"NO DATA",IF(D21&gt;E21*1.5,"OVER",IF(D21&gt;E21*1.1,"HIGH",IF(D21&lt;E21*0.5,"LOW","OK"))))</f>
        <v/>
      </c>
    </row>
    <row r="22" ht="22" customHeight="1">
      <c r="B22" s="8" t="inlineStr">
        <is>
          <t>MTR-BLR-003</t>
        </is>
      </c>
      <c r="C22" s="8" t="inlineStr">
        <is>
          <t>2024-01-19</t>
        </is>
      </c>
      <c r="D22" s="12" t="n">
        <v>20.96</v>
      </c>
      <c r="E22" s="12" t="n">
        <v>20</v>
      </c>
      <c r="F22" s="12">
        <f>ROUND(D22-E22,2)</f>
        <v/>
      </c>
      <c r="G22" s="15">
        <f>IFERROR(ROUND(F22/E22,4),"")</f>
        <v/>
      </c>
      <c r="H22" s="16">
        <f>IF(D22=0,"NO DATA",IF(D22&gt;E22*1.5,"OVER",IF(D22&gt;E22*1.1,"HIGH",IF(D22&lt;E22*0.5,"LOW","OK"))))</f>
        <v/>
      </c>
    </row>
    <row r="23" ht="22" customHeight="1">
      <c r="B23" s="5" t="inlineStr">
        <is>
          <t>MTR-BLR-003</t>
        </is>
      </c>
      <c r="C23" s="5" t="inlineStr">
        <is>
          <t>2024-01-20</t>
        </is>
      </c>
      <c r="D23" s="11" t="n">
        <v>14.94</v>
      </c>
      <c r="E23" s="11" t="n">
        <v>20</v>
      </c>
      <c r="F23" s="11">
        <f>ROUND(D23-E23,2)</f>
        <v/>
      </c>
      <c r="G23" s="13">
        <f>IFERROR(ROUND(F23/E23,4),"")</f>
        <v/>
      </c>
      <c r="H23" s="14">
        <f>IF(D23=0,"NO DATA",IF(D23&gt;E23*1.5,"OVER",IF(D23&gt;E23*1.1,"HIGH",IF(D23&lt;E23*0.5,"LOW","OK"))))</f>
        <v/>
      </c>
    </row>
    <row r="24" ht="22" customHeight="1">
      <c r="B24" s="8" t="inlineStr">
        <is>
          <t>MTR-BLR-003</t>
        </is>
      </c>
      <c r="C24" s="8" t="inlineStr">
        <is>
          <t>2024-01-21</t>
        </is>
      </c>
      <c r="D24" s="12" t="n">
        <v>8.91</v>
      </c>
      <c r="E24" s="12" t="n">
        <v>20</v>
      </c>
      <c r="F24" s="12">
        <f>ROUND(D24-E24,2)</f>
        <v/>
      </c>
      <c r="G24" s="15">
        <f>IFERROR(ROUND(F24/E24,4),"")</f>
        <v/>
      </c>
      <c r="H24" s="16">
        <f>IF(D24=0,"NO DATA",IF(D24&gt;E24*1.5,"OVER",IF(D24&gt;E24*1.1,"HIGH",IF(D24&lt;E24*0.5,"LOW","OK"))))</f>
        <v/>
      </c>
    </row>
    <row r="25" ht="22" customHeight="1">
      <c r="B25" s="5" t="inlineStr">
        <is>
          <t>MTR-BLR-003</t>
        </is>
      </c>
      <c r="C25" s="5" t="inlineStr">
        <is>
          <t>2024-01-22</t>
        </is>
      </c>
      <c r="D25" s="11" t="n">
        <v>21.49</v>
      </c>
      <c r="E25" s="11" t="n">
        <v>20</v>
      </c>
      <c r="F25" s="11">
        <f>ROUND(D25-E25,2)</f>
        <v/>
      </c>
      <c r="G25" s="13">
        <f>IFERROR(ROUND(F25/E25,4),"")</f>
        <v/>
      </c>
      <c r="H25" s="14">
        <f>IF(D25=0,"NO DATA",IF(D25&gt;E25*1.5,"OVER",IF(D25&gt;E25*1.1,"HIGH",IF(D25&lt;E25*0.5,"LOW","OK"))))</f>
        <v/>
      </c>
    </row>
    <row r="26" ht="22" customHeight="1">
      <c r="B26" s="8" t="inlineStr">
        <is>
          <t>MTR-BLR-003</t>
        </is>
      </c>
      <c r="C26" s="8" t="inlineStr">
        <is>
          <t>2024-01-23</t>
        </is>
      </c>
      <c r="D26" s="12" t="n">
        <v>16.39</v>
      </c>
      <c r="E26" s="12" t="n">
        <v>20</v>
      </c>
      <c r="F26" s="12">
        <f>ROUND(D26-E26,2)</f>
        <v/>
      </c>
      <c r="G26" s="15">
        <f>IFERROR(ROUND(F26/E26,4),"")</f>
        <v/>
      </c>
      <c r="H26" s="16">
        <f>IF(D26=0,"NO DATA",IF(D26&gt;E26*1.5,"OVER",IF(D26&gt;E26*1.1,"HIGH",IF(D26&lt;E26*0.5,"LOW","OK"))))</f>
        <v/>
      </c>
    </row>
    <row r="27" ht="22" customHeight="1">
      <c r="B27" s="5" t="inlineStr">
        <is>
          <t>MTR-BLR-003</t>
        </is>
      </c>
      <c r="C27" s="5" t="inlineStr">
        <is>
          <t>2024-01-24</t>
        </is>
      </c>
      <c r="D27" s="11" t="n">
        <v>18.35</v>
      </c>
      <c r="E27" s="11" t="n">
        <v>20</v>
      </c>
      <c r="F27" s="11">
        <f>ROUND(D27-E27,2)</f>
        <v/>
      </c>
      <c r="G27" s="13">
        <f>IFERROR(ROUND(F27/E27,4),"")</f>
        <v/>
      </c>
      <c r="H27" s="14">
        <f>IF(D27=0,"NO DATA",IF(D27&gt;E27*1.5,"OVER",IF(D27&gt;E27*1.1,"HIGH",IF(D27&lt;E27*0.5,"LOW","OK"))))</f>
        <v/>
      </c>
    </row>
    <row r="28" ht="22" customHeight="1">
      <c r="B28" s="8" t="inlineStr">
        <is>
          <t>MTR-BLR-003</t>
        </is>
      </c>
      <c r="C28" s="8" t="inlineStr">
        <is>
          <t>2024-01-25</t>
        </is>
      </c>
      <c r="D28" s="12" t="n">
        <v>19.86</v>
      </c>
      <c r="E28" s="12" t="n">
        <v>20</v>
      </c>
      <c r="F28" s="12">
        <f>ROUND(D28-E28,2)</f>
        <v/>
      </c>
      <c r="G28" s="15">
        <f>IFERROR(ROUND(F28/E28,4),"")</f>
        <v/>
      </c>
      <c r="H28" s="16">
        <f>IF(D28=0,"NO DATA",IF(D28&gt;E28*1.5,"OVER",IF(D28&gt;E28*1.1,"HIGH",IF(D28&lt;E28*0.5,"LOW","OK"))))</f>
        <v/>
      </c>
    </row>
    <row r="29" ht="22" customHeight="1">
      <c r="B29" s="5" t="inlineStr">
        <is>
          <t>MTR-BLR-003</t>
        </is>
      </c>
      <c r="C29" s="5" t="inlineStr">
        <is>
          <t>2024-01-26</t>
        </is>
      </c>
      <c r="D29" s="11" t="n">
        <v>21.73</v>
      </c>
      <c r="E29" s="11" t="n">
        <v>20</v>
      </c>
      <c r="F29" s="11">
        <f>ROUND(D29-E29,2)</f>
        <v/>
      </c>
      <c r="G29" s="13">
        <f>IFERROR(ROUND(F29/E29,4),"")</f>
        <v/>
      </c>
      <c r="H29" s="14">
        <f>IF(D29=0,"NO DATA",IF(D29&gt;E29*1.5,"OVER",IF(D29&gt;E29*1.1,"HIGH",IF(D29&lt;E29*0.5,"LOW","OK"))))</f>
        <v/>
      </c>
    </row>
    <row r="30" ht="22" customHeight="1">
      <c r="B30" s="8" t="inlineStr">
        <is>
          <t>MTR-BLR-003</t>
        </is>
      </c>
      <c r="C30" s="8" t="inlineStr">
        <is>
          <t>2024-01-27</t>
        </is>
      </c>
      <c r="D30" s="12" t="n">
        <v>16.83</v>
      </c>
      <c r="E30" s="12" t="n">
        <v>20</v>
      </c>
      <c r="F30" s="12">
        <f>ROUND(D30-E30,2)</f>
        <v/>
      </c>
      <c r="G30" s="15">
        <f>IFERROR(ROUND(F30/E30,4),"")</f>
        <v/>
      </c>
      <c r="H30" s="16">
        <f>IF(D30=0,"NO DATA",IF(D30&gt;E30*1.5,"OVER",IF(D30&gt;E30*1.1,"HIGH",IF(D30&lt;E30*0.5,"LOW","OK"))))</f>
        <v/>
      </c>
    </row>
    <row r="31" ht="22" customHeight="1">
      <c r="B31" s="5" t="inlineStr">
        <is>
          <t>MTR-BLR-003</t>
        </is>
      </c>
      <c r="C31" s="5" t="inlineStr">
        <is>
          <t>2024-01-28</t>
        </is>
      </c>
      <c r="D31" s="11" t="n">
        <v>9.199999999999999</v>
      </c>
      <c r="E31" s="11" t="n">
        <v>20</v>
      </c>
      <c r="F31" s="11">
        <f>ROUND(D31-E31,2)</f>
        <v/>
      </c>
      <c r="G31" s="13">
        <f>IFERROR(ROUND(F31/E31,4),"")</f>
        <v/>
      </c>
      <c r="H31" s="14">
        <f>IF(D31=0,"NO DATA",IF(D31&gt;E31*1.5,"OVER",IF(D31&gt;E31*1.1,"HIGH",IF(D31&lt;E31*0.5,"LOW","OK"))))</f>
        <v/>
      </c>
    </row>
    <row r="32" ht="22" customHeight="1">
      <c r="B32" s="8" t="inlineStr">
        <is>
          <t>MTR-BLR-003</t>
        </is>
      </c>
      <c r="C32" s="8" t="inlineStr">
        <is>
          <t>2024-01-29</t>
        </is>
      </c>
      <c r="D32" s="12" t="n">
        <v>18.83</v>
      </c>
      <c r="E32" s="12" t="n">
        <v>20</v>
      </c>
      <c r="F32" s="12">
        <f>ROUND(D32-E32,2)</f>
        <v/>
      </c>
      <c r="G32" s="15">
        <f>IFERROR(ROUND(F32/E32,4),"")</f>
        <v/>
      </c>
      <c r="H32" s="16">
        <f>IF(D32=0,"NO DATA",IF(D32&gt;E32*1.5,"OVER",IF(D32&gt;E32*1.1,"HIGH",IF(D32&lt;E32*0.5,"LOW","OK"))))</f>
        <v/>
      </c>
    </row>
    <row r="33" ht="22" customHeight="1">
      <c r="B33" s="5" t="inlineStr">
        <is>
          <t>MTR-BLR-003</t>
        </is>
      </c>
      <c r="C33" s="5" t="inlineStr">
        <is>
          <t>2024-01-30</t>
        </is>
      </c>
      <c r="D33" s="11" t="n">
        <v>19.19</v>
      </c>
      <c r="E33" s="11" t="n">
        <v>20</v>
      </c>
      <c r="F33" s="11">
        <f>ROUND(D33-E33,2)</f>
        <v/>
      </c>
      <c r="G33" s="13">
        <f>IFERROR(ROUND(F33/E33,4),"")</f>
        <v/>
      </c>
      <c r="H33" s="14">
        <f>IF(D33=0,"NO DATA",IF(D33&gt;E33*1.5,"OVER",IF(D33&gt;E33*1.1,"HIGH",IF(D33&lt;E33*0.5,"LOW","OK"))))</f>
        <v/>
      </c>
    </row>
    <row r="34" ht="22" customHeight="1">
      <c r="B34" s="8" t="inlineStr">
        <is>
          <t>MTR-BLR-003</t>
        </is>
      </c>
      <c r="C34" s="8" t="inlineStr">
        <is>
          <t>2024-01-31</t>
        </is>
      </c>
      <c r="D34" s="12" t="n">
        <v>18.5</v>
      </c>
      <c r="E34" s="12" t="n">
        <v>20</v>
      </c>
      <c r="F34" s="12">
        <f>ROUND(D34-E34,2)</f>
        <v/>
      </c>
      <c r="G34" s="15">
        <f>IFERROR(ROUND(F34/E34,4),"")</f>
        <v/>
      </c>
      <c r="H34" s="16">
        <f>IF(D34=0,"NO DATA",IF(D34&gt;E34*1.5,"OVER",IF(D34&gt;E34*1.1,"HIGH",IF(D34&lt;E34*0.5,"LOW","OK"))))</f>
        <v/>
      </c>
    </row>
    <row r="35" ht="22" customHeight="1">
      <c r="B35" s="5" t="inlineStr">
        <is>
          <t>MTR-BLR-003</t>
        </is>
      </c>
      <c r="C35" s="5" t="inlineStr">
        <is>
          <t>2024-02-01</t>
        </is>
      </c>
      <c r="D35" s="11" t="n">
        <v>22.23</v>
      </c>
      <c r="E35" s="11" t="n">
        <v>20</v>
      </c>
      <c r="F35" s="11">
        <f>ROUND(D35-E35,2)</f>
        <v/>
      </c>
      <c r="G35" s="13">
        <f>IFERROR(ROUND(F35/E35,4),"")</f>
        <v/>
      </c>
      <c r="H35" s="14">
        <f>IF(D35=0,"NO DATA",IF(D35&gt;E35*1.5,"OVER",IF(D35&gt;E35*1.1,"HIGH",IF(D35&lt;E35*0.5,"LOW","OK"))))</f>
        <v/>
      </c>
    </row>
    <row r="36" ht="22" customHeight="1">
      <c r="B36" s="8" t="inlineStr">
        <is>
          <t>MTR-BLR-003</t>
        </is>
      </c>
      <c r="C36" s="8" t="inlineStr">
        <is>
          <t>2024-02-02</t>
        </is>
      </c>
      <c r="D36" s="12" t="n">
        <v>21.23</v>
      </c>
      <c r="E36" s="12" t="n">
        <v>20</v>
      </c>
      <c r="F36" s="12">
        <f>ROUND(D36-E36,2)</f>
        <v/>
      </c>
      <c r="G36" s="15">
        <f>IFERROR(ROUND(F36/E36,4),"")</f>
        <v/>
      </c>
      <c r="H36" s="16">
        <f>IF(D36=0,"NO DATA",IF(D36&gt;E36*1.5,"OVER",IF(D36&gt;E36*1.1,"HIGH",IF(D36&lt;E36*0.5,"LOW","OK"))))</f>
        <v/>
      </c>
    </row>
    <row r="37" ht="22" customHeight="1">
      <c r="B37" s="5" t="inlineStr">
        <is>
          <t>MTR-BLR-003</t>
        </is>
      </c>
      <c r="C37" s="5" t="inlineStr">
        <is>
          <t>2024-02-03</t>
        </is>
      </c>
      <c r="D37" s="11" t="n">
        <v>15.05</v>
      </c>
      <c r="E37" s="11" t="n">
        <v>20</v>
      </c>
      <c r="F37" s="11">
        <f>ROUND(D37-E37,2)</f>
        <v/>
      </c>
      <c r="G37" s="13">
        <f>IFERROR(ROUND(F37/E37,4),"")</f>
        <v/>
      </c>
      <c r="H37" s="14">
        <f>IF(D37=0,"NO DATA",IF(D37&gt;E37*1.5,"OVER",IF(D37&gt;E37*1.1,"HIGH",IF(D37&lt;E37*0.5,"LOW","OK"))))</f>
        <v/>
      </c>
    </row>
    <row r="38" ht="22" customHeight="1">
      <c r="B38" s="8" t="inlineStr">
        <is>
          <t>MTR-BLR-003</t>
        </is>
      </c>
      <c r="C38" s="8" t="inlineStr">
        <is>
          <t>2024-02-04</t>
        </is>
      </c>
      <c r="D38" s="12" t="n">
        <v>9.890000000000001</v>
      </c>
      <c r="E38" s="12" t="n">
        <v>20</v>
      </c>
      <c r="F38" s="12">
        <f>ROUND(D38-E38,2)</f>
        <v/>
      </c>
      <c r="G38" s="15">
        <f>IFERROR(ROUND(F38/E38,4),"")</f>
        <v/>
      </c>
      <c r="H38" s="16">
        <f>IF(D38=0,"NO DATA",IF(D38&gt;E38*1.5,"OVER",IF(D38&gt;E38*1.1,"HIGH",IF(D38&lt;E38*0.5,"LOW","OK"))))</f>
        <v/>
      </c>
    </row>
    <row r="39" ht="22" customHeight="1">
      <c r="B39" s="5" t="inlineStr">
        <is>
          <t>MTR-BLR-003</t>
        </is>
      </c>
      <c r="C39" s="5" t="inlineStr">
        <is>
          <t>2024-02-05</t>
        </is>
      </c>
      <c r="D39" s="11" t="n">
        <v>21.14</v>
      </c>
      <c r="E39" s="11" t="n">
        <v>20</v>
      </c>
      <c r="F39" s="11">
        <f>ROUND(D39-E39,2)</f>
        <v/>
      </c>
      <c r="G39" s="13">
        <f>IFERROR(ROUND(F39/E39,4),"")</f>
        <v/>
      </c>
      <c r="H39" s="14">
        <f>IF(D39=0,"NO DATA",IF(D39&gt;E39*1.5,"OVER",IF(D39&gt;E39*1.1,"HIGH",IF(D39&lt;E39*0.5,"LOW","OK"))))</f>
        <v/>
      </c>
    </row>
    <row r="40" ht="22" customHeight="1">
      <c r="B40" s="8" t="inlineStr">
        <is>
          <t>MTR-BLR-003</t>
        </is>
      </c>
      <c r="C40" s="8" t="inlineStr">
        <is>
          <t>2024-02-06</t>
        </is>
      </c>
      <c r="D40" s="12" t="n">
        <v>20.56</v>
      </c>
      <c r="E40" s="12" t="n">
        <v>20</v>
      </c>
      <c r="F40" s="12">
        <f>ROUND(D40-E40,2)</f>
        <v/>
      </c>
      <c r="G40" s="15">
        <f>IFERROR(ROUND(F40/E40,4),"")</f>
        <v/>
      </c>
      <c r="H40" s="16">
        <f>IF(D40=0,"NO DATA",IF(D40&gt;E40*1.5,"OVER",IF(D40&gt;E40*1.1,"HIGH",IF(D40&lt;E40*0.5,"LOW","OK"))))</f>
        <v/>
      </c>
    </row>
    <row r="41" ht="22" customHeight="1">
      <c r="B41" s="5" t="inlineStr">
        <is>
          <t>MTR-BLR-003</t>
        </is>
      </c>
      <c r="C41" s="5" t="inlineStr">
        <is>
          <t>2024-02-07</t>
        </is>
      </c>
      <c r="D41" s="11" t="n">
        <v>21.8</v>
      </c>
      <c r="E41" s="11" t="n">
        <v>20</v>
      </c>
      <c r="F41" s="11">
        <f>ROUND(D41-E41,2)</f>
        <v/>
      </c>
      <c r="G41" s="13">
        <f>IFERROR(ROUND(F41/E41,4),"")</f>
        <v/>
      </c>
      <c r="H41" s="14">
        <f>IF(D41=0,"NO DATA",IF(D41&gt;E41*1.5,"OVER",IF(D41&gt;E41*1.1,"HIGH",IF(D41&lt;E41*0.5,"LOW","OK"))))</f>
        <v/>
      </c>
    </row>
    <row r="42" ht="22" customHeight="1">
      <c r="B42" s="8" t="inlineStr">
        <is>
          <t>MTR-BLR-003</t>
        </is>
      </c>
      <c r="C42" s="8" t="inlineStr">
        <is>
          <t>2024-02-08</t>
        </is>
      </c>
      <c r="D42" s="12" t="n">
        <v>20.92</v>
      </c>
      <c r="E42" s="12" t="n">
        <v>20</v>
      </c>
      <c r="F42" s="12">
        <f>ROUND(D42-E42,2)</f>
        <v/>
      </c>
      <c r="G42" s="15">
        <f>IFERROR(ROUND(F42/E42,4),"")</f>
        <v/>
      </c>
      <c r="H42" s="16">
        <f>IF(D42=0,"NO DATA",IF(D42&gt;E42*1.5,"OVER",IF(D42&gt;E42*1.1,"HIGH",IF(D42&lt;E42*0.5,"LOW","OK"))))</f>
        <v/>
      </c>
    </row>
    <row r="43" ht="22" customHeight="1">
      <c r="B43" s="5" t="inlineStr">
        <is>
          <t>MTR-BLR-003</t>
        </is>
      </c>
      <c r="C43" s="5" t="inlineStr">
        <is>
          <t>2024-02-09</t>
        </is>
      </c>
      <c r="D43" s="11" t="n">
        <v>19.26</v>
      </c>
      <c r="E43" s="11" t="n">
        <v>20</v>
      </c>
      <c r="F43" s="11">
        <f>ROUND(D43-E43,2)</f>
        <v/>
      </c>
      <c r="G43" s="13">
        <f>IFERROR(ROUND(F43/E43,4),"")</f>
        <v/>
      </c>
      <c r="H43" s="14">
        <f>IF(D43=0,"NO DATA",IF(D43&gt;E43*1.5,"OVER",IF(D43&gt;E43*1.1,"HIGH",IF(D43&lt;E43*0.5,"LOW","OK"))))</f>
        <v/>
      </c>
    </row>
    <row r="44" ht="22" customHeight="1">
      <c r="B44" s="8" t="inlineStr">
        <is>
          <t>MTR-BLR-003</t>
        </is>
      </c>
      <c r="C44" s="8" t="inlineStr">
        <is>
          <t>2024-02-10</t>
        </is>
      </c>
      <c r="D44" s="12" t="n">
        <v>13.84</v>
      </c>
      <c r="E44" s="12" t="n">
        <v>20</v>
      </c>
      <c r="F44" s="12">
        <f>ROUND(D44-E44,2)</f>
        <v/>
      </c>
      <c r="G44" s="15">
        <f>IFERROR(ROUND(F44/E44,4),"")</f>
        <v/>
      </c>
      <c r="H44" s="16">
        <f>IF(D44=0,"NO DATA",IF(D44&gt;E44*1.5,"OVER",IF(D44&gt;E44*1.1,"HIGH",IF(D44&lt;E44*0.5,"LOW","OK"))))</f>
        <v/>
      </c>
    </row>
    <row r="45" ht="22" customHeight="1">
      <c r="B45" s="5" t="inlineStr">
        <is>
          <t>MTR-BLR-003</t>
        </is>
      </c>
      <c r="C45" s="5" t="inlineStr">
        <is>
          <t>2024-02-11</t>
        </is>
      </c>
      <c r="D45" s="11" t="n">
        <v>10.06</v>
      </c>
      <c r="E45" s="11" t="n">
        <v>20</v>
      </c>
      <c r="F45" s="11">
        <f>ROUND(D45-E45,2)</f>
        <v/>
      </c>
      <c r="G45" s="13">
        <f>IFERROR(ROUND(F45/E45,4),"")</f>
        <v/>
      </c>
      <c r="H45" s="14">
        <f>IF(D45=0,"NO DATA",IF(D45&gt;E45*1.5,"OVER",IF(D45&gt;E45*1.1,"HIGH",IF(D45&lt;E45*0.5,"LOW","OK"))))</f>
        <v/>
      </c>
    </row>
    <row r="46" ht="22" customHeight="1">
      <c r="B46" s="8" t="inlineStr">
        <is>
          <t>MTR-BLR-003</t>
        </is>
      </c>
      <c r="C46" s="8" t="inlineStr">
        <is>
          <t>2024-02-12</t>
        </is>
      </c>
      <c r="D46" s="12" t="n">
        <v>21.09</v>
      </c>
      <c r="E46" s="12" t="n">
        <v>20</v>
      </c>
      <c r="F46" s="12">
        <f>ROUND(D46-E46,2)</f>
        <v/>
      </c>
      <c r="G46" s="15">
        <f>IFERROR(ROUND(F46/E46,4),"")</f>
        <v/>
      </c>
      <c r="H46" s="16">
        <f>IF(D46=0,"NO DATA",IF(D46&gt;E46*1.5,"OVER",IF(D46&gt;E46*1.1,"HIGH",IF(D46&lt;E46*0.5,"LOW","OK"))))</f>
        <v/>
      </c>
    </row>
    <row r="47" ht="22" customHeight="1">
      <c r="B47" s="5" t="inlineStr">
        <is>
          <t>MTR-BLR-003</t>
        </is>
      </c>
      <c r="C47" s="5" t="inlineStr">
        <is>
          <t>2024-02-13</t>
        </is>
      </c>
      <c r="D47" s="11" t="n">
        <v>20.02</v>
      </c>
      <c r="E47" s="11" t="n">
        <v>20</v>
      </c>
      <c r="F47" s="11">
        <f>ROUND(D47-E47,2)</f>
        <v/>
      </c>
      <c r="G47" s="13">
        <f>IFERROR(ROUND(F47/E47,4),"")</f>
        <v/>
      </c>
      <c r="H47" s="14">
        <f>IF(D47=0,"NO DATA",IF(D47&gt;E47*1.5,"OVER",IF(D47&gt;E47*1.1,"HIGH",IF(D47&lt;E47*0.5,"LOW","OK"))))</f>
        <v/>
      </c>
    </row>
    <row r="48" ht="22" customHeight="1">
      <c r="B48" s="8" t="inlineStr">
        <is>
          <t>MTR-BLR-003</t>
        </is>
      </c>
      <c r="C48" s="8" t="inlineStr">
        <is>
          <t>2024-02-14</t>
        </is>
      </c>
      <c r="D48" s="12" t="n">
        <v>19.18</v>
      </c>
      <c r="E48" s="12" t="n">
        <v>20</v>
      </c>
      <c r="F48" s="12">
        <f>ROUND(D48-E48,2)</f>
        <v/>
      </c>
      <c r="G48" s="15">
        <f>IFERROR(ROUND(F48/E48,4),"")</f>
        <v/>
      </c>
      <c r="H48" s="16">
        <f>IF(D48=0,"NO DATA",IF(D48&gt;E48*1.5,"OVER",IF(D48&gt;E48*1.1,"HIGH",IF(D48&lt;E48*0.5,"LOW","OK"))))</f>
        <v/>
      </c>
    </row>
    <row r="49" ht="22" customHeight="1">
      <c r="B49" s="5" t="inlineStr">
        <is>
          <t>MTR-BLR-003</t>
        </is>
      </c>
      <c r="C49" s="5" t="inlineStr">
        <is>
          <t>2024-02-15</t>
        </is>
      </c>
      <c r="D49" s="11" t="n">
        <v>18.13</v>
      </c>
      <c r="E49" s="11" t="n">
        <v>20</v>
      </c>
      <c r="F49" s="11">
        <f>ROUND(D49-E49,2)</f>
        <v/>
      </c>
      <c r="G49" s="13">
        <f>IFERROR(ROUND(F49/E49,4),"")</f>
        <v/>
      </c>
      <c r="H49" s="14">
        <f>IF(D49=0,"NO DATA",IF(D49&gt;E49*1.5,"OVER",IF(D49&gt;E49*1.1,"HIGH",IF(D49&lt;E49*0.5,"LOW","OK"))))</f>
        <v/>
      </c>
    </row>
    <row r="50" ht="22" customHeight="1">
      <c r="B50" s="8" t="inlineStr">
        <is>
          <t>MTR-BLR-003</t>
        </is>
      </c>
      <c r="C50" s="8" t="inlineStr">
        <is>
          <t>2024-02-16</t>
        </is>
      </c>
      <c r="D50" s="12" t="n">
        <v>19.72</v>
      </c>
      <c r="E50" s="12" t="n">
        <v>20</v>
      </c>
      <c r="F50" s="12">
        <f>ROUND(D50-E50,2)</f>
        <v/>
      </c>
      <c r="G50" s="15">
        <f>IFERROR(ROUND(F50/E50,4),"")</f>
        <v/>
      </c>
      <c r="H50" s="16">
        <f>IF(D50=0,"NO DATA",IF(D50&gt;E50*1.5,"OVER",IF(D50&gt;E50*1.1,"HIGH",IF(D50&lt;E50*0.5,"LOW","OK"))))</f>
        <v/>
      </c>
    </row>
    <row r="51" ht="22" customHeight="1">
      <c r="B51" s="5" t="inlineStr">
        <is>
          <t>MTR-BLR-003</t>
        </is>
      </c>
      <c r="C51" s="5" t="inlineStr">
        <is>
          <t>2024-02-17</t>
        </is>
      </c>
      <c r="D51" s="11" t="n">
        <v>17.85</v>
      </c>
      <c r="E51" s="11" t="n">
        <v>20</v>
      </c>
      <c r="F51" s="11">
        <f>ROUND(D51-E51,2)</f>
        <v/>
      </c>
      <c r="G51" s="13">
        <f>IFERROR(ROUND(F51/E51,4),"")</f>
        <v/>
      </c>
      <c r="H51" s="14">
        <f>IF(D51=0,"NO DATA",IF(D51&gt;E51*1.5,"OVER",IF(D51&gt;E51*1.1,"HIGH",IF(D51&lt;E51*0.5,"LOW","OK"))))</f>
        <v/>
      </c>
    </row>
    <row r="52" ht="22" customHeight="1">
      <c r="B52" s="8" t="inlineStr">
        <is>
          <t>MTR-BLR-003</t>
        </is>
      </c>
      <c r="C52" s="8" t="inlineStr">
        <is>
          <t>2024-02-18</t>
        </is>
      </c>
      <c r="D52" s="12" t="n">
        <v>10.15</v>
      </c>
      <c r="E52" s="12" t="n">
        <v>20</v>
      </c>
      <c r="F52" s="12">
        <f>ROUND(D52-E52,2)</f>
        <v/>
      </c>
      <c r="G52" s="15">
        <f>IFERROR(ROUND(F52/E52,4),"")</f>
        <v/>
      </c>
      <c r="H52" s="16">
        <f>IF(D52=0,"NO DATA",IF(D52&gt;E52*1.5,"OVER",IF(D52&gt;E52*1.1,"HIGH",IF(D52&lt;E52*0.5,"LOW","OK"))))</f>
        <v/>
      </c>
    </row>
    <row r="53" ht="22" customHeight="1">
      <c r="B53" s="5" t="inlineStr">
        <is>
          <t>MTR-BLR-003</t>
        </is>
      </c>
      <c r="C53" s="5" t="inlineStr">
        <is>
          <t>2024-02-19</t>
        </is>
      </c>
      <c r="D53" s="11" t="n">
        <v>20</v>
      </c>
      <c r="E53" s="11" t="n">
        <v>20</v>
      </c>
      <c r="F53" s="11">
        <f>ROUND(D53-E53,2)</f>
        <v/>
      </c>
      <c r="G53" s="13">
        <f>IFERROR(ROUND(F53/E53,4),"")</f>
        <v/>
      </c>
      <c r="H53" s="14">
        <f>IF(D53=0,"NO DATA",IF(D53&gt;E53*1.5,"OVER",IF(D53&gt;E53*1.1,"HIGH",IF(D53&lt;E53*0.5,"LOW","OK"))))</f>
        <v/>
      </c>
    </row>
    <row r="54" ht="22" customHeight="1">
      <c r="B54" s="8" t="inlineStr">
        <is>
          <t>MTR-BLR-003</t>
        </is>
      </c>
      <c r="C54" s="8" t="inlineStr">
        <is>
          <t>2024-02-20</t>
        </is>
      </c>
      <c r="D54" s="12" t="n">
        <v>20.99</v>
      </c>
      <c r="E54" s="12" t="n">
        <v>20</v>
      </c>
      <c r="F54" s="12">
        <f>ROUND(D54-E54,2)</f>
        <v/>
      </c>
      <c r="G54" s="15">
        <f>IFERROR(ROUND(F54/E54,4),"")</f>
        <v/>
      </c>
      <c r="H54" s="16">
        <f>IF(D54=0,"NO DATA",IF(D54&gt;E54*1.5,"OVER",IF(D54&gt;E54*1.1,"HIGH",IF(D54&lt;E54*0.5,"LOW","OK"))))</f>
        <v/>
      </c>
    </row>
    <row r="55" ht="22" customHeight="1">
      <c r="B55" s="5" t="inlineStr">
        <is>
          <t>MTR-BLR-003</t>
        </is>
      </c>
      <c r="C55" s="5" t="inlineStr">
        <is>
          <t>2024-02-21</t>
        </is>
      </c>
      <c r="D55" s="11" t="n">
        <v>21.11</v>
      </c>
      <c r="E55" s="11" t="n">
        <v>20</v>
      </c>
      <c r="F55" s="11">
        <f>ROUND(D55-E55,2)</f>
        <v/>
      </c>
      <c r="G55" s="13">
        <f>IFERROR(ROUND(F55/E55,4),"")</f>
        <v/>
      </c>
      <c r="H55" s="14">
        <f>IF(D55=0,"NO DATA",IF(D55&gt;E55*1.5,"OVER",IF(D55&gt;E55*1.1,"HIGH",IF(D55&lt;E55*0.5,"LOW","OK"))))</f>
        <v/>
      </c>
    </row>
    <row r="56" ht="22" customHeight="1">
      <c r="B56" s="8" t="inlineStr">
        <is>
          <t>MTR-BLR-003</t>
        </is>
      </c>
      <c r="C56" s="8" t="inlineStr">
        <is>
          <t>2024-02-22</t>
        </is>
      </c>
      <c r="D56" s="12" t="n">
        <v>19.84</v>
      </c>
      <c r="E56" s="12" t="n">
        <v>20</v>
      </c>
      <c r="F56" s="12">
        <f>ROUND(D56-E56,2)</f>
        <v/>
      </c>
      <c r="G56" s="15">
        <f>IFERROR(ROUND(F56/E56,4),"")</f>
        <v/>
      </c>
      <c r="H56" s="16">
        <f>IF(D56=0,"NO DATA",IF(D56&gt;E56*1.5,"OVER",IF(D56&gt;E56*1.1,"HIGH",IF(D56&lt;E56*0.5,"LOW","OK"))))</f>
        <v/>
      </c>
    </row>
    <row r="57" ht="22" customHeight="1">
      <c r="B57" s="5" t="inlineStr">
        <is>
          <t>MTR-BLR-003</t>
        </is>
      </c>
      <c r="C57" s="5" t="inlineStr">
        <is>
          <t>2024-02-23</t>
        </is>
      </c>
      <c r="D57" s="11" t="n">
        <v>19.93</v>
      </c>
      <c r="E57" s="11" t="n">
        <v>20</v>
      </c>
      <c r="F57" s="11">
        <f>ROUND(D57-E57,2)</f>
        <v/>
      </c>
      <c r="G57" s="13">
        <f>IFERROR(ROUND(F57/E57,4),"")</f>
        <v/>
      </c>
      <c r="H57" s="14">
        <f>IF(D57=0,"NO DATA",IF(D57&gt;E57*1.5,"OVER",IF(D57&gt;E57*1.1,"HIGH",IF(D57&lt;E57*0.5,"LOW","OK"))))</f>
        <v/>
      </c>
    </row>
    <row r="58" ht="22" customHeight="1">
      <c r="B58" s="8" t="inlineStr">
        <is>
          <t>MTR-BLR-003</t>
        </is>
      </c>
      <c r="C58" s="8" t="inlineStr">
        <is>
          <t>2024-02-24</t>
        </is>
      </c>
      <c r="D58" s="12" t="n">
        <v>17.05</v>
      </c>
      <c r="E58" s="12" t="n">
        <v>20</v>
      </c>
      <c r="F58" s="12">
        <f>ROUND(D58-E58,2)</f>
        <v/>
      </c>
      <c r="G58" s="15">
        <f>IFERROR(ROUND(F58/E58,4),"")</f>
        <v/>
      </c>
      <c r="H58" s="16">
        <f>IF(D58=0,"NO DATA",IF(D58&gt;E58*1.5,"OVER",IF(D58&gt;E58*1.1,"HIGH",IF(D58&lt;E58*0.5,"LOW","OK"))))</f>
        <v/>
      </c>
    </row>
    <row r="59" ht="22" customHeight="1">
      <c r="B59" s="5" t="inlineStr">
        <is>
          <t>MTR-BLR-003</t>
        </is>
      </c>
      <c r="C59" s="5" t="inlineStr">
        <is>
          <t>2024-02-25</t>
        </is>
      </c>
      <c r="D59" s="11" t="n">
        <v>10.65</v>
      </c>
      <c r="E59" s="11" t="n">
        <v>20</v>
      </c>
      <c r="F59" s="11">
        <f>ROUND(D59-E59,2)</f>
        <v/>
      </c>
      <c r="G59" s="13">
        <f>IFERROR(ROUND(F59/E59,4),"")</f>
        <v/>
      </c>
      <c r="H59" s="14">
        <f>IF(D59=0,"NO DATA",IF(D59&gt;E59*1.5,"OVER",IF(D59&gt;E59*1.1,"HIGH",IF(D59&lt;E59*0.5,"LOW","OK"))))</f>
        <v/>
      </c>
    </row>
    <row r="60" ht="22" customHeight="1">
      <c r="B60" s="8" t="inlineStr">
        <is>
          <t>MTR-BLR-003</t>
        </is>
      </c>
      <c r="C60" s="8" t="inlineStr">
        <is>
          <t>2024-02-26</t>
        </is>
      </c>
      <c r="D60" s="12" t="n">
        <v>22.19</v>
      </c>
      <c r="E60" s="12" t="n">
        <v>20</v>
      </c>
      <c r="F60" s="12">
        <f>ROUND(D60-E60,2)</f>
        <v/>
      </c>
      <c r="G60" s="15">
        <f>IFERROR(ROUND(F60/E60,4),"")</f>
        <v/>
      </c>
      <c r="H60" s="16">
        <f>IF(D60=0,"NO DATA",IF(D60&gt;E60*1.5,"OVER",IF(D60&gt;E60*1.1,"HIGH",IF(D60&lt;E60*0.5,"LOW","OK"))))</f>
        <v/>
      </c>
    </row>
    <row r="61" ht="22" customHeight="1">
      <c r="B61" s="5" t="inlineStr">
        <is>
          <t>MTR-BLR-003</t>
        </is>
      </c>
      <c r="C61" s="5" t="inlineStr">
        <is>
          <t>2024-02-27</t>
        </is>
      </c>
      <c r="D61" s="11" t="n">
        <v>18.18</v>
      </c>
      <c r="E61" s="11" t="n">
        <v>20</v>
      </c>
      <c r="F61" s="11">
        <f>ROUND(D61-E61,2)</f>
        <v/>
      </c>
      <c r="G61" s="13">
        <f>IFERROR(ROUND(F61/E61,4),"")</f>
        <v/>
      </c>
      <c r="H61" s="14">
        <f>IF(D61=0,"NO DATA",IF(D61&gt;E61*1.5,"OVER",IF(D61&gt;E61*1.1,"HIGH",IF(D61&lt;E61*0.5,"LOW","OK"))))</f>
        <v/>
      </c>
    </row>
    <row r="62" ht="22" customHeight="1">
      <c r="B62" s="8" t="inlineStr">
        <is>
          <t>MTR-BLR-003</t>
        </is>
      </c>
      <c r="C62" s="8" t="inlineStr">
        <is>
          <t>2024-02-28</t>
        </is>
      </c>
      <c r="D62" s="12" t="n">
        <v>18.62</v>
      </c>
      <c r="E62" s="12" t="n">
        <v>20</v>
      </c>
      <c r="F62" s="12">
        <f>ROUND(D62-E62,2)</f>
        <v/>
      </c>
      <c r="G62" s="15">
        <f>IFERROR(ROUND(F62/E62,4),"")</f>
        <v/>
      </c>
      <c r="H62" s="16">
        <f>IF(D62=0,"NO DATA",IF(D62&gt;E62*1.5,"OVER",IF(D62&gt;E62*1.1,"HIGH",IF(D62&lt;E62*0.5,"LOW","OK"))))</f>
        <v/>
      </c>
    </row>
    <row r="63" ht="22" customHeight="1">
      <c r="B63" s="5" t="inlineStr">
        <is>
          <t>MTR-BLR-003</t>
        </is>
      </c>
      <c r="C63" s="5" t="inlineStr">
        <is>
          <t>2024-02-29</t>
        </is>
      </c>
      <c r="D63" s="11" t="n">
        <v>19.4</v>
      </c>
      <c r="E63" s="11" t="n">
        <v>20</v>
      </c>
      <c r="F63" s="11">
        <f>ROUND(D63-E63,2)</f>
        <v/>
      </c>
      <c r="G63" s="13">
        <f>IFERROR(ROUND(F63/E63,4),"")</f>
        <v/>
      </c>
      <c r="H63" s="14">
        <f>IF(D63=0,"NO DATA",IF(D63&gt;E63*1.5,"OVER",IF(D63&gt;E63*1.1,"HIGH",IF(D63&lt;E63*0.5,"LOW","OK"))))</f>
        <v/>
      </c>
    </row>
    <row r="64" ht="22" customHeight="1">
      <c r="B64" s="8" t="inlineStr">
        <is>
          <t>MTR-BLR-003</t>
        </is>
      </c>
      <c r="C64" s="8" t="inlineStr">
        <is>
          <t>2024-03-01</t>
        </is>
      </c>
      <c r="D64" s="12" t="n">
        <v>21.02</v>
      </c>
      <c r="E64" s="12" t="n">
        <v>20</v>
      </c>
      <c r="F64" s="12">
        <f>ROUND(D64-E64,2)</f>
        <v/>
      </c>
      <c r="G64" s="15">
        <f>IFERROR(ROUND(F64/E64,4),"")</f>
        <v/>
      </c>
      <c r="H64" s="16">
        <f>IF(D64=0,"NO DATA",IF(D64&gt;E64*1.5,"OVER",IF(D64&gt;E64*1.1,"HIGH",IF(D64&lt;E64*0.5,"LOW","OK"))))</f>
        <v/>
      </c>
    </row>
    <row r="65" ht="22" customHeight="1">
      <c r="B65" s="5" t="inlineStr">
        <is>
          <t>MTR-BLR-003</t>
        </is>
      </c>
      <c r="C65" s="5" t="inlineStr">
        <is>
          <t>2024-03-02</t>
        </is>
      </c>
      <c r="D65" s="11" t="n">
        <v>14.37</v>
      </c>
      <c r="E65" s="11" t="n">
        <v>20</v>
      </c>
      <c r="F65" s="11">
        <f>ROUND(D65-E65,2)</f>
        <v/>
      </c>
      <c r="G65" s="13">
        <f>IFERROR(ROUND(F65/E65,4),"")</f>
        <v/>
      </c>
      <c r="H65" s="14">
        <f>IF(D65=0,"NO DATA",IF(D65&gt;E65*1.5,"OVER",IF(D65&gt;E65*1.1,"HIGH",IF(D65&lt;E65*0.5,"LOW","OK"))))</f>
        <v/>
      </c>
    </row>
    <row r="66" ht="22" customHeight="1">
      <c r="B66" s="8" t="inlineStr">
        <is>
          <t>MTR-BLR-003</t>
        </is>
      </c>
      <c r="C66" s="8" t="inlineStr">
        <is>
          <t>2024-03-03</t>
        </is>
      </c>
      <c r="D66" s="12" t="n">
        <v>10.8</v>
      </c>
      <c r="E66" s="12" t="n">
        <v>20</v>
      </c>
      <c r="F66" s="12">
        <f>ROUND(D66-E66,2)</f>
        <v/>
      </c>
      <c r="G66" s="15">
        <f>IFERROR(ROUND(F66/E66,4),"")</f>
        <v/>
      </c>
      <c r="H66" s="16">
        <f>IF(D66=0,"NO DATA",IF(D66&gt;E66*1.5,"OVER",IF(D66&gt;E66*1.1,"HIGH",IF(D66&lt;E66*0.5,"LOW","OK"))))</f>
        <v/>
      </c>
    </row>
    <row r="67" ht="22" customHeight="1">
      <c r="B67" s="5" t="inlineStr">
        <is>
          <t>MTR-BLR-003</t>
        </is>
      </c>
      <c r="C67" s="5" t="inlineStr">
        <is>
          <t>2024-03-04</t>
        </is>
      </c>
      <c r="D67" s="11" t="n">
        <v>20.35</v>
      </c>
      <c r="E67" s="11" t="n">
        <v>20</v>
      </c>
      <c r="F67" s="11">
        <f>ROUND(D67-E67,2)</f>
        <v/>
      </c>
      <c r="G67" s="13">
        <f>IFERROR(ROUND(F67/E67,4),"")</f>
        <v/>
      </c>
      <c r="H67" s="14">
        <f>IF(D67=0,"NO DATA",IF(D67&gt;E67*1.5,"OVER",IF(D67&gt;E67*1.1,"HIGH",IF(D67&lt;E67*0.5,"LOW","OK"))))</f>
        <v/>
      </c>
    </row>
    <row r="68" ht="22" customHeight="1">
      <c r="B68" s="8" t="inlineStr">
        <is>
          <t>MTR-BLR-003</t>
        </is>
      </c>
      <c r="C68" s="8" t="inlineStr">
        <is>
          <t>2024-03-05</t>
        </is>
      </c>
      <c r="D68" s="12" t="n">
        <v>18.14</v>
      </c>
      <c r="E68" s="12" t="n">
        <v>20</v>
      </c>
      <c r="F68" s="12">
        <f>ROUND(D68-E68,2)</f>
        <v/>
      </c>
      <c r="G68" s="15">
        <f>IFERROR(ROUND(F68/E68,4),"")</f>
        <v/>
      </c>
      <c r="H68" s="16">
        <f>IF(D68=0,"NO DATA",IF(D68&gt;E68*1.5,"OVER",IF(D68&gt;E68*1.1,"HIGH",IF(D68&lt;E68*0.5,"LOW","OK"))))</f>
        <v/>
      </c>
    </row>
    <row r="69" ht="22" customHeight="1">
      <c r="B69" s="5" t="inlineStr">
        <is>
          <t>MTR-BLR-003</t>
        </is>
      </c>
      <c r="C69" s="5" t="inlineStr">
        <is>
          <t>2024-03-06</t>
        </is>
      </c>
      <c r="D69" s="11" t="n">
        <v>21.9</v>
      </c>
      <c r="E69" s="11" t="n">
        <v>20</v>
      </c>
      <c r="F69" s="11">
        <f>ROUND(D69-E69,2)</f>
        <v/>
      </c>
      <c r="G69" s="13">
        <f>IFERROR(ROUND(F69/E69,4),"")</f>
        <v/>
      </c>
      <c r="H69" s="14">
        <f>IF(D69=0,"NO DATA",IF(D69&gt;E69*1.5,"OVER",IF(D69&gt;E69*1.1,"HIGH",IF(D69&lt;E69*0.5,"LOW","OK"))))</f>
        <v/>
      </c>
    </row>
    <row r="70" ht="22" customHeight="1">
      <c r="B70" s="8" t="inlineStr">
        <is>
          <t>MTR-BLR-003</t>
        </is>
      </c>
      <c r="C70" s="8" t="inlineStr">
        <is>
          <t>2024-03-07</t>
        </is>
      </c>
      <c r="D70" s="12" t="n">
        <v>18.82</v>
      </c>
      <c r="E70" s="12" t="n">
        <v>20</v>
      </c>
      <c r="F70" s="12">
        <f>ROUND(D70-E70,2)</f>
        <v/>
      </c>
      <c r="G70" s="15">
        <f>IFERROR(ROUND(F70/E70,4),"")</f>
        <v/>
      </c>
      <c r="H70" s="16">
        <f>IF(D70=0,"NO DATA",IF(D70&gt;E70*1.5,"OVER",IF(D70&gt;E70*1.1,"HIGH",IF(D70&lt;E70*0.5,"LOW","OK"))))</f>
        <v/>
      </c>
    </row>
    <row r="71" ht="22" customHeight="1">
      <c r="B71" s="5" t="inlineStr">
        <is>
          <t>MTR-BLR-003</t>
        </is>
      </c>
      <c r="C71" s="5" t="inlineStr">
        <is>
          <t>2024-03-08</t>
        </is>
      </c>
      <c r="D71" s="11" t="n">
        <v>21</v>
      </c>
      <c r="E71" s="11" t="n">
        <v>20</v>
      </c>
      <c r="F71" s="11">
        <f>ROUND(D71-E71,2)</f>
        <v/>
      </c>
      <c r="G71" s="13">
        <f>IFERROR(ROUND(F71/E71,4),"")</f>
        <v/>
      </c>
      <c r="H71" s="14">
        <f>IF(D71=0,"NO DATA",IF(D71&gt;E71*1.5,"OVER",IF(D71&gt;E71*1.1,"HIGH",IF(D71&lt;E71*0.5,"LOW","OK"))))</f>
        <v/>
      </c>
    </row>
    <row r="72" ht="22" customHeight="1">
      <c r="B72" s="8" t="inlineStr">
        <is>
          <t>MTR-BLR-003</t>
        </is>
      </c>
      <c r="C72" s="8" t="inlineStr">
        <is>
          <t>2024-03-09</t>
        </is>
      </c>
      <c r="D72" s="12" t="n">
        <v>17.22</v>
      </c>
      <c r="E72" s="12" t="n">
        <v>20</v>
      </c>
      <c r="F72" s="12">
        <f>ROUND(D72-E72,2)</f>
        <v/>
      </c>
      <c r="G72" s="15">
        <f>IFERROR(ROUND(F72/E72,4),"")</f>
        <v/>
      </c>
      <c r="H72" s="16">
        <f>IF(D72=0,"NO DATA",IF(D72&gt;E72*1.5,"OVER",IF(D72&gt;E72*1.1,"HIGH",IF(D72&lt;E72*0.5,"LOW","OK"))))</f>
        <v/>
      </c>
    </row>
    <row r="73" ht="22" customHeight="1">
      <c r="B73" s="5" t="inlineStr">
        <is>
          <t>MTR-BLR-003</t>
        </is>
      </c>
      <c r="C73" s="5" t="inlineStr">
        <is>
          <t>2024-03-10</t>
        </is>
      </c>
      <c r="D73" s="11" t="n">
        <v>9.630000000000001</v>
      </c>
      <c r="E73" s="11" t="n">
        <v>20</v>
      </c>
      <c r="F73" s="11">
        <f>ROUND(D73-E73,2)</f>
        <v/>
      </c>
      <c r="G73" s="13">
        <f>IFERROR(ROUND(F73/E73,4),"")</f>
        <v/>
      </c>
      <c r="H73" s="14">
        <f>IF(D73=0,"NO DATA",IF(D73&gt;E73*1.5,"OVER",IF(D73&gt;E73*1.1,"HIGH",IF(D73&lt;E73*0.5,"LOW","OK"))))</f>
        <v/>
      </c>
    </row>
    <row r="74" ht="22" customHeight="1">
      <c r="B74" s="8" t="inlineStr">
        <is>
          <t>MTR-BLR-003</t>
        </is>
      </c>
      <c r="C74" s="8" t="inlineStr">
        <is>
          <t>2024-03-11</t>
        </is>
      </c>
      <c r="D74" s="12" t="n">
        <v>17.78</v>
      </c>
      <c r="E74" s="12" t="n">
        <v>20</v>
      </c>
      <c r="F74" s="12">
        <f>ROUND(D74-E74,2)</f>
        <v/>
      </c>
      <c r="G74" s="15">
        <f>IFERROR(ROUND(F74/E74,4),"")</f>
        <v/>
      </c>
      <c r="H74" s="16">
        <f>IF(D74=0,"NO DATA",IF(D74&gt;E74*1.5,"OVER",IF(D74&gt;E74*1.1,"HIGH",IF(D74&lt;E74*0.5,"LOW","OK"))))</f>
        <v/>
      </c>
    </row>
    <row r="75" ht="22" customHeight="1">
      <c r="B75" s="5" t="inlineStr">
        <is>
          <t>MTR-BLR-003</t>
        </is>
      </c>
      <c r="C75" s="5" t="inlineStr">
        <is>
          <t>2024-03-12</t>
        </is>
      </c>
      <c r="D75" s="11" t="n">
        <v>18.97</v>
      </c>
      <c r="E75" s="11" t="n">
        <v>20</v>
      </c>
      <c r="F75" s="11">
        <f>ROUND(D75-E75,2)</f>
        <v/>
      </c>
      <c r="G75" s="13">
        <f>IFERROR(ROUND(F75/E75,4),"")</f>
        <v/>
      </c>
      <c r="H75" s="14">
        <f>IF(D75=0,"NO DATA",IF(D75&gt;E75*1.5,"OVER",IF(D75&gt;E75*1.1,"HIGH",IF(D75&lt;E75*0.5,"LOW","OK"))))</f>
        <v/>
      </c>
    </row>
    <row r="76" ht="22" customHeight="1">
      <c r="B76" s="8" t="inlineStr">
        <is>
          <t>MTR-BLR-003</t>
        </is>
      </c>
      <c r="C76" s="8" t="inlineStr">
        <is>
          <t>2024-03-13</t>
        </is>
      </c>
      <c r="D76" s="12" t="n">
        <v>17.27</v>
      </c>
      <c r="E76" s="12" t="n">
        <v>20</v>
      </c>
      <c r="F76" s="12">
        <f>ROUND(D76-E76,2)</f>
        <v/>
      </c>
      <c r="G76" s="15">
        <f>IFERROR(ROUND(F76/E76,4),"")</f>
        <v/>
      </c>
      <c r="H76" s="16">
        <f>IF(D76=0,"NO DATA",IF(D76&gt;E76*1.5,"OVER",IF(D76&gt;E76*1.1,"HIGH",IF(D76&lt;E76*0.5,"LOW","OK"))))</f>
        <v/>
      </c>
    </row>
    <row r="77" ht="22" customHeight="1">
      <c r="B77" s="5" t="inlineStr">
        <is>
          <t>MTR-BLR-003</t>
        </is>
      </c>
      <c r="C77" s="5" t="inlineStr">
        <is>
          <t>2024-03-14</t>
        </is>
      </c>
      <c r="D77" s="11" t="n">
        <v>19.12</v>
      </c>
      <c r="E77" s="11" t="n">
        <v>20</v>
      </c>
      <c r="F77" s="11">
        <f>ROUND(D77-E77,2)</f>
        <v/>
      </c>
      <c r="G77" s="13">
        <f>IFERROR(ROUND(F77/E77,4),"")</f>
        <v/>
      </c>
      <c r="H77" s="14">
        <f>IF(D77=0,"NO DATA",IF(D77&gt;E77*1.5,"OVER",IF(D77&gt;E77*1.1,"HIGH",IF(D77&lt;E77*0.5,"LOW","OK"))))</f>
        <v/>
      </c>
    </row>
    <row r="78" ht="22" customHeight="1">
      <c r="B78" s="8" t="inlineStr">
        <is>
          <t>MTR-BLR-003</t>
        </is>
      </c>
      <c r="C78" s="8" t="inlineStr">
        <is>
          <t>2024-03-16</t>
        </is>
      </c>
      <c r="D78" s="12" t="n">
        <v>16.03</v>
      </c>
      <c r="E78" s="12" t="n">
        <v>20</v>
      </c>
      <c r="F78" s="12">
        <f>ROUND(D78-E78,2)</f>
        <v/>
      </c>
      <c r="G78" s="15">
        <f>IFERROR(ROUND(F78/E78,4),"")</f>
        <v/>
      </c>
      <c r="H78" s="16">
        <f>IF(D78=0,"NO DATA",IF(D78&gt;E78*1.5,"OVER",IF(D78&gt;E78*1.1,"HIGH",IF(D78&lt;E78*0.5,"LOW","OK"))))</f>
        <v/>
      </c>
    </row>
    <row r="79" ht="22" customHeight="1">
      <c r="B79" s="5" t="inlineStr">
        <is>
          <t>MTR-BLR-003</t>
        </is>
      </c>
      <c r="C79" s="5" t="inlineStr">
        <is>
          <t>2024-03-17</t>
        </is>
      </c>
      <c r="D79" s="11" t="n">
        <v>10.3</v>
      </c>
      <c r="E79" s="11" t="n">
        <v>20</v>
      </c>
      <c r="F79" s="11">
        <f>ROUND(D79-E79,2)</f>
        <v/>
      </c>
      <c r="G79" s="13">
        <f>IFERROR(ROUND(F79/E79,4),"")</f>
        <v/>
      </c>
      <c r="H79" s="14">
        <f>IF(D79=0,"NO DATA",IF(D79&gt;E79*1.5,"OVER",IF(D79&gt;E79*1.1,"HIGH",IF(D79&lt;E79*0.5,"LOW","OK"))))</f>
        <v/>
      </c>
    </row>
    <row r="80" ht="22" customHeight="1">
      <c r="B80" s="8" t="inlineStr">
        <is>
          <t>MTR-BLR-003</t>
        </is>
      </c>
      <c r="C80" s="8" t="inlineStr">
        <is>
          <t>2024-03-18</t>
        </is>
      </c>
      <c r="D80" s="12" t="n">
        <v>17.59</v>
      </c>
      <c r="E80" s="12" t="n">
        <v>20</v>
      </c>
      <c r="F80" s="12">
        <f>ROUND(D80-E80,2)</f>
        <v/>
      </c>
      <c r="G80" s="15">
        <f>IFERROR(ROUND(F80/E80,4),"")</f>
        <v/>
      </c>
      <c r="H80" s="16">
        <f>IF(D80=0,"NO DATA",IF(D80&gt;E80*1.5,"OVER",IF(D80&gt;E80*1.1,"HIGH",IF(D80&lt;E80*0.5,"LOW","OK"))))</f>
        <v/>
      </c>
    </row>
    <row r="81" ht="22" customHeight="1">
      <c r="B81" s="5" t="inlineStr">
        <is>
          <t>MTR-BLR-003</t>
        </is>
      </c>
      <c r="C81" s="5" t="inlineStr">
        <is>
          <t>2024-03-19</t>
        </is>
      </c>
      <c r="D81" s="11" t="n">
        <v>22.92</v>
      </c>
      <c r="E81" s="11" t="n">
        <v>20</v>
      </c>
      <c r="F81" s="11">
        <f>ROUND(D81-E81,2)</f>
        <v/>
      </c>
      <c r="G81" s="13">
        <f>IFERROR(ROUND(F81/E81,4),"")</f>
        <v/>
      </c>
      <c r="H81" s="14">
        <f>IF(D81=0,"NO DATA",IF(D81&gt;E81*1.5,"OVER",IF(D81&gt;E81*1.1,"HIGH",IF(D81&lt;E81*0.5,"LOW","OK"))))</f>
        <v/>
      </c>
    </row>
    <row r="82" ht="22" customHeight="1">
      <c r="B82" s="8" t="inlineStr">
        <is>
          <t>MTR-BLR-003</t>
        </is>
      </c>
      <c r="C82" s="8" t="inlineStr">
        <is>
          <t>2024-03-20</t>
        </is>
      </c>
      <c r="D82" s="12" t="n">
        <v>19.07</v>
      </c>
      <c r="E82" s="12" t="n">
        <v>20</v>
      </c>
      <c r="F82" s="12">
        <f>ROUND(D82-E82,2)</f>
        <v/>
      </c>
      <c r="G82" s="15">
        <f>IFERROR(ROUND(F82/E82,4),"")</f>
        <v/>
      </c>
      <c r="H82" s="16">
        <f>IF(D82=0,"NO DATA",IF(D82&gt;E82*1.5,"OVER",IF(D82&gt;E82*1.1,"HIGH",IF(D82&lt;E82*0.5,"LOW","OK"))))</f>
        <v/>
      </c>
    </row>
    <row r="83" ht="22" customHeight="1">
      <c r="B83" s="5" t="inlineStr">
        <is>
          <t>MTR-BLR-003</t>
        </is>
      </c>
      <c r="C83" s="5" t="inlineStr">
        <is>
          <t>2024-03-21</t>
        </is>
      </c>
      <c r="D83" s="11" t="n">
        <v>20.27</v>
      </c>
      <c r="E83" s="11" t="n">
        <v>20</v>
      </c>
      <c r="F83" s="11">
        <f>ROUND(D83-E83,2)</f>
        <v/>
      </c>
      <c r="G83" s="13">
        <f>IFERROR(ROUND(F83/E83,4),"")</f>
        <v/>
      </c>
      <c r="H83" s="14">
        <f>IF(D83=0,"NO DATA",IF(D83&gt;E83*1.5,"OVER",IF(D83&gt;E83*1.1,"HIGH",IF(D83&lt;E83*0.5,"LOW","OK"))))</f>
        <v/>
      </c>
    </row>
    <row r="84" ht="22" customHeight="1">
      <c r="B84" s="8" t="inlineStr">
        <is>
          <t>MTR-BLR-003</t>
        </is>
      </c>
      <c r="C84" s="8" t="inlineStr">
        <is>
          <t>2024-03-22</t>
        </is>
      </c>
      <c r="D84" s="12" t="n">
        <v>17.29</v>
      </c>
      <c r="E84" s="12" t="n">
        <v>20</v>
      </c>
      <c r="F84" s="12">
        <f>ROUND(D84-E84,2)</f>
        <v/>
      </c>
      <c r="G84" s="15">
        <f>IFERROR(ROUND(F84/E84,4),"")</f>
        <v/>
      </c>
      <c r="H84" s="16">
        <f>IF(D84=0,"NO DATA",IF(D84&gt;E84*1.5,"OVER",IF(D84&gt;E84*1.1,"HIGH",IF(D84&lt;E84*0.5,"LOW","OK"))))</f>
        <v/>
      </c>
    </row>
    <row r="85" ht="22" customHeight="1">
      <c r="B85" s="5" t="inlineStr">
        <is>
          <t>MTR-BLR-003</t>
        </is>
      </c>
      <c r="C85" s="5" t="inlineStr">
        <is>
          <t>2024-03-23</t>
        </is>
      </c>
      <c r="D85" s="11" t="n">
        <v>16.23</v>
      </c>
      <c r="E85" s="11" t="n">
        <v>20</v>
      </c>
      <c r="F85" s="11">
        <f>ROUND(D85-E85,2)</f>
        <v/>
      </c>
      <c r="G85" s="13">
        <f>IFERROR(ROUND(F85/E85,4),"")</f>
        <v/>
      </c>
      <c r="H85" s="14">
        <f>IF(D85=0,"NO DATA",IF(D85&gt;E85*1.5,"OVER",IF(D85&gt;E85*1.1,"HIGH",IF(D85&lt;E85*0.5,"LOW","OK"))))</f>
        <v/>
      </c>
    </row>
    <row r="86" ht="22" customHeight="1">
      <c r="B86" s="8" t="inlineStr">
        <is>
          <t>MTR-BLR-003</t>
        </is>
      </c>
      <c r="C86" s="8" t="inlineStr">
        <is>
          <t>2024-03-24</t>
        </is>
      </c>
      <c r="D86" s="12" t="n">
        <v>11.97</v>
      </c>
      <c r="E86" s="12" t="n">
        <v>20</v>
      </c>
      <c r="F86" s="12">
        <f>ROUND(D86-E86,2)</f>
        <v/>
      </c>
      <c r="G86" s="15">
        <f>IFERROR(ROUND(F86/E86,4),"")</f>
        <v/>
      </c>
      <c r="H86" s="16">
        <f>IF(D86=0,"NO DATA",IF(D86&gt;E86*1.5,"OVER",IF(D86&gt;E86*1.1,"HIGH",IF(D86&lt;E86*0.5,"LOW","OK"))))</f>
        <v/>
      </c>
    </row>
    <row r="87" ht="22" customHeight="1">
      <c r="B87" s="5" t="inlineStr">
        <is>
          <t>MTR-BLR-003</t>
        </is>
      </c>
      <c r="C87" s="5" t="inlineStr">
        <is>
          <t>2024-03-25</t>
        </is>
      </c>
      <c r="D87" s="11" t="n">
        <v>22.76</v>
      </c>
      <c r="E87" s="11" t="n">
        <v>20</v>
      </c>
      <c r="F87" s="11">
        <f>ROUND(D87-E87,2)</f>
        <v/>
      </c>
      <c r="G87" s="13">
        <f>IFERROR(ROUND(F87/E87,4),"")</f>
        <v/>
      </c>
      <c r="H87" s="14">
        <f>IF(D87=0,"NO DATA",IF(D87&gt;E87*1.5,"OVER",IF(D87&gt;E87*1.1,"HIGH",IF(D87&lt;E87*0.5,"LOW","OK"))))</f>
        <v/>
      </c>
    </row>
    <row r="88" ht="22" customHeight="1">
      <c r="B88" s="8" t="inlineStr">
        <is>
          <t>MTR-BLR-003</t>
        </is>
      </c>
      <c r="C88" s="8" t="inlineStr">
        <is>
          <t>2024-03-26</t>
        </is>
      </c>
      <c r="D88" s="12" t="n">
        <v>17.57</v>
      </c>
      <c r="E88" s="12" t="n">
        <v>20</v>
      </c>
      <c r="F88" s="12">
        <f>ROUND(D88-E88,2)</f>
        <v/>
      </c>
      <c r="G88" s="15">
        <f>IFERROR(ROUND(F88/E88,4),"")</f>
        <v/>
      </c>
      <c r="H88" s="16">
        <f>IF(D88=0,"NO DATA",IF(D88&gt;E88*1.5,"OVER",IF(D88&gt;E88*1.1,"HIGH",IF(D88&lt;E88*0.5,"LOW","OK"))))</f>
        <v/>
      </c>
    </row>
    <row r="89" ht="22" customHeight="1">
      <c r="B89" s="5" t="inlineStr">
        <is>
          <t>MTR-BLR-003</t>
        </is>
      </c>
      <c r="C89" s="5" t="inlineStr">
        <is>
          <t>2024-03-27</t>
        </is>
      </c>
      <c r="D89" s="11" t="n">
        <v>18.79</v>
      </c>
      <c r="E89" s="11" t="n">
        <v>20</v>
      </c>
      <c r="F89" s="11">
        <f>ROUND(D89-E89,2)</f>
        <v/>
      </c>
      <c r="G89" s="13">
        <f>IFERROR(ROUND(F89/E89,4),"")</f>
        <v/>
      </c>
      <c r="H89" s="14">
        <f>IF(D89=0,"NO DATA",IF(D89&gt;E89*1.5,"OVER",IF(D89&gt;E89*1.1,"HIGH",IF(D89&lt;E89*0.5,"LOW","OK"))))</f>
        <v/>
      </c>
    </row>
    <row r="90" ht="22" customHeight="1">
      <c r="B90" s="8" t="inlineStr">
        <is>
          <t>MTR-BLR-003</t>
        </is>
      </c>
      <c r="C90" s="8" t="inlineStr">
        <is>
          <t>2024-03-28</t>
        </is>
      </c>
      <c r="D90" s="12" t="n">
        <v>20.75</v>
      </c>
      <c r="E90" s="12" t="n">
        <v>20</v>
      </c>
      <c r="F90" s="12">
        <f>ROUND(D90-E90,2)</f>
        <v/>
      </c>
      <c r="G90" s="15">
        <f>IFERROR(ROUND(F90/E90,4),"")</f>
        <v/>
      </c>
      <c r="H90" s="16">
        <f>IF(D90=0,"NO DATA",IF(D90&gt;E90*1.5,"OVER",IF(D90&gt;E90*1.1,"HIGH",IF(D90&lt;E90*0.5,"LOW","OK"))))</f>
        <v/>
      </c>
    </row>
    <row r="91" ht="22" customHeight="1">
      <c r="B91" s="5" t="inlineStr">
        <is>
          <t>MTR-BLR-003</t>
        </is>
      </c>
      <c r="C91" s="5" t="inlineStr">
        <is>
          <t>2024-03-29</t>
        </is>
      </c>
      <c r="D91" s="11" t="n">
        <v>22.45</v>
      </c>
      <c r="E91" s="11" t="n">
        <v>20</v>
      </c>
      <c r="F91" s="11">
        <f>ROUND(D91-E91,2)</f>
        <v/>
      </c>
      <c r="G91" s="13">
        <f>IFERROR(ROUND(F91/E91,4),"")</f>
        <v/>
      </c>
      <c r="H91" s="14">
        <f>IF(D91=0,"NO DATA",IF(D91&gt;E91*1.5,"OVER",IF(D91&gt;E91*1.1,"HIGH",IF(D91&lt;E91*0.5,"LOW","OK"))))</f>
        <v/>
      </c>
    </row>
    <row r="92" ht="22" customHeight="1">
      <c r="B92" s="8" t="inlineStr">
        <is>
          <t>MTR-BLR-003</t>
        </is>
      </c>
      <c r="C92" s="8" t="inlineStr">
        <is>
          <t>2024-03-30</t>
        </is>
      </c>
      <c r="D92" s="12" t="n">
        <v>17.9</v>
      </c>
      <c r="E92" s="12" t="n">
        <v>20</v>
      </c>
      <c r="F92" s="12">
        <f>ROUND(D92-E92,2)</f>
        <v/>
      </c>
      <c r="G92" s="15">
        <f>IFERROR(ROUND(F92/E92,4),"")</f>
        <v/>
      </c>
      <c r="H92" s="16">
        <f>IF(D92=0,"NO DATA",IF(D92&gt;E92*1.5,"OVER",IF(D92&gt;E92*1.1,"HIGH",IF(D92&lt;E92*0.5,"LOW","OK"))))</f>
        <v/>
      </c>
    </row>
    <row r="93" ht="22" customHeight="1">
      <c r="B93" s="5" t="inlineStr">
        <is>
          <t>MTR-BLR-003</t>
        </is>
      </c>
      <c r="C93" s="5" t="inlineStr">
        <is>
          <t>2024-03-31</t>
        </is>
      </c>
      <c r="D93" s="11" t="n">
        <v>10.17</v>
      </c>
      <c r="E93" s="11" t="n">
        <v>20</v>
      </c>
      <c r="F93" s="11">
        <f>ROUND(D93-E93,2)</f>
        <v/>
      </c>
      <c r="G93" s="13">
        <f>IFERROR(ROUND(F93/E93,4),"")</f>
        <v/>
      </c>
      <c r="H93" s="14">
        <f>IF(D93=0,"NO DATA",IF(D93&gt;E93*1.5,"OVER",IF(D93&gt;E93*1.1,"HIGH",IF(D93&lt;E93*0.5,"LOW","OK"))))</f>
        <v/>
      </c>
    </row>
    <row r="94" ht="22" customHeight="1">
      <c r="B94" s="8" t="inlineStr">
        <is>
          <t>MTR-BLR-003</t>
        </is>
      </c>
      <c r="C94" s="8" t="inlineStr">
        <is>
          <t>2024-04-01</t>
        </is>
      </c>
      <c r="D94" s="12" t="n">
        <v>21.26</v>
      </c>
      <c r="E94" s="12" t="n">
        <v>20</v>
      </c>
      <c r="F94" s="12">
        <f>ROUND(D94-E94,2)</f>
        <v/>
      </c>
      <c r="G94" s="15">
        <f>IFERROR(ROUND(F94/E94,4),"")</f>
        <v/>
      </c>
      <c r="H94" s="16">
        <f>IF(D94=0,"NO DATA",IF(D94&gt;E94*1.5,"OVER",IF(D94&gt;E94*1.1,"HIGH",IF(D94&lt;E94*0.5,"LOW","OK"))))</f>
        <v/>
      </c>
    </row>
    <row r="95" ht="22" customHeight="1">
      <c r="B95" s="5" t="inlineStr">
        <is>
          <t>MTR-BLR-003</t>
        </is>
      </c>
      <c r="C95" s="5" t="inlineStr">
        <is>
          <t>2024-04-02</t>
        </is>
      </c>
      <c r="D95" s="11" t="n">
        <v>21.51</v>
      </c>
      <c r="E95" s="11" t="n">
        <v>20</v>
      </c>
      <c r="F95" s="11">
        <f>ROUND(D95-E95,2)</f>
        <v/>
      </c>
      <c r="G95" s="13">
        <f>IFERROR(ROUND(F95/E95,4),"")</f>
        <v/>
      </c>
      <c r="H95" s="14">
        <f>IF(D95=0,"NO DATA",IF(D95&gt;E95*1.5,"OVER",IF(D95&gt;E95*1.1,"HIGH",IF(D95&lt;E95*0.5,"LOW","OK"))))</f>
        <v/>
      </c>
    </row>
    <row r="96" ht="22" customHeight="1">
      <c r="B96" s="8" t="inlineStr">
        <is>
          <t>MTR-BLR-003</t>
        </is>
      </c>
      <c r="C96" s="8" t="inlineStr">
        <is>
          <t>2024-04-03</t>
        </is>
      </c>
      <c r="D96" s="12" t="n">
        <v>22.37</v>
      </c>
      <c r="E96" s="12" t="n">
        <v>20</v>
      </c>
      <c r="F96" s="12">
        <f>ROUND(D96-E96,2)</f>
        <v/>
      </c>
      <c r="G96" s="15">
        <f>IFERROR(ROUND(F96/E96,4),"")</f>
        <v/>
      </c>
      <c r="H96" s="16">
        <f>IF(D96=0,"NO DATA",IF(D96&gt;E96*1.5,"OVER",IF(D96&gt;E96*1.1,"HIGH",IF(D96&lt;E96*0.5,"LOW","OK"))))</f>
        <v/>
      </c>
    </row>
    <row r="97" ht="22" customHeight="1">
      <c r="B97" s="5" t="inlineStr">
        <is>
          <t>MTR-BLR-003</t>
        </is>
      </c>
      <c r="C97" s="5" t="inlineStr">
        <is>
          <t>2024-04-04</t>
        </is>
      </c>
      <c r="D97" s="11" t="n">
        <v>22.48</v>
      </c>
      <c r="E97" s="11" t="n">
        <v>20</v>
      </c>
      <c r="F97" s="11">
        <f>ROUND(D97-E97,2)</f>
        <v/>
      </c>
      <c r="G97" s="13">
        <f>IFERROR(ROUND(F97/E97,4),"")</f>
        <v/>
      </c>
      <c r="H97" s="14">
        <f>IF(D97=0,"NO DATA",IF(D97&gt;E97*1.5,"OVER",IF(D97&gt;E97*1.1,"HIGH",IF(D97&lt;E97*0.5,"LOW","OK"))))</f>
        <v/>
      </c>
    </row>
    <row r="98" ht="22" customHeight="1">
      <c r="B98" s="8" t="inlineStr">
        <is>
          <t>MTR-BLR-003</t>
        </is>
      </c>
      <c r="C98" s="8" t="inlineStr">
        <is>
          <t>2024-04-05</t>
        </is>
      </c>
      <c r="D98" s="12" t="n">
        <v>19.77</v>
      </c>
      <c r="E98" s="12" t="n">
        <v>20</v>
      </c>
      <c r="F98" s="12">
        <f>ROUND(D98-E98,2)</f>
        <v/>
      </c>
      <c r="G98" s="15">
        <f>IFERROR(ROUND(F98/E98,4),"")</f>
        <v/>
      </c>
      <c r="H98" s="16">
        <f>IF(D98=0,"NO DATA",IF(D98&gt;E98*1.5,"OVER",IF(D98&gt;E98*1.1,"HIGH",IF(D98&lt;E98*0.5,"LOW","OK"))))</f>
        <v/>
      </c>
    </row>
    <row r="99" ht="22" customHeight="1">
      <c r="B99" s="5" t="inlineStr">
        <is>
          <t>MTR-BLR-003</t>
        </is>
      </c>
      <c r="C99" s="5" t="inlineStr">
        <is>
          <t>2024-04-06</t>
        </is>
      </c>
      <c r="D99" s="11" t="n">
        <v>14.72</v>
      </c>
      <c r="E99" s="11" t="n">
        <v>20</v>
      </c>
      <c r="F99" s="11">
        <f>ROUND(D99-E99,2)</f>
        <v/>
      </c>
      <c r="G99" s="13">
        <f>IFERROR(ROUND(F99/E99,4),"")</f>
        <v/>
      </c>
      <c r="H99" s="14">
        <f>IF(D99=0,"NO DATA",IF(D99&gt;E99*1.5,"OVER",IF(D99&gt;E99*1.1,"HIGH",IF(D99&lt;E99*0.5,"LOW","OK"))))</f>
        <v/>
      </c>
    </row>
    <row r="100" ht="22" customHeight="1">
      <c r="B100" s="8" t="inlineStr">
        <is>
          <t>MTR-BLR-003</t>
        </is>
      </c>
      <c r="C100" s="8" t="inlineStr">
        <is>
          <t>2024-04-07</t>
        </is>
      </c>
      <c r="D100" s="12" t="n">
        <v>12.12</v>
      </c>
      <c r="E100" s="12" t="n">
        <v>20</v>
      </c>
      <c r="F100" s="12">
        <f>ROUND(D100-E100,2)</f>
        <v/>
      </c>
      <c r="G100" s="15">
        <f>IFERROR(ROUND(F100/E100,4),"")</f>
        <v/>
      </c>
      <c r="H100" s="16">
        <f>IF(D100=0,"NO DATA",IF(D100&gt;E100*1.5,"OVER",IF(D100&gt;E100*1.1,"HIGH",IF(D100&lt;E100*0.5,"LOW","OK"))))</f>
        <v/>
      </c>
    </row>
    <row r="101" ht="22" customHeight="1">
      <c r="B101" s="5" t="inlineStr">
        <is>
          <t>MTR-BLR-003</t>
        </is>
      </c>
      <c r="C101" s="5" t="inlineStr">
        <is>
          <t>2024-04-08</t>
        </is>
      </c>
      <c r="D101" s="11" t="n">
        <v>19.91</v>
      </c>
      <c r="E101" s="11" t="n">
        <v>20</v>
      </c>
      <c r="F101" s="11">
        <f>ROUND(D101-E101,2)</f>
        <v/>
      </c>
      <c r="G101" s="13">
        <f>IFERROR(ROUND(F101/E101,4),"")</f>
        <v/>
      </c>
      <c r="H101" s="14">
        <f>IF(D101=0,"NO DATA",IF(D101&gt;E101*1.5,"OVER",IF(D101&gt;E101*1.1,"HIGH",IF(D101&lt;E101*0.5,"LOW","OK"))))</f>
        <v/>
      </c>
    </row>
    <row r="102" ht="22" customHeight="1">
      <c r="B102" s="8" t="inlineStr">
        <is>
          <t>MTR-BLR-003</t>
        </is>
      </c>
      <c r="C102" s="8" t="inlineStr">
        <is>
          <t>2024-04-09</t>
        </is>
      </c>
      <c r="D102" s="12" t="n">
        <v>21.32</v>
      </c>
      <c r="E102" s="12" t="n">
        <v>20</v>
      </c>
      <c r="F102" s="12">
        <f>ROUND(D102-E102,2)</f>
        <v/>
      </c>
      <c r="G102" s="15">
        <f>IFERROR(ROUND(F102/E102,4),"")</f>
        <v/>
      </c>
      <c r="H102" s="16">
        <f>IF(D102=0,"NO DATA",IF(D102&gt;E102*1.5,"OVER",IF(D102&gt;E102*1.1,"HIGH",IF(D102&lt;E102*0.5,"LOW","OK"))))</f>
        <v/>
      </c>
    </row>
    <row r="103" ht="22" customHeight="1">
      <c r="B103" s="5" t="inlineStr">
        <is>
          <t>MTR-BLR-003</t>
        </is>
      </c>
      <c r="C103" s="5" t="inlineStr">
        <is>
          <t>2024-04-10</t>
        </is>
      </c>
      <c r="D103" s="11" t="n">
        <v>19.73</v>
      </c>
      <c r="E103" s="11" t="n">
        <v>20</v>
      </c>
      <c r="F103" s="11">
        <f>ROUND(D103-E103,2)</f>
        <v/>
      </c>
      <c r="G103" s="13">
        <f>IFERROR(ROUND(F103/E103,4),"")</f>
        <v/>
      </c>
      <c r="H103" s="14">
        <f>IF(D103=0,"NO DATA",IF(D103&gt;E103*1.5,"OVER",IF(D103&gt;E103*1.1,"HIGH",IF(D103&lt;E103*0.5,"LOW","OK"))))</f>
        <v/>
      </c>
    </row>
    <row r="104" ht="22" customHeight="1">
      <c r="B104" s="8" t="inlineStr">
        <is>
          <t>MTR-BLR-003</t>
        </is>
      </c>
      <c r="C104" s="8" t="inlineStr">
        <is>
          <t>2024-04-11</t>
        </is>
      </c>
      <c r="D104" s="12" t="n">
        <v>22.37</v>
      </c>
      <c r="E104" s="12" t="n">
        <v>20</v>
      </c>
      <c r="F104" s="12">
        <f>ROUND(D104-E104,2)</f>
        <v/>
      </c>
      <c r="G104" s="15">
        <f>IFERROR(ROUND(F104/E104,4),"")</f>
        <v/>
      </c>
      <c r="H104" s="16">
        <f>IF(D104=0,"NO DATA",IF(D104&gt;E104*1.5,"OVER",IF(D104&gt;E104*1.1,"HIGH",IF(D104&lt;E104*0.5,"LOW","OK"))))</f>
        <v/>
      </c>
    </row>
    <row r="105" ht="22" customHeight="1">
      <c r="B105" s="5" t="inlineStr">
        <is>
          <t>MTR-BLR-003</t>
        </is>
      </c>
      <c r="C105" s="5" t="inlineStr">
        <is>
          <t>2024-04-12</t>
        </is>
      </c>
      <c r="D105" s="11" t="n">
        <v>22.38</v>
      </c>
      <c r="E105" s="11" t="n">
        <v>20</v>
      </c>
      <c r="F105" s="11">
        <f>ROUND(D105-E105,2)</f>
        <v/>
      </c>
      <c r="G105" s="13">
        <f>IFERROR(ROUND(F105/E105,4),"")</f>
        <v/>
      </c>
      <c r="H105" s="14">
        <f>IF(D105=0,"NO DATA",IF(D105&gt;E105*1.5,"OVER",IF(D105&gt;E105*1.1,"HIGH",IF(D105&lt;E105*0.5,"LOW","OK"))))</f>
        <v/>
      </c>
    </row>
    <row r="106" ht="22" customHeight="1">
      <c r="B106" s="8" t="inlineStr">
        <is>
          <t>MTR-BLR-003</t>
        </is>
      </c>
      <c r="C106" s="8" t="inlineStr">
        <is>
          <t>2024-04-13</t>
        </is>
      </c>
      <c r="D106" s="12" t="n">
        <v>18.13</v>
      </c>
      <c r="E106" s="12" t="n">
        <v>20</v>
      </c>
      <c r="F106" s="12">
        <f>ROUND(D106-E106,2)</f>
        <v/>
      </c>
      <c r="G106" s="15">
        <f>IFERROR(ROUND(F106/E106,4),"")</f>
        <v/>
      </c>
      <c r="H106" s="16">
        <f>IF(D106=0,"NO DATA",IF(D106&gt;E106*1.5,"OVER",IF(D106&gt;E106*1.1,"HIGH",IF(D106&lt;E106*0.5,"LOW","OK"))))</f>
        <v/>
      </c>
    </row>
    <row r="107" ht="22" customHeight="1">
      <c r="B107" s="5" t="inlineStr">
        <is>
          <t>MTR-BLR-003</t>
        </is>
      </c>
      <c r="C107" s="5" t="inlineStr">
        <is>
          <t>2024-04-14</t>
        </is>
      </c>
      <c r="D107" s="11" t="n">
        <v>11.69</v>
      </c>
      <c r="E107" s="11" t="n">
        <v>20</v>
      </c>
      <c r="F107" s="11">
        <f>ROUND(D107-E107,2)</f>
        <v/>
      </c>
      <c r="G107" s="13">
        <f>IFERROR(ROUND(F107/E107,4),"")</f>
        <v/>
      </c>
      <c r="H107" s="14">
        <f>IF(D107=0,"NO DATA",IF(D107&gt;E107*1.5,"OVER",IF(D107&gt;E107*1.1,"HIGH",IF(D107&lt;E107*0.5,"LOW","OK"))))</f>
        <v/>
      </c>
    </row>
    <row r="108" ht="22" customHeight="1">
      <c r="B108" s="8" t="inlineStr">
        <is>
          <t>MTR-BLR-003</t>
        </is>
      </c>
      <c r="C108" s="8" t="inlineStr">
        <is>
          <t>2024-04-15</t>
        </is>
      </c>
      <c r="D108" s="12" t="n">
        <v>17.89</v>
      </c>
      <c r="E108" s="12" t="n">
        <v>20</v>
      </c>
      <c r="F108" s="12">
        <f>ROUND(D108-E108,2)</f>
        <v/>
      </c>
      <c r="G108" s="15">
        <f>IFERROR(ROUND(F108/E108,4),"")</f>
        <v/>
      </c>
      <c r="H108" s="16">
        <f>IF(D108=0,"NO DATA",IF(D108&gt;E108*1.5,"OVER",IF(D108&gt;E108*1.1,"HIGH",IF(D108&lt;E108*0.5,"LOW","OK"))))</f>
        <v/>
      </c>
    </row>
    <row r="109" ht="22" customHeight="1">
      <c r="B109" s="5" t="inlineStr">
        <is>
          <t>MTR-BLR-003</t>
        </is>
      </c>
      <c r="C109" s="5" t="inlineStr">
        <is>
          <t>2024-04-16</t>
        </is>
      </c>
      <c r="D109" s="11" t="n">
        <v>17.92</v>
      </c>
      <c r="E109" s="11" t="n">
        <v>20</v>
      </c>
      <c r="F109" s="11">
        <f>ROUND(D109-E109,2)</f>
        <v/>
      </c>
      <c r="G109" s="13">
        <f>IFERROR(ROUND(F109/E109,4),"")</f>
        <v/>
      </c>
      <c r="H109" s="14">
        <f>IF(D109=0,"NO DATA",IF(D109&gt;E109*1.5,"OVER",IF(D109&gt;E109*1.1,"HIGH",IF(D109&lt;E109*0.5,"LOW","OK"))))</f>
        <v/>
      </c>
    </row>
    <row r="110" ht="22" customHeight="1">
      <c r="B110" s="8" t="inlineStr">
        <is>
          <t>MTR-BLR-003</t>
        </is>
      </c>
      <c r="C110" s="8" t="inlineStr">
        <is>
          <t>2024-04-17</t>
        </is>
      </c>
      <c r="D110" s="12" t="n">
        <v>18.12</v>
      </c>
      <c r="E110" s="12" t="n">
        <v>20</v>
      </c>
      <c r="F110" s="12">
        <f>ROUND(D110-E110,2)</f>
        <v/>
      </c>
      <c r="G110" s="15">
        <f>IFERROR(ROUND(F110/E110,4),"")</f>
        <v/>
      </c>
      <c r="H110" s="16">
        <f>IF(D110=0,"NO DATA",IF(D110&gt;E110*1.5,"OVER",IF(D110&gt;E110*1.1,"HIGH",IF(D110&lt;E110*0.5,"LOW","OK"))))</f>
        <v/>
      </c>
    </row>
    <row r="111" ht="22" customHeight="1">
      <c r="B111" s="5" t="inlineStr">
        <is>
          <t>MTR-BLR-003</t>
        </is>
      </c>
      <c r="C111" s="5" t="inlineStr">
        <is>
          <t>2024-04-18</t>
        </is>
      </c>
      <c r="D111" s="11" t="n">
        <v>19.98</v>
      </c>
      <c r="E111" s="11" t="n">
        <v>20</v>
      </c>
      <c r="F111" s="11">
        <f>ROUND(D111-E111,2)</f>
        <v/>
      </c>
      <c r="G111" s="13">
        <f>IFERROR(ROUND(F111/E111,4),"")</f>
        <v/>
      </c>
      <c r="H111" s="14">
        <f>IF(D111=0,"NO DATA",IF(D111&gt;E111*1.5,"OVER",IF(D111&gt;E111*1.1,"HIGH",IF(D111&lt;E111*0.5,"LOW","OK"))))</f>
        <v/>
      </c>
    </row>
    <row r="112" ht="22" customHeight="1">
      <c r="B112" s="8" t="inlineStr">
        <is>
          <t>MTR-BLR-003</t>
        </is>
      </c>
      <c r="C112" s="8" t="inlineStr">
        <is>
          <t>2024-04-19</t>
        </is>
      </c>
      <c r="D112" s="12" t="n">
        <v>18.09</v>
      </c>
      <c r="E112" s="12" t="n">
        <v>20</v>
      </c>
      <c r="F112" s="12">
        <f>ROUND(D112-E112,2)</f>
        <v/>
      </c>
      <c r="G112" s="15">
        <f>IFERROR(ROUND(F112/E112,4),"")</f>
        <v/>
      </c>
      <c r="H112" s="16">
        <f>IF(D112=0,"NO DATA",IF(D112&gt;E112*1.5,"OVER",IF(D112&gt;E112*1.1,"HIGH",IF(D112&lt;E112*0.5,"LOW","OK"))))</f>
        <v/>
      </c>
    </row>
    <row r="113" ht="22" customHeight="1">
      <c r="B113" s="5" t="inlineStr">
        <is>
          <t>MTR-BLR-003</t>
        </is>
      </c>
      <c r="C113" s="5" t="inlineStr">
        <is>
          <t>2024-04-20</t>
        </is>
      </c>
      <c r="D113" s="11" t="n">
        <v>18.55</v>
      </c>
      <c r="E113" s="11" t="n">
        <v>20</v>
      </c>
      <c r="F113" s="11">
        <f>ROUND(D113-E113,2)</f>
        <v/>
      </c>
      <c r="G113" s="13">
        <f>IFERROR(ROUND(F113/E113,4),"")</f>
        <v/>
      </c>
      <c r="H113" s="14">
        <f>IF(D113=0,"NO DATA",IF(D113&gt;E113*1.5,"OVER",IF(D113&gt;E113*1.1,"HIGH",IF(D113&lt;E113*0.5,"LOW","OK"))))</f>
        <v/>
      </c>
    </row>
    <row r="114" ht="22" customHeight="1">
      <c r="B114" s="8" t="inlineStr">
        <is>
          <t>MTR-BLR-003</t>
        </is>
      </c>
      <c r="C114" s="8" t="inlineStr">
        <is>
          <t>2024-04-21</t>
        </is>
      </c>
      <c r="D114" s="12" t="n">
        <v>10.73</v>
      </c>
      <c r="E114" s="12" t="n">
        <v>20</v>
      </c>
      <c r="F114" s="12">
        <f>ROUND(D114-E114,2)</f>
        <v/>
      </c>
      <c r="G114" s="15">
        <f>IFERROR(ROUND(F114/E114,4),"")</f>
        <v/>
      </c>
      <c r="H114" s="16">
        <f>IF(D114=0,"NO DATA",IF(D114&gt;E114*1.5,"OVER",IF(D114&gt;E114*1.1,"HIGH",IF(D114&lt;E114*0.5,"LOW","OK"))))</f>
        <v/>
      </c>
    </row>
    <row r="115" ht="22" customHeight="1">
      <c r="B115" s="5" t="inlineStr">
        <is>
          <t>MTR-BLR-003</t>
        </is>
      </c>
      <c r="C115" s="5" t="inlineStr">
        <is>
          <t>2024-04-22</t>
        </is>
      </c>
      <c r="D115" s="11" t="n">
        <v>20.95</v>
      </c>
      <c r="E115" s="11" t="n">
        <v>20</v>
      </c>
      <c r="F115" s="11">
        <f>ROUND(D115-E115,2)</f>
        <v/>
      </c>
      <c r="G115" s="13">
        <f>IFERROR(ROUND(F115/E115,4),"")</f>
        <v/>
      </c>
      <c r="H115" s="14">
        <f>IF(D115=0,"NO DATA",IF(D115&gt;E115*1.5,"OVER",IF(D115&gt;E115*1.1,"HIGH",IF(D115&lt;E115*0.5,"LOW","OK"))))</f>
        <v/>
      </c>
    </row>
    <row r="116" ht="22" customHeight="1">
      <c r="B116" s="8" t="inlineStr">
        <is>
          <t>MTR-BLR-003</t>
        </is>
      </c>
      <c r="C116" s="8" t="inlineStr">
        <is>
          <t>2024-04-23</t>
        </is>
      </c>
      <c r="D116" s="12" t="n">
        <v>21.01</v>
      </c>
      <c r="E116" s="12" t="n">
        <v>20</v>
      </c>
      <c r="F116" s="12">
        <f>ROUND(D116-E116,2)</f>
        <v/>
      </c>
      <c r="G116" s="15">
        <f>IFERROR(ROUND(F116/E116,4),"")</f>
        <v/>
      </c>
      <c r="H116" s="16">
        <f>IF(D116=0,"NO DATA",IF(D116&gt;E116*1.5,"OVER",IF(D116&gt;E116*1.1,"HIGH",IF(D116&lt;E116*0.5,"LOW","OK"))))</f>
        <v/>
      </c>
    </row>
    <row r="117" ht="22" customHeight="1">
      <c r="B117" s="5" t="inlineStr">
        <is>
          <t>MTR-BLR-003</t>
        </is>
      </c>
      <c r="C117" s="5" t="inlineStr">
        <is>
          <t>2024-04-24</t>
        </is>
      </c>
      <c r="D117" s="11" t="n">
        <v>19.8</v>
      </c>
      <c r="E117" s="11" t="n">
        <v>20</v>
      </c>
      <c r="F117" s="11">
        <f>ROUND(D117-E117,2)</f>
        <v/>
      </c>
      <c r="G117" s="13">
        <f>IFERROR(ROUND(F117/E117,4),"")</f>
        <v/>
      </c>
      <c r="H117" s="14">
        <f>IF(D117=0,"NO DATA",IF(D117&gt;E117*1.5,"OVER",IF(D117&gt;E117*1.1,"HIGH",IF(D117&lt;E117*0.5,"LOW","OK"))))</f>
        <v/>
      </c>
    </row>
    <row r="118" ht="22" customHeight="1">
      <c r="B118" s="8" t="inlineStr">
        <is>
          <t>MTR-BLR-003</t>
        </is>
      </c>
      <c r="C118" s="8" t="inlineStr">
        <is>
          <t>2024-04-25</t>
        </is>
      </c>
      <c r="D118" s="12" t="n">
        <v>20.13</v>
      </c>
      <c r="E118" s="12" t="n">
        <v>20</v>
      </c>
      <c r="F118" s="12">
        <f>ROUND(D118-E118,2)</f>
        <v/>
      </c>
      <c r="G118" s="15">
        <f>IFERROR(ROUND(F118/E118,4),"")</f>
        <v/>
      </c>
      <c r="H118" s="16">
        <f>IF(D118=0,"NO DATA",IF(D118&gt;E118*1.5,"OVER",IF(D118&gt;E118*1.1,"HIGH",IF(D118&lt;E118*0.5,"LOW","OK"))))</f>
        <v/>
      </c>
    </row>
    <row r="119" ht="22" customHeight="1">
      <c r="B119" s="5" t="inlineStr">
        <is>
          <t>MTR-BLR-003</t>
        </is>
      </c>
      <c r="C119" s="5" t="inlineStr">
        <is>
          <t>2024-04-26</t>
        </is>
      </c>
      <c r="D119" s="11" t="n">
        <v>20.77</v>
      </c>
      <c r="E119" s="11" t="n">
        <v>20</v>
      </c>
      <c r="F119" s="11">
        <f>ROUND(D119-E119,2)</f>
        <v/>
      </c>
      <c r="G119" s="13">
        <f>IFERROR(ROUND(F119/E119,4),"")</f>
        <v/>
      </c>
      <c r="H119" s="14">
        <f>IF(D119=0,"NO DATA",IF(D119&gt;E119*1.5,"OVER",IF(D119&gt;E119*1.1,"HIGH",IF(D119&lt;E119*0.5,"LOW","OK"))))</f>
        <v/>
      </c>
    </row>
    <row r="120" ht="22" customHeight="1">
      <c r="B120" s="8" t="inlineStr">
        <is>
          <t>MTR-BLR-003</t>
        </is>
      </c>
      <c r="C120" s="8" t="inlineStr">
        <is>
          <t>2024-04-27</t>
        </is>
      </c>
      <c r="D120" s="12" t="n">
        <v>15.82</v>
      </c>
      <c r="E120" s="12" t="n">
        <v>20</v>
      </c>
      <c r="F120" s="12">
        <f>ROUND(D120-E120,2)</f>
        <v/>
      </c>
      <c r="G120" s="15">
        <f>IFERROR(ROUND(F120/E120,4),"")</f>
        <v/>
      </c>
      <c r="H120" s="16">
        <f>IF(D120=0,"NO DATA",IF(D120&gt;E120*1.5,"OVER",IF(D120&gt;E120*1.1,"HIGH",IF(D120&lt;E120*0.5,"LOW","OK"))))</f>
        <v/>
      </c>
    </row>
    <row r="121" ht="22" customHeight="1">
      <c r="B121" s="5" t="inlineStr">
        <is>
          <t>MTR-BLR-003</t>
        </is>
      </c>
      <c r="C121" s="5" t="inlineStr">
        <is>
          <t>2024-04-28</t>
        </is>
      </c>
      <c r="D121" s="11" t="n">
        <v>10.46</v>
      </c>
      <c r="E121" s="11" t="n">
        <v>20</v>
      </c>
      <c r="F121" s="11">
        <f>ROUND(D121-E121,2)</f>
        <v/>
      </c>
      <c r="G121" s="13">
        <f>IFERROR(ROUND(F121/E121,4),"")</f>
        <v/>
      </c>
      <c r="H121" s="14">
        <f>IF(D121=0,"NO DATA",IF(D121&gt;E121*1.5,"OVER",IF(D121&gt;E121*1.1,"HIGH",IF(D121&lt;E121*0.5,"LOW","OK"))))</f>
        <v/>
      </c>
    </row>
    <row r="122" ht="22" customHeight="1">
      <c r="B122" s="8" t="inlineStr">
        <is>
          <t>MTR-BLR-003</t>
        </is>
      </c>
      <c r="C122" s="8" t="inlineStr">
        <is>
          <t>2024-04-29</t>
        </is>
      </c>
      <c r="D122" s="12" t="n">
        <v>19.3</v>
      </c>
      <c r="E122" s="12" t="n">
        <v>20</v>
      </c>
      <c r="F122" s="12">
        <f>ROUND(D122-E122,2)</f>
        <v/>
      </c>
      <c r="G122" s="15">
        <f>IFERROR(ROUND(F122/E122,4),"")</f>
        <v/>
      </c>
      <c r="H122" s="16">
        <f>IF(D122=0,"NO DATA",IF(D122&gt;E122*1.5,"OVER",IF(D122&gt;E122*1.1,"HIGH",IF(D122&lt;E122*0.5,"LOW","OK"))))</f>
        <v/>
      </c>
    </row>
    <row r="123" ht="22" customHeight="1">
      <c r="B123" s="5" t="inlineStr">
        <is>
          <t>MTR-BLR-003</t>
        </is>
      </c>
      <c r="C123" s="5" t="inlineStr">
        <is>
          <t>2024-04-30</t>
        </is>
      </c>
      <c r="D123" s="11" t="n">
        <v>19.01</v>
      </c>
      <c r="E123" s="11" t="n">
        <v>20</v>
      </c>
      <c r="F123" s="11">
        <f>ROUND(D123-E123,2)</f>
        <v/>
      </c>
      <c r="G123" s="13">
        <f>IFERROR(ROUND(F123/E123,4),"")</f>
        <v/>
      </c>
      <c r="H123" s="14">
        <f>IF(D123=0,"NO DATA",IF(D123&gt;E123*1.5,"OVER",IF(D123&gt;E123*1.1,"HIGH",IF(D123&lt;E123*0.5,"LOW","OK"))))</f>
        <v/>
      </c>
    </row>
    <row r="124" ht="22" customHeight="1">
      <c r="B124" s="8" t="inlineStr">
        <is>
          <t>MTR-BLR-003</t>
        </is>
      </c>
      <c r="C124" s="8" t="inlineStr">
        <is>
          <t>2024-05-01</t>
        </is>
      </c>
      <c r="D124" s="12" t="n">
        <v>18.72</v>
      </c>
      <c r="E124" s="12" t="n">
        <v>20</v>
      </c>
      <c r="F124" s="12">
        <f>ROUND(D124-E124,2)</f>
        <v/>
      </c>
      <c r="G124" s="15">
        <f>IFERROR(ROUND(F124/E124,4),"")</f>
        <v/>
      </c>
      <c r="H124" s="16">
        <f>IF(D124=0,"NO DATA",IF(D124&gt;E124*1.5,"OVER",IF(D124&gt;E124*1.1,"HIGH",IF(D124&lt;E124*0.5,"LOW","OK"))))</f>
        <v/>
      </c>
    </row>
    <row r="125" ht="22" customHeight="1">
      <c r="B125" s="5" t="inlineStr">
        <is>
          <t>MTR-BLR-003</t>
        </is>
      </c>
      <c r="C125" s="5" t="inlineStr">
        <is>
          <t>2024-05-02</t>
        </is>
      </c>
      <c r="D125" s="11" t="n">
        <v>18.96</v>
      </c>
      <c r="E125" s="11" t="n">
        <v>20</v>
      </c>
      <c r="F125" s="11">
        <f>ROUND(D125-E125,2)</f>
        <v/>
      </c>
      <c r="G125" s="13">
        <f>IFERROR(ROUND(F125/E125,4),"")</f>
        <v/>
      </c>
      <c r="H125" s="14">
        <f>IF(D125=0,"NO DATA",IF(D125&gt;E125*1.5,"OVER",IF(D125&gt;E125*1.1,"HIGH",IF(D125&lt;E125*0.5,"LOW","OK"))))</f>
        <v/>
      </c>
    </row>
    <row r="126" ht="22" customHeight="1">
      <c r="B126" s="8" t="inlineStr">
        <is>
          <t>MTR-BLR-003</t>
        </is>
      </c>
      <c r="C126" s="8" t="inlineStr">
        <is>
          <t>2024-05-03</t>
        </is>
      </c>
      <c r="D126" s="12" t="n">
        <v>20.05</v>
      </c>
      <c r="E126" s="12" t="n">
        <v>20</v>
      </c>
      <c r="F126" s="12">
        <f>ROUND(D126-E126,2)</f>
        <v/>
      </c>
      <c r="G126" s="15">
        <f>IFERROR(ROUND(F126/E126,4),"")</f>
        <v/>
      </c>
      <c r="H126" s="16">
        <f>IF(D126=0,"NO DATA",IF(D126&gt;E126*1.5,"OVER",IF(D126&gt;E126*1.1,"HIGH",IF(D126&lt;E126*0.5,"LOW","OK"))))</f>
        <v/>
      </c>
    </row>
    <row r="127" ht="22" customHeight="1">
      <c r="B127" s="5" t="inlineStr">
        <is>
          <t>MTR-BLR-003</t>
        </is>
      </c>
      <c r="C127" s="5" t="inlineStr">
        <is>
          <t>2024-05-04</t>
        </is>
      </c>
      <c r="D127" s="11" t="n">
        <v>16.94</v>
      </c>
      <c r="E127" s="11" t="n">
        <v>20</v>
      </c>
      <c r="F127" s="11">
        <f>ROUND(D127-E127,2)</f>
        <v/>
      </c>
      <c r="G127" s="13">
        <f>IFERROR(ROUND(F127/E127,4),"")</f>
        <v/>
      </c>
      <c r="H127" s="14">
        <f>IF(D127=0,"NO DATA",IF(D127&gt;E127*1.5,"OVER",IF(D127&gt;E127*1.1,"HIGH",IF(D127&lt;E127*0.5,"LOW","OK"))))</f>
        <v/>
      </c>
    </row>
    <row r="128" ht="22" customHeight="1">
      <c r="B128" s="8" t="inlineStr">
        <is>
          <t>MTR-BLR-003</t>
        </is>
      </c>
      <c r="C128" s="8" t="inlineStr">
        <is>
          <t>2024-05-05</t>
        </is>
      </c>
      <c r="D128" s="12" t="n">
        <v>12.4</v>
      </c>
      <c r="E128" s="12" t="n">
        <v>20</v>
      </c>
      <c r="F128" s="12">
        <f>ROUND(D128-E128,2)</f>
        <v/>
      </c>
      <c r="G128" s="15">
        <f>IFERROR(ROUND(F128/E128,4),"")</f>
        <v/>
      </c>
      <c r="H128" s="16">
        <f>IF(D128=0,"NO DATA",IF(D128&gt;E128*1.5,"OVER",IF(D128&gt;E128*1.1,"HIGH",IF(D128&lt;E128*0.5,"LOW","OK"))))</f>
        <v/>
      </c>
    </row>
    <row r="129" ht="22" customHeight="1">
      <c r="B129" s="5" t="inlineStr">
        <is>
          <t>MTR-BLR-003</t>
        </is>
      </c>
      <c r="C129" s="5" t="inlineStr">
        <is>
          <t>2024-05-06</t>
        </is>
      </c>
      <c r="D129" s="11" t="n">
        <v>24.23</v>
      </c>
      <c r="E129" s="11" t="n">
        <v>20</v>
      </c>
      <c r="F129" s="11">
        <f>ROUND(D129-E129,2)</f>
        <v/>
      </c>
      <c r="G129" s="13">
        <f>IFERROR(ROUND(F129/E129,4),"")</f>
        <v/>
      </c>
      <c r="H129" s="14">
        <f>IF(D129=0,"NO DATA",IF(D129&gt;E129*1.5,"OVER",IF(D129&gt;E129*1.1,"HIGH",IF(D129&lt;E129*0.5,"LOW","OK"))))</f>
        <v/>
      </c>
    </row>
    <row r="130" ht="22" customHeight="1">
      <c r="B130" s="8" t="inlineStr">
        <is>
          <t>MTR-BLR-003</t>
        </is>
      </c>
      <c r="C130" s="8" t="inlineStr">
        <is>
          <t>2024-05-07</t>
        </is>
      </c>
      <c r="D130" s="12" t="n">
        <v>23.82</v>
      </c>
      <c r="E130" s="12" t="n">
        <v>20</v>
      </c>
      <c r="F130" s="12">
        <f>ROUND(D130-E130,2)</f>
        <v/>
      </c>
      <c r="G130" s="15">
        <f>IFERROR(ROUND(F130/E130,4),"")</f>
        <v/>
      </c>
      <c r="H130" s="16">
        <f>IF(D130=0,"NO DATA",IF(D130&gt;E130*1.5,"OVER",IF(D130&gt;E130*1.1,"HIGH",IF(D130&lt;E130*0.5,"LOW","OK"))))</f>
        <v/>
      </c>
    </row>
    <row r="131" ht="22" customHeight="1">
      <c r="B131" s="5" t="inlineStr">
        <is>
          <t>MTR-BLR-003</t>
        </is>
      </c>
      <c r="C131" s="5" t="inlineStr">
        <is>
          <t>2024-05-08</t>
        </is>
      </c>
      <c r="D131" s="11" t="n">
        <v>20.45</v>
      </c>
      <c r="E131" s="11" t="n">
        <v>20</v>
      </c>
      <c r="F131" s="11">
        <f>ROUND(D131-E131,2)</f>
        <v/>
      </c>
      <c r="G131" s="13">
        <f>IFERROR(ROUND(F131/E131,4),"")</f>
        <v/>
      </c>
      <c r="H131" s="14">
        <f>IF(D131=0,"NO DATA",IF(D131&gt;E131*1.5,"OVER",IF(D131&gt;E131*1.1,"HIGH",IF(D131&lt;E131*0.5,"LOW","OK"))))</f>
        <v/>
      </c>
    </row>
    <row r="132" ht="22" customHeight="1">
      <c r="B132" s="8" t="inlineStr">
        <is>
          <t>MTR-BLR-003</t>
        </is>
      </c>
      <c r="C132" s="8" t="inlineStr">
        <is>
          <t>2024-05-09</t>
        </is>
      </c>
      <c r="D132" s="12" t="n">
        <v>19.96</v>
      </c>
      <c r="E132" s="12" t="n">
        <v>20</v>
      </c>
      <c r="F132" s="12">
        <f>ROUND(D132-E132,2)</f>
        <v/>
      </c>
      <c r="G132" s="15">
        <f>IFERROR(ROUND(F132/E132,4),"")</f>
        <v/>
      </c>
      <c r="H132" s="16">
        <f>IF(D132=0,"NO DATA",IF(D132&gt;E132*1.5,"OVER",IF(D132&gt;E132*1.1,"HIGH",IF(D132&lt;E132*0.5,"LOW","OK"))))</f>
        <v/>
      </c>
    </row>
    <row r="133" ht="22" customHeight="1">
      <c r="B133" s="5" t="inlineStr">
        <is>
          <t>MTR-BLR-003</t>
        </is>
      </c>
      <c r="C133" s="5" t="inlineStr">
        <is>
          <t>2024-05-10</t>
        </is>
      </c>
      <c r="D133" s="11" t="n">
        <v>22.25</v>
      </c>
      <c r="E133" s="11" t="n">
        <v>20</v>
      </c>
      <c r="F133" s="11">
        <f>ROUND(D133-E133,2)</f>
        <v/>
      </c>
      <c r="G133" s="13">
        <f>IFERROR(ROUND(F133/E133,4),"")</f>
        <v/>
      </c>
      <c r="H133" s="14">
        <f>IF(D133=0,"NO DATA",IF(D133&gt;E133*1.5,"OVER",IF(D133&gt;E133*1.1,"HIGH",IF(D133&lt;E133*0.5,"LOW","OK"))))</f>
        <v/>
      </c>
    </row>
    <row r="134" ht="22" customHeight="1">
      <c r="B134" s="8" t="inlineStr">
        <is>
          <t>MTR-BLR-003</t>
        </is>
      </c>
      <c r="C134" s="8" t="inlineStr">
        <is>
          <t>2024-05-11</t>
        </is>
      </c>
      <c r="D134" s="12" t="n">
        <v>16.32</v>
      </c>
      <c r="E134" s="12" t="n">
        <v>20</v>
      </c>
      <c r="F134" s="12">
        <f>ROUND(D134-E134,2)</f>
        <v/>
      </c>
      <c r="G134" s="15">
        <f>IFERROR(ROUND(F134/E134,4),"")</f>
        <v/>
      </c>
      <c r="H134" s="16">
        <f>IF(D134=0,"NO DATA",IF(D134&gt;E134*1.5,"OVER",IF(D134&gt;E134*1.1,"HIGH",IF(D134&lt;E134*0.5,"LOW","OK"))))</f>
        <v/>
      </c>
    </row>
    <row r="135" ht="22" customHeight="1">
      <c r="B135" s="5" t="inlineStr">
        <is>
          <t>MTR-BLR-003</t>
        </is>
      </c>
      <c r="C135" s="5" t="inlineStr">
        <is>
          <t>2024-05-12</t>
        </is>
      </c>
      <c r="D135" s="11" t="n">
        <v>9.550000000000001</v>
      </c>
      <c r="E135" s="11" t="n">
        <v>20</v>
      </c>
      <c r="F135" s="11">
        <f>ROUND(D135-E135,2)</f>
        <v/>
      </c>
      <c r="G135" s="13">
        <f>IFERROR(ROUND(F135/E135,4),"")</f>
        <v/>
      </c>
      <c r="H135" s="14">
        <f>IF(D135=0,"NO DATA",IF(D135&gt;E135*1.5,"OVER",IF(D135&gt;E135*1.1,"HIGH",IF(D135&lt;E135*0.5,"LOW","OK"))))</f>
        <v/>
      </c>
    </row>
    <row r="136" ht="22" customHeight="1">
      <c r="B136" s="8" t="inlineStr">
        <is>
          <t>MTR-BLR-003</t>
        </is>
      </c>
      <c r="C136" s="8" t="inlineStr">
        <is>
          <t>2024-05-13</t>
        </is>
      </c>
      <c r="D136" s="12" t="n">
        <v>22.57</v>
      </c>
      <c r="E136" s="12" t="n">
        <v>20</v>
      </c>
      <c r="F136" s="12">
        <f>ROUND(D136-E136,2)</f>
        <v/>
      </c>
      <c r="G136" s="15">
        <f>IFERROR(ROUND(F136/E136,4),"")</f>
        <v/>
      </c>
      <c r="H136" s="16">
        <f>IF(D136=0,"NO DATA",IF(D136&gt;E136*1.5,"OVER",IF(D136&gt;E136*1.1,"HIGH",IF(D136&lt;E136*0.5,"LOW","OK"))))</f>
        <v/>
      </c>
    </row>
    <row r="137" ht="22" customHeight="1">
      <c r="B137" s="5" t="inlineStr">
        <is>
          <t>MTR-BLR-003</t>
        </is>
      </c>
      <c r="C137" s="5" t="inlineStr">
        <is>
          <t>2024-05-14</t>
        </is>
      </c>
      <c r="D137" s="11" t="n">
        <v>24.12</v>
      </c>
      <c r="E137" s="11" t="n">
        <v>20</v>
      </c>
      <c r="F137" s="11">
        <f>ROUND(D137-E137,2)</f>
        <v/>
      </c>
      <c r="G137" s="13">
        <f>IFERROR(ROUND(F137/E137,4),"")</f>
        <v/>
      </c>
      <c r="H137" s="14">
        <f>IF(D137=0,"NO DATA",IF(D137&gt;E137*1.5,"OVER",IF(D137&gt;E137*1.1,"HIGH",IF(D137&lt;E137*0.5,"LOW","OK"))))</f>
        <v/>
      </c>
    </row>
    <row r="138" ht="22" customHeight="1">
      <c r="B138" s="8" t="inlineStr">
        <is>
          <t>MTR-BLR-003</t>
        </is>
      </c>
      <c r="C138" s="8" t="inlineStr">
        <is>
          <t>2024-05-15</t>
        </is>
      </c>
      <c r="D138" s="12" t="n">
        <v>24.13</v>
      </c>
      <c r="E138" s="12" t="n">
        <v>20</v>
      </c>
      <c r="F138" s="12">
        <f>ROUND(D138-E138,2)</f>
        <v/>
      </c>
      <c r="G138" s="15">
        <f>IFERROR(ROUND(F138/E138,4),"")</f>
        <v/>
      </c>
      <c r="H138" s="16">
        <f>IF(D138=0,"NO DATA",IF(D138&gt;E138*1.5,"OVER",IF(D138&gt;E138*1.1,"HIGH",IF(D138&lt;E138*0.5,"LOW","OK"))))</f>
        <v/>
      </c>
    </row>
    <row r="139" ht="22" customHeight="1">
      <c r="B139" s="5" t="inlineStr">
        <is>
          <t>MTR-BLR-003</t>
        </is>
      </c>
      <c r="C139" s="5" t="inlineStr">
        <is>
          <t>2024-05-16</t>
        </is>
      </c>
      <c r="D139" s="11" t="n">
        <v>23.4</v>
      </c>
      <c r="E139" s="11" t="n">
        <v>20</v>
      </c>
      <c r="F139" s="11">
        <f>ROUND(D139-E139,2)</f>
        <v/>
      </c>
      <c r="G139" s="13">
        <f>IFERROR(ROUND(F139/E139,4),"")</f>
        <v/>
      </c>
      <c r="H139" s="14">
        <f>IF(D139=0,"NO DATA",IF(D139&gt;E139*1.5,"OVER",IF(D139&gt;E139*1.1,"HIGH",IF(D139&lt;E139*0.5,"LOW","OK"))))</f>
        <v/>
      </c>
    </row>
    <row r="140" ht="22" customHeight="1">
      <c r="B140" s="8" t="inlineStr">
        <is>
          <t>MTR-BLR-003</t>
        </is>
      </c>
      <c r="C140" s="8" t="inlineStr">
        <is>
          <t>2024-05-17</t>
        </is>
      </c>
      <c r="D140" s="12" t="n">
        <v>23.9</v>
      </c>
      <c r="E140" s="12" t="n">
        <v>20</v>
      </c>
      <c r="F140" s="12">
        <f>ROUND(D140-E140,2)</f>
        <v/>
      </c>
      <c r="G140" s="15">
        <f>IFERROR(ROUND(F140/E140,4),"")</f>
        <v/>
      </c>
      <c r="H140" s="16">
        <f>IF(D140=0,"NO DATA",IF(D140&gt;E140*1.5,"OVER",IF(D140&gt;E140*1.1,"HIGH",IF(D140&lt;E140*0.5,"LOW","OK"))))</f>
        <v/>
      </c>
    </row>
    <row r="141" ht="22" customHeight="1">
      <c r="B141" s="5" t="inlineStr">
        <is>
          <t>MTR-BLR-003</t>
        </is>
      </c>
      <c r="C141" s="5" t="inlineStr">
        <is>
          <t>2024-05-18</t>
        </is>
      </c>
      <c r="D141" s="11" t="n">
        <v>17.91</v>
      </c>
      <c r="E141" s="11" t="n">
        <v>20</v>
      </c>
      <c r="F141" s="11">
        <f>ROUND(D141-E141,2)</f>
        <v/>
      </c>
      <c r="G141" s="13">
        <f>IFERROR(ROUND(F141/E141,4),"")</f>
        <v/>
      </c>
      <c r="H141" s="14">
        <f>IF(D141=0,"NO DATA",IF(D141&gt;E141*1.5,"OVER",IF(D141&gt;E141*1.1,"HIGH",IF(D141&lt;E141*0.5,"LOW","OK"))))</f>
        <v/>
      </c>
    </row>
    <row r="142" ht="22" customHeight="1">
      <c r="B142" s="8" t="inlineStr">
        <is>
          <t>MTR-BLR-003</t>
        </is>
      </c>
      <c r="C142" s="8" t="inlineStr">
        <is>
          <t>2024-05-19</t>
        </is>
      </c>
      <c r="D142" s="12" t="n">
        <v>12.44</v>
      </c>
      <c r="E142" s="12" t="n">
        <v>20</v>
      </c>
      <c r="F142" s="12">
        <f>ROUND(D142-E142,2)</f>
        <v/>
      </c>
      <c r="G142" s="15">
        <f>IFERROR(ROUND(F142/E142,4),"")</f>
        <v/>
      </c>
      <c r="H142" s="16">
        <f>IF(D142=0,"NO DATA",IF(D142&gt;E142*1.5,"OVER",IF(D142&gt;E142*1.1,"HIGH",IF(D142&lt;E142*0.5,"LOW","OK"))))</f>
        <v/>
      </c>
    </row>
    <row r="143" ht="22" customHeight="1">
      <c r="B143" s="5" t="inlineStr">
        <is>
          <t>MTR-BLR-003</t>
        </is>
      </c>
      <c r="C143" s="5" t="inlineStr">
        <is>
          <t>2024-05-20</t>
        </is>
      </c>
      <c r="D143" s="11" t="n">
        <v>18.3</v>
      </c>
      <c r="E143" s="11" t="n">
        <v>20</v>
      </c>
      <c r="F143" s="11">
        <f>ROUND(D143-E143,2)</f>
        <v/>
      </c>
      <c r="G143" s="13">
        <f>IFERROR(ROUND(F143/E143,4),"")</f>
        <v/>
      </c>
      <c r="H143" s="14">
        <f>IF(D143=0,"NO DATA",IF(D143&gt;E143*1.5,"OVER",IF(D143&gt;E143*1.1,"HIGH",IF(D143&lt;E143*0.5,"LOW","OK"))))</f>
        <v/>
      </c>
    </row>
    <row r="144" ht="22" customHeight="1">
      <c r="B144" s="8" t="inlineStr">
        <is>
          <t>MTR-BLR-003</t>
        </is>
      </c>
      <c r="C144" s="8" t="inlineStr">
        <is>
          <t>2024-05-21</t>
        </is>
      </c>
      <c r="D144" s="12" t="n">
        <v>19.53</v>
      </c>
      <c r="E144" s="12" t="n">
        <v>20</v>
      </c>
      <c r="F144" s="12">
        <f>ROUND(D144-E144,2)</f>
        <v/>
      </c>
      <c r="G144" s="15">
        <f>IFERROR(ROUND(F144/E144,4),"")</f>
        <v/>
      </c>
      <c r="H144" s="16">
        <f>IF(D144=0,"NO DATA",IF(D144&gt;E144*1.5,"OVER",IF(D144&gt;E144*1.1,"HIGH",IF(D144&lt;E144*0.5,"LOW","OK"))))</f>
        <v/>
      </c>
    </row>
    <row r="145" ht="22" customHeight="1">
      <c r="B145" s="5" t="inlineStr">
        <is>
          <t>MTR-BLR-003</t>
        </is>
      </c>
      <c r="C145" s="5" t="inlineStr">
        <is>
          <t>2024-05-22</t>
        </is>
      </c>
      <c r="D145" s="11" t="n">
        <v>18.42</v>
      </c>
      <c r="E145" s="11" t="n">
        <v>20</v>
      </c>
      <c r="F145" s="11">
        <f>ROUND(D145-E145,2)</f>
        <v/>
      </c>
      <c r="G145" s="13">
        <f>IFERROR(ROUND(F145/E145,4),"")</f>
        <v/>
      </c>
      <c r="H145" s="14">
        <f>IF(D145=0,"NO DATA",IF(D145&gt;E145*1.5,"OVER",IF(D145&gt;E145*1.1,"HIGH",IF(D145&lt;E145*0.5,"LOW","OK"))))</f>
        <v/>
      </c>
    </row>
    <row r="146" ht="22" customHeight="1">
      <c r="B146" s="8" t="inlineStr">
        <is>
          <t>MTR-BLR-003</t>
        </is>
      </c>
      <c r="C146" s="8" t="inlineStr">
        <is>
          <t>2024-05-23</t>
        </is>
      </c>
      <c r="D146" s="12" t="n">
        <v>20.26</v>
      </c>
      <c r="E146" s="12" t="n">
        <v>20</v>
      </c>
      <c r="F146" s="12">
        <f>ROUND(D146-E146,2)</f>
        <v/>
      </c>
      <c r="G146" s="15">
        <f>IFERROR(ROUND(F146/E146,4),"")</f>
        <v/>
      </c>
      <c r="H146" s="16">
        <f>IF(D146=0,"NO DATA",IF(D146&gt;E146*1.5,"OVER",IF(D146&gt;E146*1.1,"HIGH",IF(D146&lt;E146*0.5,"LOW","OK"))))</f>
        <v/>
      </c>
    </row>
    <row r="147" ht="22" customHeight="1">
      <c r="B147" s="5" t="inlineStr">
        <is>
          <t>MTR-BLR-003</t>
        </is>
      </c>
      <c r="C147" s="5" t="inlineStr">
        <is>
          <t>2024-05-24</t>
        </is>
      </c>
      <c r="D147" s="11" t="n">
        <v>20.14</v>
      </c>
      <c r="E147" s="11" t="n">
        <v>20</v>
      </c>
      <c r="F147" s="11">
        <f>ROUND(D147-E147,2)</f>
        <v/>
      </c>
      <c r="G147" s="13">
        <f>IFERROR(ROUND(F147/E147,4),"")</f>
        <v/>
      </c>
      <c r="H147" s="14">
        <f>IF(D147=0,"NO DATA",IF(D147&gt;E147*1.5,"OVER",IF(D147&gt;E147*1.1,"HIGH",IF(D147&lt;E147*0.5,"LOW","OK"))))</f>
        <v/>
      </c>
    </row>
    <row r="148" ht="22" customHeight="1">
      <c r="B148" s="8" t="inlineStr">
        <is>
          <t>MTR-BLR-003</t>
        </is>
      </c>
      <c r="C148" s="8" t="inlineStr">
        <is>
          <t>2024-05-25</t>
        </is>
      </c>
      <c r="D148" s="12" t="n">
        <v>14.76</v>
      </c>
      <c r="E148" s="12" t="n">
        <v>20</v>
      </c>
      <c r="F148" s="12">
        <f>ROUND(D148-E148,2)</f>
        <v/>
      </c>
      <c r="G148" s="15">
        <f>IFERROR(ROUND(F148/E148,4),"")</f>
        <v/>
      </c>
      <c r="H148" s="16">
        <f>IF(D148=0,"NO DATA",IF(D148&gt;E148*1.5,"OVER",IF(D148&gt;E148*1.1,"HIGH",IF(D148&lt;E148*0.5,"LOW","OK"))))</f>
        <v/>
      </c>
    </row>
    <row r="149" ht="22" customHeight="1">
      <c r="B149" s="5" t="inlineStr">
        <is>
          <t>MTR-BLR-003</t>
        </is>
      </c>
      <c r="C149" s="5" t="inlineStr">
        <is>
          <t>2024-05-26</t>
        </is>
      </c>
      <c r="D149" s="11" t="n">
        <v>11.93</v>
      </c>
      <c r="E149" s="11" t="n">
        <v>20</v>
      </c>
      <c r="F149" s="11">
        <f>ROUND(D149-E149,2)</f>
        <v/>
      </c>
      <c r="G149" s="13">
        <f>IFERROR(ROUND(F149/E149,4),"")</f>
        <v/>
      </c>
      <c r="H149" s="14">
        <f>IF(D149=0,"NO DATA",IF(D149&gt;E149*1.5,"OVER",IF(D149&gt;E149*1.1,"HIGH",IF(D149&lt;E149*0.5,"LOW","OK"))))</f>
        <v/>
      </c>
    </row>
    <row r="150" ht="22" customHeight="1">
      <c r="B150" s="8" t="inlineStr">
        <is>
          <t>MTR-BLR-003</t>
        </is>
      </c>
      <c r="C150" s="8" t="inlineStr">
        <is>
          <t>2024-05-27</t>
        </is>
      </c>
      <c r="D150" s="12" t="n">
        <v>20.15</v>
      </c>
      <c r="E150" s="12" t="n">
        <v>20</v>
      </c>
      <c r="F150" s="12">
        <f>ROUND(D150-E150,2)</f>
        <v/>
      </c>
      <c r="G150" s="15">
        <f>IFERROR(ROUND(F150/E150,4),"")</f>
        <v/>
      </c>
      <c r="H150" s="16">
        <f>IF(D150=0,"NO DATA",IF(D150&gt;E150*1.5,"OVER",IF(D150&gt;E150*1.1,"HIGH",IF(D150&lt;E150*0.5,"LOW","OK"))))</f>
        <v/>
      </c>
    </row>
    <row r="151" ht="22" customHeight="1">
      <c r="B151" s="5" t="inlineStr">
        <is>
          <t>MTR-BLR-003</t>
        </is>
      </c>
      <c r="C151" s="5" t="inlineStr">
        <is>
          <t>2024-05-28</t>
        </is>
      </c>
      <c r="D151" s="11" t="n">
        <v>21.46</v>
      </c>
      <c r="E151" s="11" t="n">
        <v>20</v>
      </c>
      <c r="F151" s="11">
        <f>ROUND(D151-E151,2)</f>
        <v/>
      </c>
      <c r="G151" s="13">
        <f>IFERROR(ROUND(F151/E151,4),"")</f>
        <v/>
      </c>
      <c r="H151" s="14">
        <f>IF(D151=0,"NO DATA",IF(D151&gt;E151*1.5,"OVER",IF(D151&gt;E151*1.1,"HIGH",IF(D151&lt;E151*0.5,"LOW","OK"))))</f>
        <v/>
      </c>
    </row>
    <row r="152" ht="22" customHeight="1">
      <c r="B152" s="8" t="inlineStr">
        <is>
          <t>MTR-BLR-003</t>
        </is>
      </c>
      <c r="C152" s="8" t="inlineStr">
        <is>
          <t>2024-05-29</t>
        </is>
      </c>
      <c r="D152" s="12" t="n">
        <v>18.26</v>
      </c>
      <c r="E152" s="12" t="n">
        <v>20</v>
      </c>
      <c r="F152" s="12">
        <f>ROUND(D152-E152,2)</f>
        <v/>
      </c>
      <c r="G152" s="15">
        <f>IFERROR(ROUND(F152/E152,4),"")</f>
        <v/>
      </c>
      <c r="H152" s="16">
        <f>IF(D152=0,"NO DATA",IF(D152&gt;E152*1.5,"OVER",IF(D152&gt;E152*1.1,"HIGH",IF(D152&lt;E152*0.5,"LOW","OK"))))</f>
        <v/>
      </c>
    </row>
    <row r="153" ht="22" customHeight="1">
      <c r="B153" s="5" t="inlineStr">
        <is>
          <t>MTR-BLR-003</t>
        </is>
      </c>
      <c r="C153" s="5" t="inlineStr">
        <is>
          <t>2024-05-30</t>
        </is>
      </c>
      <c r="D153" s="11" t="n">
        <v>19.01</v>
      </c>
      <c r="E153" s="11" t="n">
        <v>20</v>
      </c>
      <c r="F153" s="11">
        <f>ROUND(D153-E153,2)</f>
        <v/>
      </c>
      <c r="G153" s="13">
        <f>IFERROR(ROUND(F153/E153,4),"")</f>
        <v/>
      </c>
      <c r="H153" s="14">
        <f>IF(D153=0,"NO DATA",IF(D153&gt;E153*1.5,"OVER",IF(D153&gt;E153*1.1,"HIGH",IF(D153&lt;E153*0.5,"LOW","OK"))))</f>
        <v/>
      </c>
    </row>
    <row r="154" ht="22" customHeight="1">
      <c r="B154" s="8" t="inlineStr">
        <is>
          <t>MTR-BLR-003</t>
        </is>
      </c>
      <c r="C154" s="8" t="inlineStr">
        <is>
          <t>2024-05-31</t>
        </is>
      </c>
      <c r="D154" s="12" t="n">
        <v>24.02</v>
      </c>
      <c r="E154" s="12" t="n">
        <v>20</v>
      </c>
      <c r="F154" s="12">
        <f>ROUND(D154-E154,2)</f>
        <v/>
      </c>
      <c r="G154" s="15">
        <f>IFERROR(ROUND(F154/E154,4),"")</f>
        <v/>
      </c>
      <c r="H154" s="16">
        <f>IF(D154=0,"NO DATA",IF(D154&gt;E154*1.5,"OVER",IF(D154&gt;E154*1.1,"HIGH",IF(D154&lt;E154*0.5,"LOW","OK"))))</f>
        <v/>
      </c>
    </row>
    <row r="155" ht="22" customHeight="1">
      <c r="B155" s="5" t="inlineStr">
        <is>
          <t>MTR-BLR-003</t>
        </is>
      </c>
      <c r="C155" s="5" t="inlineStr">
        <is>
          <t>2024-06-01</t>
        </is>
      </c>
      <c r="D155" s="11" t="n">
        <v>18.38</v>
      </c>
      <c r="E155" s="11" t="n">
        <v>20</v>
      </c>
      <c r="F155" s="11">
        <f>ROUND(D155-E155,2)</f>
        <v/>
      </c>
      <c r="G155" s="13">
        <f>IFERROR(ROUND(F155/E155,4),"")</f>
        <v/>
      </c>
      <c r="H155" s="14">
        <f>IF(D155=0,"NO DATA",IF(D155&gt;E155*1.5,"OVER",IF(D155&gt;E155*1.1,"HIGH",IF(D155&lt;E155*0.5,"LOW","OK"))))</f>
        <v/>
      </c>
    </row>
    <row r="156" ht="22" customHeight="1">
      <c r="B156" s="8" t="inlineStr">
        <is>
          <t>MTR-BLR-003</t>
        </is>
      </c>
      <c r="C156" s="8" t="inlineStr">
        <is>
          <t>2024-06-02</t>
        </is>
      </c>
      <c r="D156" s="12" t="n">
        <v>13.08</v>
      </c>
      <c r="E156" s="12" t="n">
        <v>20</v>
      </c>
      <c r="F156" s="12">
        <f>ROUND(D156-E156,2)</f>
        <v/>
      </c>
      <c r="G156" s="15">
        <f>IFERROR(ROUND(F156/E156,4),"")</f>
        <v/>
      </c>
      <c r="H156" s="16">
        <f>IF(D156=0,"NO DATA",IF(D156&gt;E156*1.5,"OVER",IF(D156&gt;E156*1.1,"HIGH",IF(D156&lt;E156*0.5,"LOW","OK"))))</f>
        <v/>
      </c>
    </row>
    <row r="157" ht="22" customHeight="1">
      <c r="B157" s="5" t="inlineStr">
        <is>
          <t>MTR-BLR-003</t>
        </is>
      </c>
      <c r="C157" s="5" t="inlineStr">
        <is>
          <t>2024-06-03</t>
        </is>
      </c>
      <c r="D157" s="11" t="n">
        <v>23.76</v>
      </c>
      <c r="E157" s="11" t="n">
        <v>20</v>
      </c>
      <c r="F157" s="11">
        <f>ROUND(D157-E157,2)</f>
        <v/>
      </c>
      <c r="G157" s="13">
        <f>IFERROR(ROUND(F157/E157,4),"")</f>
        <v/>
      </c>
      <c r="H157" s="14">
        <f>IF(D157=0,"NO DATA",IF(D157&gt;E157*1.5,"OVER",IF(D157&gt;E157*1.1,"HIGH",IF(D157&lt;E157*0.5,"LOW","OK"))))</f>
        <v/>
      </c>
    </row>
    <row r="158" ht="22" customHeight="1">
      <c r="B158" s="8" t="inlineStr">
        <is>
          <t>MTR-BLR-003</t>
        </is>
      </c>
      <c r="C158" s="8" t="inlineStr">
        <is>
          <t>2024-06-04</t>
        </is>
      </c>
      <c r="D158" s="12" t="n">
        <v>22.63</v>
      </c>
      <c r="E158" s="12" t="n">
        <v>20</v>
      </c>
      <c r="F158" s="12">
        <f>ROUND(D158-E158,2)</f>
        <v/>
      </c>
      <c r="G158" s="15">
        <f>IFERROR(ROUND(F158/E158,4),"")</f>
        <v/>
      </c>
      <c r="H158" s="16">
        <f>IF(D158=0,"NO DATA",IF(D158&gt;E158*1.5,"OVER",IF(D158&gt;E158*1.1,"HIGH",IF(D158&lt;E158*0.5,"LOW","OK"))))</f>
        <v/>
      </c>
    </row>
    <row r="159" ht="22" customHeight="1">
      <c r="B159" s="5" t="inlineStr">
        <is>
          <t>MTR-BLR-003</t>
        </is>
      </c>
      <c r="C159" s="5" t="inlineStr">
        <is>
          <t>2024-06-05</t>
        </is>
      </c>
      <c r="D159" s="11" t="n">
        <v>23.72</v>
      </c>
      <c r="E159" s="11" t="n">
        <v>20</v>
      </c>
      <c r="F159" s="11">
        <f>ROUND(D159-E159,2)</f>
        <v/>
      </c>
      <c r="G159" s="13">
        <f>IFERROR(ROUND(F159/E159,4),"")</f>
        <v/>
      </c>
      <c r="H159" s="14">
        <f>IF(D159=0,"NO DATA",IF(D159&gt;E159*1.5,"OVER",IF(D159&gt;E159*1.1,"HIGH",IF(D159&lt;E159*0.5,"LOW","OK"))))</f>
        <v/>
      </c>
    </row>
    <row r="160" ht="22" customHeight="1">
      <c r="B160" s="8" t="inlineStr">
        <is>
          <t>MTR-BLR-003</t>
        </is>
      </c>
      <c r="C160" s="8" t="inlineStr">
        <is>
          <t>2024-06-06</t>
        </is>
      </c>
      <c r="D160" s="12" t="n">
        <v>18.96</v>
      </c>
      <c r="E160" s="12" t="n">
        <v>20</v>
      </c>
      <c r="F160" s="12">
        <f>ROUND(D160-E160,2)</f>
        <v/>
      </c>
      <c r="G160" s="15">
        <f>IFERROR(ROUND(F160/E160,4),"")</f>
        <v/>
      </c>
      <c r="H160" s="16">
        <f>IF(D160=0,"NO DATA",IF(D160&gt;E160*1.5,"OVER",IF(D160&gt;E160*1.1,"HIGH",IF(D160&lt;E160*0.5,"LOW","OK"))))</f>
        <v/>
      </c>
    </row>
    <row r="161" ht="22" customHeight="1">
      <c r="B161" s="5" t="inlineStr">
        <is>
          <t>MTR-BLR-003</t>
        </is>
      </c>
      <c r="C161" s="5" t="inlineStr">
        <is>
          <t>2024-06-07</t>
        </is>
      </c>
      <c r="D161" s="11" t="n">
        <v>21.3</v>
      </c>
      <c r="E161" s="11" t="n">
        <v>20</v>
      </c>
      <c r="F161" s="11">
        <f>ROUND(D161-E161,2)</f>
        <v/>
      </c>
      <c r="G161" s="13">
        <f>IFERROR(ROUND(F161/E161,4),"")</f>
        <v/>
      </c>
      <c r="H161" s="14">
        <f>IF(D161=0,"NO DATA",IF(D161&gt;E161*1.5,"OVER",IF(D161&gt;E161*1.1,"HIGH",IF(D161&lt;E161*0.5,"LOW","OK"))))</f>
        <v/>
      </c>
    </row>
    <row r="162" ht="22" customHeight="1">
      <c r="B162" s="8" t="inlineStr">
        <is>
          <t>MTR-BLR-003</t>
        </is>
      </c>
      <c r="C162" s="8" t="inlineStr">
        <is>
          <t>2024-06-08</t>
        </is>
      </c>
      <c r="D162" s="12" t="n">
        <v>16.28</v>
      </c>
      <c r="E162" s="12" t="n">
        <v>20</v>
      </c>
      <c r="F162" s="12">
        <f>ROUND(D162-E162,2)</f>
        <v/>
      </c>
      <c r="G162" s="15">
        <f>IFERROR(ROUND(F162/E162,4),"")</f>
        <v/>
      </c>
      <c r="H162" s="16">
        <f>IF(D162=0,"NO DATA",IF(D162&gt;E162*1.5,"OVER",IF(D162&gt;E162*1.1,"HIGH",IF(D162&lt;E162*0.5,"LOW","OK"))))</f>
        <v/>
      </c>
    </row>
    <row r="163" ht="22" customHeight="1">
      <c r="B163" s="5" t="inlineStr">
        <is>
          <t>MTR-BLR-003</t>
        </is>
      </c>
      <c r="C163" s="5" t="inlineStr">
        <is>
          <t>2024-06-09</t>
        </is>
      </c>
      <c r="D163" s="11" t="n">
        <v>10.2</v>
      </c>
      <c r="E163" s="11" t="n">
        <v>20</v>
      </c>
      <c r="F163" s="11">
        <f>ROUND(D163-E163,2)</f>
        <v/>
      </c>
      <c r="G163" s="13">
        <f>IFERROR(ROUND(F163/E163,4),"")</f>
        <v/>
      </c>
      <c r="H163" s="14">
        <f>IF(D163=0,"NO DATA",IF(D163&gt;E163*1.5,"OVER",IF(D163&gt;E163*1.1,"HIGH",IF(D163&lt;E163*0.5,"LOW","OK"))))</f>
        <v/>
      </c>
    </row>
    <row r="164" ht="22" customHeight="1">
      <c r="B164" s="8" t="inlineStr">
        <is>
          <t>MTR-BLR-003</t>
        </is>
      </c>
      <c r="C164" s="8" t="inlineStr">
        <is>
          <t>2024-06-10</t>
        </is>
      </c>
      <c r="D164" s="12" t="n">
        <v>22.72</v>
      </c>
      <c r="E164" s="12" t="n">
        <v>20</v>
      </c>
      <c r="F164" s="12">
        <f>ROUND(D164-E164,2)</f>
        <v/>
      </c>
      <c r="G164" s="15">
        <f>IFERROR(ROUND(F164/E164,4),"")</f>
        <v/>
      </c>
      <c r="H164" s="16">
        <f>IF(D164=0,"NO DATA",IF(D164&gt;E164*1.5,"OVER",IF(D164&gt;E164*1.1,"HIGH",IF(D164&lt;E164*0.5,"LOW","OK"))))</f>
        <v/>
      </c>
    </row>
    <row r="165" ht="22" customHeight="1">
      <c r="B165" s="5" t="inlineStr">
        <is>
          <t>MTR-BLR-003</t>
        </is>
      </c>
      <c r="C165" s="5" t="inlineStr">
        <is>
          <t>2024-06-11</t>
        </is>
      </c>
      <c r="D165" s="11" t="n">
        <v>21.12</v>
      </c>
      <c r="E165" s="11" t="n">
        <v>20</v>
      </c>
      <c r="F165" s="11">
        <f>ROUND(D165-E165,2)</f>
        <v/>
      </c>
      <c r="G165" s="13">
        <f>IFERROR(ROUND(F165/E165,4),"")</f>
        <v/>
      </c>
      <c r="H165" s="14">
        <f>IF(D165=0,"NO DATA",IF(D165&gt;E165*1.5,"OVER",IF(D165&gt;E165*1.1,"HIGH",IF(D165&lt;E165*0.5,"LOW","OK"))))</f>
        <v/>
      </c>
    </row>
    <row r="166" ht="22" customHeight="1">
      <c r="B166" s="8" t="inlineStr">
        <is>
          <t>MTR-BLR-003</t>
        </is>
      </c>
      <c r="C166" s="8" t="inlineStr">
        <is>
          <t>2024-06-12</t>
        </is>
      </c>
      <c r="D166" s="12" t="n">
        <v>20.56</v>
      </c>
      <c r="E166" s="12" t="n">
        <v>20</v>
      </c>
      <c r="F166" s="12">
        <f>ROUND(D166-E166,2)</f>
        <v/>
      </c>
      <c r="G166" s="15">
        <f>IFERROR(ROUND(F166/E166,4),"")</f>
        <v/>
      </c>
      <c r="H166" s="16">
        <f>IF(D166=0,"NO DATA",IF(D166&gt;E166*1.5,"OVER",IF(D166&gt;E166*1.1,"HIGH",IF(D166&lt;E166*0.5,"LOW","OK"))))</f>
        <v/>
      </c>
    </row>
    <row r="167" ht="22" customHeight="1">
      <c r="B167" s="5" t="inlineStr">
        <is>
          <t>MTR-BLR-003</t>
        </is>
      </c>
      <c r="C167" s="5" t="inlineStr">
        <is>
          <t>2024-06-13</t>
        </is>
      </c>
      <c r="D167" s="11" t="n">
        <v>19.39</v>
      </c>
      <c r="E167" s="11" t="n">
        <v>20</v>
      </c>
      <c r="F167" s="11">
        <f>ROUND(D167-E167,2)</f>
        <v/>
      </c>
      <c r="G167" s="13">
        <f>IFERROR(ROUND(F167/E167,4),"")</f>
        <v/>
      </c>
      <c r="H167" s="14">
        <f>IF(D167=0,"NO DATA",IF(D167&gt;E167*1.5,"OVER",IF(D167&gt;E167*1.1,"HIGH",IF(D167&lt;E167*0.5,"LOW","OK"))))</f>
        <v/>
      </c>
    </row>
    <row r="168" ht="22" customHeight="1">
      <c r="B168" s="8" t="inlineStr">
        <is>
          <t>MTR-BLR-003</t>
        </is>
      </c>
      <c r="C168" s="8" t="inlineStr">
        <is>
          <t>2024-06-14</t>
        </is>
      </c>
      <c r="D168" s="12" t="n">
        <v>23.45</v>
      </c>
      <c r="E168" s="12" t="n">
        <v>20</v>
      </c>
      <c r="F168" s="12">
        <f>ROUND(D168-E168,2)</f>
        <v/>
      </c>
      <c r="G168" s="15">
        <f>IFERROR(ROUND(F168/E168,4),"")</f>
        <v/>
      </c>
      <c r="H168" s="16">
        <f>IF(D168=0,"NO DATA",IF(D168&gt;E168*1.5,"OVER",IF(D168&gt;E168*1.1,"HIGH",IF(D168&lt;E168*0.5,"LOW","OK"))))</f>
        <v/>
      </c>
    </row>
    <row r="169" ht="22" customHeight="1">
      <c r="B169" s="5" t="inlineStr">
        <is>
          <t>MTR-BLR-003</t>
        </is>
      </c>
      <c r="C169" s="5" t="inlineStr">
        <is>
          <t>2024-06-15</t>
        </is>
      </c>
      <c r="D169" s="11" t="n">
        <v>16.09</v>
      </c>
      <c r="E169" s="11" t="n">
        <v>20</v>
      </c>
      <c r="F169" s="11">
        <f>ROUND(D169-E169,2)</f>
        <v/>
      </c>
      <c r="G169" s="13">
        <f>IFERROR(ROUND(F169/E169,4),"")</f>
        <v/>
      </c>
      <c r="H169" s="14">
        <f>IF(D169=0,"NO DATA",IF(D169&gt;E169*1.5,"OVER",IF(D169&gt;E169*1.1,"HIGH",IF(D169&lt;E169*0.5,"LOW","OK"))))</f>
        <v/>
      </c>
    </row>
    <row r="170" ht="22" customHeight="1">
      <c r="B170" s="8" t="inlineStr">
        <is>
          <t>MTR-BLR-003</t>
        </is>
      </c>
      <c r="C170" s="8" t="inlineStr">
        <is>
          <t>2024-06-16</t>
        </is>
      </c>
      <c r="D170" s="12" t="n">
        <v>12.16</v>
      </c>
      <c r="E170" s="12" t="n">
        <v>20</v>
      </c>
      <c r="F170" s="12">
        <f>ROUND(D170-E170,2)</f>
        <v/>
      </c>
      <c r="G170" s="15">
        <f>IFERROR(ROUND(F170/E170,4),"")</f>
        <v/>
      </c>
      <c r="H170" s="16">
        <f>IF(D170=0,"NO DATA",IF(D170&gt;E170*1.5,"OVER",IF(D170&gt;E170*1.1,"HIGH",IF(D170&lt;E170*0.5,"LOW","OK"))))</f>
        <v/>
      </c>
    </row>
    <row r="171" ht="22" customHeight="1">
      <c r="B171" s="5" t="inlineStr">
        <is>
          <t>MTR-BLR-003</t>
        </is>
      </c>
      <c r="C171" s="5" t="inlineStr">
        <is>
          <t>2024-06-17</t>
        </is>
      </c>
      <c r="D171" s="11" t="n">
        <v>20.3</v>
      </c>
      <c r="E171" s="11" t="n">
        <v>20</v>
      </c>
      <c r="F171" s="11">
        <f>ROUND(D171-E171,2)</f>
        <v/>
      </c>
      <c r="G171" s="13">
        <f>IFERROR(ROUND(F171/E171,4),"")</f>
        <v/>
      </c>
      <c r="H171" s="14">
        <f>IF(D171=0,"NO DATA",IF(D171&gt;E171*1.5,"OVER",IF(D171&gt;E171*1.1,"HIGH",IF(D171&lt;E171*0.5,"LOW","OK"))))</f>
        <v/>
      </c>
    </row>
    <row r="172" ht="22" customHeight="1">
      <c r="B172" s="8" t="inlineStr">
        <is>
          <t>MTR-BLR-003</t>
        </is>
      </c>
      <c r="C172" s="8" t="inlineStr">
        <is>
          <t>2024-06-18</t>
        </is>
      </c>
      <c r="D172" s="12" t="n">
        <v>22.4</v>
      </c>
      <c r="E172" s="12" t="n">
        <v>20</v>
      </c>
      <c r="F172" s="12">
        <f>ROUND(D172-E172,2)</f>
        <v/>
      </c>
      <c r="G172" s="15">
        <f>IFERROR(ROUND(F172/E172,4),"")</f>
        <v/>
      </c>
      <c r="H172" s="16">
        <f>IF(D172=0,"NO DATA",IF(D172&gt;E172*1.5,"OVER",IF(D172&gt;E172*1.1,"HIGH",IF(D172&lt;E172*0.5,"LOW","OK"))))</f>
        <v/>
      </c>
    </row>
    <row r="173" ht="22" customHeight="1">
      <c r="B173" s="5" t="inlineStr">
        <is>
          <t>MTR-BLR-003</t>
        </is>
      </c>
      <c r="C173" s="5" t="inlineStr">
        <is>
          <t>2024-06-19</t>
        </is>
      </c>
      <c r="D173" s="11" t="n">
        <v>19.39</v>
      </c>
      <c r="E173" s="11" t="n">
        <v>20</v>
      </c>
      <c r="F173" s="11">
        <f>ROUND(D173-E173,2)</f>
        <v/>
      </c>
      <c r="G173" s="13">
        <f>IFERROR(ROUND(F173/E173,4),"")</f>
        <v/>
      </c>
      <c r="H173" s="14">
        <f>IF(D173=0,"NO DATA",IF(D173&gt;E173*1.5,"OVER",IF(D173&gt;E173*1.1,"HIGH",IF(D173&lt;E173*0.5,"LOW","OK"))))</f>
        <v/>
      </c>
    </row>
    <row r="174" ht="22" customHeight="1">
      <c r="B174" s="8" t="inlineStr">
        <is>
          <t>MTR-BLR-003</t>
        </is>
      </c>
      <c r="C174" s="8" t="inlineStr">
        <is>
          <t>2024-06-20</t>
        </is>
      </c>
      <c r="D174" s="12" t="n">
        <v>22.15</v>
      </c>
      <c r="E174" s="12" t="n">
        <v>20</v>
      </c>
      <c r="F174" s="12">
        <f>ROUND(D174-E174,2)</f>
        <v/>
      </c>
      <c r="G174" s="15">
        <f>IFERROR(ROUND(F174/E174,4),"")</f>
        <v/>
      </c>
      <c r="H174" s="16">
        <f>IF(D174=0,"NO DATA",IF(D174&gt;E174*1.5,"OVER",IF(D174&gt;E174*1.1,"HIGH",IF(D174&lt;E174*0.5,"LOW","OK"))))</f>
        <v/>
      </c>
    </row>
    <row r="175" ht="22" customHeight="1">
      <c r="B175" s="5" t="inlineStr">
        <is>
          <t>MTR-BLR-003</t>
        </is>
      </c>
      <c r="C175" s="5" t="inlineStr">
        <is>
          <t>2024-06-21</t>
        </is>
      </c>
      <c r="D175" s="11" t="n">
        <v>18.65</v>
      </c>
      <c r="E175" s="11" t="n">
        <v>20</v>
      </c>
      <c r="F175" s="11">
        <f>ROUND(D175-E175,2)</f>
        <v/>
      </c>
      <c r="G175" s="13">
        <f>IFERROR(ROUND(F175/E175,4),"")</f>
        <v/>
      </c>
      <c r="H175" s="14">
        <f>IF(D175=0,"NO DATA",IF(D175&gt;E175*1.5,"OVER",IF(D175&gt;E175*1.1,"HIGH",IF(D175&lt;E175*0.5,"LOW","OK"))))</f>
        <v/>
      </c>
    </row>
    <row r="176" ht="22" customHeight="1">
      <c r="B176" s="8" t="inlineStr">
        <is>
          <t>MTR-BLR-003</t>
        </is>
      </c>
      <c r="C176" s="8" t="inlineStr">
        <is>
          <t>2024-06-22</t>
        </is>
      </c>
      <c r="D176" s="12" t="n">
        <v>18.76</v>
      </c>
      <c r="E176" s="12" t="n">
        <v>20</v>
      </c>
      <c r="F176" s="12">
        <f>ROUND(D176-E176,2)</f>
        <v/>
      </c>
      <c r="G176" s="15">
        <f>IFERROR(ROUND(F176/E176,4),"")</f>
        <v/>
      </c>
      <c r="H176" s="16">
        <f>IF(D176=0,"NO DATA",IF(D176&gt;E176*1.5,"OVER",IF(D176&gt;E176*1.1,"HIGH",IF(D176&lt;E176*0.5,"LOW","OK"))))</f>
        <v/>
      </c>
    </row>
    <row r="177" ht="22" customHeight="1">
      <c r="B177" s="5" t="inlineStr">
        <is>
          <t>MTR-BLR-003</t>
        </is>
      </c>
      <c r="C177" s="5" t="inlineStr">
        <is>
          <t>2024-06-23</t>
        </is>
      </c>
      <c r="D177" s="11" t="n">
        <v>11.09</v>
      </c>
      <c r="E177" s="11" t="n">
        <v>20</v>
      </c>
      <c r="F177" s="11">
        <f>ROUND(D177-E177,2)</f>
        <v/>
      </c>
      <c r="G177" s="13">
        <f>IFERROR(ROUND(F177/E177,4),"")</f>
        <v/>
      </c>
      <c r="H177" s="14">
        <f>IF(D177=0,"NO DATA",IF(D177&gt;E177*1.5,"OVER",IF(D177&gt;E177*1.1,"HIGH",IF(D177&lt;E177*0.5,"LOW","OK"))))</f>
        <v/>
      </c>
    </row>
    <row r="178" ht="22" customHeight="1">
      <c r="B178" s="8" t="inlineStr">
        <is>
          <t>MTR-BLR-003</t>
        </is>
      </c>
      <c r="C178" s="8" t="inlineStr">
        <is>
          <t>2024-06-24</t>
        </is>
      </c>
      <c r="D178" s="12" t="n">
        <v>21.59</v>
      </c>
      <c r="E178" s="12" t="n">
        <v>20</v>
      </c>
      <c r="F178" s="12">
        <f>ROUND(D178-E178,2)</f>
        <v/>
      </c>
      <c r="G178" s="15">
        <f>IFERROR(ROUND(F178/E178,4),"")</f>
        <v/>
      </c>
      <c r="H178" s="16">
        <f>IF(D178=0,"NO DATA",IF(D178&gt;E178*1.5,"OVER",IF(D178&gt;E178*1.1,"HIGH",IF(D178&lt;E178*0.5,"LOW","OK"))))</f>
        <v/>
      </c>
    </row>
    <row r="179" ht="22" customHeight="1">
      <c r="B179" s="5" t="inlineStr">
        <is>
          <t>MTR-BLR-003</t>
        </is>
      </c>
      <c r="C179" s="5" t="inlineStr">
        <is>
          <t>2024-06-25</t>
        </is>
      </c>
      <c r="D179" s="11" t="n">
        <v>20.2</v>
      </c>
      <c r="E179" s="11" t="n">
        <v>20</v>
      </c>
      <c r="F179" s="11">
        <f>ROUND(D179-E179,2)</f>
        <v/>
      </c>
      <c r="G179" s="13">
        <f>IFERROR(ROUND(F179/E179,4),"")</f>
        <v/>
      </c>
      <c r="H179" s="14">
        <f>IF(D179=0,"NO DATA",IF(D179&gt;E179*1.5,"OVER",IF(D179&gt;E179*1.1,"HIGH",IF(D179&lt;E179*0.5,"LOW","OK"))))</f>
        <v/>
      </c>
    </row>
    <row r="180" ht="22" customHeight="1">
      <c r="B180" s="8" t="inlineStr">
        <is>
          <t>MTR-BLR-003</t>
        </is>
      </c>
      <c r="C180" s="8" t="inlineStr">
        <is>
          <t>2024-06-26</t>
        </is>
      </c>
      <c r="D180" s="12" t="n">
        <v>21.66</v>
      </c>
      <c r="E180" s="12" t="n">
        <v>20</v>
      </c>
      <c r="F180" s="12">
        <f>ROUND(D180-E180,2)</f>
        <v/>
      </c>
      <c r="G180" s="15">
        <f>IFERROR(ROUND(F180/E180,4),"")</f>
        <v/>
      </c>
      <c r="H180" s="16">
        <f>IF(D180=0,"NO DATA",IF(D180&gt;E180*1.5,"OVER",IF(D180&gt;E180*1.1,"HIGH",IF(D180&lt;E180*0.5,"LOW","OK"))))</f>
        <v/>
      </c>
    </row>
    <row r="181" ht="22" customHeight="1">
      <c r="B181" s="5" t="inlineStr">
        <is>
          <t>MTR-BLR-003</t>
        </is>
      </c>
      <c r="C181" s="5" t="inlineStr">
        <is>
          <t>2024-06-27</t>
        </is>
      </c>
      <c r="D181" s="11" t="n">
        <v>20.37</v>
      </c>
      <c r="E181" s="11" t="n">
        <v>20</v>
      </c>
      <c r="F181" s="11">
        <f>ROUND(D181-E181,2)</f>
        <v/>
      </c>
      <c r="G181" s="13">
        <f>IFERROR(ROUND(F181/E181,4),"")</f>
        <v/>
      </c>
      <c r="H181" s="14">
        <f>IF(D181=0,"NO DATA",IF(D181&gt;E181*1.5,"OVER",IF(D181&gt;E181*1.1,"HIGH",IF(D181&lt;E181*0.5,"LOW","OK"))))</f>
        <v/>
      </c>
    </row>
    <row r="182" ht="22" customHeight="1">
      <c r="B182" s="8" t="inlineStr">
        <is>
          <t>MTR-BLR-003</t>
        </is>
      </c>
      <c r="C182" s="8" t="inlineStr">
        <is>
          <t>2024-06-28</t>
        </is>
      </c>
      <c r="D182" s="12" t="n">
        <v>24.56</v>
      </c>
      <c r="E182" s="12" t="n">
        <v>20</v>
      </c>
      <c r="F182" s="12">
        <f>ROUND(D182-E182,2)</f>
        <v/>
      </c>
      <c r="G182" s="15">
        <f>IFERROR(ROUND(F182/E182,4),"")</f>
        <v/>
      </c>
      <c r="H182" s="16">
        <f>IF(D182=0,"NO DATA",IF(D182&gt;E182*1.5,"OVER",IF(D182&gt;E182*1.1,"HIGH",IF(D182&lt;E182*0.5,"LOW","OK"))))</f>
        <v/>
      </c>
    </row>
    <row r="183" ht="22" customHeight="1">
      <c r="B183" s="5" t="inlineStr">
        <is>
          <t>MTR-BLR-003</t>
        </is>
      </c>
      <c r="C183" s="5" t="inlineStr">
        <is>
          <t>2024-06-29</t>
        </is>
      </c>
      <c r="D183" s="11" t="n">
        <v>15.23</v>
      </c>
      <c r="E183" s="11" t="n">
        <v>20</v>
      </c>
      <c r="F183" s="11">
        <f>ROUND(D183-E183,2)</f>
        <v/>
      </c>
      <c r="G183" s="13">
        <f>IFERROR(ROUND(F183/E183,4),"")</f>
        <v/>
      </c>
      <c r="H183" s="14">
        <f>IF(D183=0,"NO DATA",IF(D183&gt;E183*1.5,"OVER",IF(D183&gt;E183*1.1,"HIGH",IF(D183&lt;E183*0.5,"LOW","OK"))))</f>
        <v/>
      </c>
    </row>
    <row r="184" ht="22" customHeight="1">
      <c r="B184" s="8" t="inlineStr">
        <is>
          <t>MTR-BLR-003</t>
        </is>
      </c>
      <c r="C184" s="8" t="inlineStr">
        <is>
          <t>2024-06-30</t>
        </is>
      </c>
      <c r="D184" s="12" t="n">
        <v>11.31</v>
      </c>
      <c r="E184" s="12" t="n">
        <v>20</v>
      </c>
      <c r="F184" s="12">
        <f>ROUND(D184-E184,2)</f>
        <v/>
      </c>
      <c r="G184" s="15">
        <f>IFERROR(ROUND(F184/E184,4),"")</f>
        <v/>
      </c>
      <c r="H184" s="16">
        <f>IF(D184=0,"NO DATA",IF(D184&gt;E184*1.5,"OVER",IF(D184&gt;E184*1.1,"HIGH",IF(D184&lt;E184*0.5,"LOW","OK"))))</f>
        <v/>
      </c>
    </row>
    <row r="185" ht="22" customHeight="1">
      <c r="B185" s="5" t="inlineStr">
        <is>
          <t>MTR-BLR-003</t>
        </is>
      </c>
      <c r="C185" s="5" t="inlineStr">
        <is>
          <t>2024-07-01</t>
        </is>
      </c>
      <c r="D185" s="11" t="n">
        <v>24.65</v>
      </c>
      <c r="E185" s="11" t="n">
        <v>20</v>
      </c>
      <c r="F185" s="11">
        <f>ROUND(D185-E185,2)</f>
        <v/>
      </c>
      <c r="G185" s="13">
        <f>IFERROR(ROUND(F185/E185,4),"")</f>
        <v/>
      </c>
      <c r="H185" s="14">
        <f>IF(D185=0,"NO DATA",IF(D185&gt;E185*1.5,"OVER",IF(D185&gt;E185*1.1,"HIGH",IF(D185&lt;E185*0.5,"LOW","OK"))))</f>
        <v/>
      </c>
    </row>
    <row r="186" ht="22" customHeight="1">
      <c r="B186" s="8" t="inlineStr">
        <is>
          <t>MTR-BLR-003</t>
        </is>
      </c>
      <c r="C186" s="8" t="inlineStr">
        <is>
          <t>2024-07-02</t>
        </is>
      </c>
      <c r="D186" s="12" t="n">
        <v>25.22</v>
      </c>
      <c r="E186" s="12" t="n">
        <v>20</v>
      </c>
      <c r="F186" s="12">
        <f>ROUND(D186-E186,2)</f>
        <v/>
      </c>
      <c r="G186" s="15">
        <f>IFERROR(ROUND(F186/E186,4),"")</f>
        <v/>
      </c>
      <c r="H186" s="16">
        <f>IF(D186=0,"NO DATA",IF(D186&gt;E186*1.5,"OVER",IF(D186&gt;E186*1.1,"HIGH",IF(D186&lt;E186*0.5,"LOW","OK"))))</f>
        <v/>
      </c>
    </row>
    <row r="187" ht="22" customHeight="1">
      <c r="B187" s="5" t="inlineStr">
        <is>
          <t>MTR-BLR-003</t>
        </is>
      </c>
      <c r="C187" s="5" t="inlineStr">
        <is>
          <t>2024-07-03</t>
        </is>
      </c>
      <c r="D187" s="11" t="n">
        <v>24.91</v>
      </c>
      <c r="E187" s="11" t="n">
        <v>20</v>
      </c>
      <c r="F187" s="11">
        <f>ROUND(D187-E187,2)</f>
        <v/>
      </c>
      <c r="G187" s="13">
        <f>IFERROR(ROUND(F187/E187,4),"")</f>
        <v/>
      </c>
      <c r="H187" s="14">
        <f>IF(D187=0,"NO DATA",IF(D187&gt;E187*1.5,"OVER",IF(D187&gt;E187*1.1,"HIGH",IF(D187&lt;E187*0.5,"LOW","OK"))))</f>
        <v/>
      </c>
    </row>
    <row r="188" ht="22" customHeight="1">
      <c r="B188" s="8" t="inlineStr">
        <is>
          <t>MTR-BLR-003</t>
        </is>
      </c>
      <c r="C188" s="8" t="inlineStr">
        <is>
          <t>2024-07-04</t>
        </is>
      </c>
      <c r="D188" s="12" t="n">
        <v>23.89</v>
      </c>
      <c r="E188" s="12" t="n">
        <v>20</v>
      </c>
      <c r="F188" s="12">
        <f>ROUND(D188-E188,2)</f>
        <v/>
      </c>
      <c r="G188" s="15">
        <f>IFERROR(ROUND(F188/E188,4),"")</f>
        <v/>
      </c>
      <c r="H188" s="16">
        <f>IF(D188=0,"NO DATA",IF(D188&gt;E188*1.5,"OVER",IF(D188&gt;E188*1.1,"HIGH",IF(D188&lt;E188*0.5,"LOW","OK"))))</f>
        <v/>
      </c>
    </row>
    <row r="189" ht="22" customHeight="1">
      <c r="B189" s="5" t="inlineStr">
        <is>
          <t>MTR-BLR-003</t>
        </is>
      </c>
      <c r="C189" s="5" t="inlineStr">
        <is>
          <t>2024-07-05</t>
        </is>
      </c>
      <c r="D189" s="11" t="n">
        <v>20.19</v>
      </c>
      <c r="E189" s="11" t="n">
        <v>20</v>
      </c>
      <c r="F189" s="11">
        <f>ROUND(D189-E189,2)</f>
        <v/>
      </c>
      <c r="G189" s="13">
        <f>IFERROR(ROUND(F189/E189,4),"")</f>
        <v/>
      </c>
      <c r="H189" s="14">
        <f>IF(D189=0,"NO DATA",IF(D189&gt;E189*1.5,"OVER",IF(D189&gt;E189*1.1,"HIGH",IF(D189&lt;E189*0.5,"LOW","OK"))))</f>
        <v/>
      </c>
    </row>
    <row r="190" ht="22" customHeight="1">
      <c r="B190" s="8" t="inlineStr">
        <is>
          <t>MTR-BLR-003</t>
        </is>
      </c>
      <c r="C190" s="8" t="inlineStr">
        <is>
          <t>2024-07-06</t>
        </is>
      </c>
      <c r="D190" s="12" t="n">
        <v>15.41</v>
      </c>
      <c r="E190" s="12" t="n">
        <v>20</v>
      </c>
      <c r="F190" s="12">
        <f>ROUND(D190-E190,2)</f>
        <v/>
      </c>
      <c r="G190" s="15">
        <f>IFERROR(ROUND(F190/E190,4),"")</f>
        <v/>
      </c>
      <c r="H190" s="16">
        <f>IF(D190=0,"NO DATA",IF(D190&gt;E190*1.5,"OVER",IF(D190&gt;E190*1.1,"HIGH",IF(D190&lt;E190*0.5,"LOW","OK"))))</f>
        <v/>
      </c>
    </row>
    <row r="191" ht="22" customHeight="1">
      <c r="B191" s="5" t="inlineStr">
        <is>
          <t>MTR-BLR-003</t>
        </is>
      </c>
      <c r="C191" s="5" t="inlineStr">
        <is>
          <t>2024-07-07</t>
        </is>
      </c>
      <c r="D191" s="11" t="n">
        <v>12.63</v>
      </c>
      <c r="E191" s="11" t="n">
        <v>20</v>
      </c>
      <c r="F191" s="11">
        <f>ROUND(D191-E191,2)</f>
        <v/>
      </c>
      <c r="G191" s="13">
        <f>IFERROR(ROUND(F191/E191,4),"")</f>
        <v/>
      </c>
      <c r="H191" s="14">
        <f>IF(D191=0,"NO DATA",IF(D191&gt;E191*1.5,"OVER",IF(D191&gt;E191*1.1,"HIGH",IF(D191&lt;E191*0.5,"LOW","OK"))))</f>
        <v/>
      </c>
    </row>
    <row r="192" ht="22" customHeight="1">
      <c r="B192" s="8" t="inlineStr">
        <is>
          <t>MTR-BLR-003</t>
        </is>
      </c>
      <c r="C192" s="8" t="inlineStr">
        <is>
          <t>2024-07-08</t>
        </is>
      </c>
      <c r="D192" s="12" t="n">
        <v>21.46</v>
      </c>
      <c r="E192" s="12" t="n">
        <v>20</v>
      </c>
      <c r="F192" s="12">
        <f>ROUND(D192-E192,2)</f>
        <v/>
      </c>
      <c r="G192" s="15">
        <f>IFERROR(ROUND(F192/E192,4),"")</f>
        <v/>
      </c>
      <c r="H192" s="16">
        <f>IF(D192=0,"NO DATA",IF(D192&gt;E192*1.5,"OVER",IF(D192&gt;E192*1.1,"HIGH",IF(D192&lt;E192*0.5,"LOW","OK"))))</f>
        <v/>
      </c>
    </row>
    <row r="193" ht="22" customHeight="1">
      <c r="B193" s="5" t="inlineStr">
        <is>
          <t>MTR-BLR-003</t>
        </is>
      </c>
      <c r="C193" s="5" t="inlineStr">
        <is>
          <t>2024-07-09</t>
        </is>
      </c>
      <c r="D193" s="11" t="n">
        <v>22.47</v>
      </c>
      <c r="E193" s="11" t="n">
        <v>20</v>
      </c>
      <c r="F193" s="11">
        <f>ROUND(D193-E193,2)</f>
        <v/>
      </c>
      <c r="G193" s="13">
        <f>IFERROR(ROUND(F193/E193,4),"")</f>
        <v/>
      </c>
      <c r="H193" s="14">
        <f>IF(D193=0,"NO DATA",IF(D193&gt;E193*1.5,"OVER",IF(D193&gt;E193*1.1,"HIGH",IF(D193&lt;E193*0.5,"LOW","OK"))))</f>
        <v/>
      </c>
    </row>
    <row r="194" ht="22" customHeight="1">
      <c r="B194" s="8" t="inlineStr">
        <is>
          <t>MTR-BLR-003</t>
        </is>
      </c>
      <c r="C194" s="8" t="inlineStr">
        <is>
          <t>2024-07-10</t>
        </is>
      </c>
      <c r="D194" s="12" t="n">
        <v>20.06</v>
      </c>
      <c r="E194" s="12" t="n">
        <v>20</v>
      </c>
      <c r="F194" s="12">
        <f>ROUND(D194-E194,2)</f>
        <v/>
      </c>
      <c r="G194" s="15">
        <f>IFERROR(ROUND(F194/E194,4),"")</f>
        <v/>
      </c>
      <c r="H194" s="16">
        <f>IF(D194=0,"NO DATA",IF(D194&gt;E194*1.5,"OVER",IF(D194&gt;E194*1.1,"HIGH",IF(D194&lt;E194*0.5,"LOW","OK"))))</f>
        <v/>
      </c>
    </row>
    <row r="195" ht="22" customHeight="1">
      <c r="B195" s="5" t="inlineStr">
        <is>
          <t>MTR-BLR-003</t>
        </is>
      </c>
      <c r="C195" s="5" t="inlineStr">
        <is>
          <t>2024-07-11</t>
        </is>
      </c>
      <c r="D195" s="11" t="n">
        <v>21.74</v>
      </c>
      <c r="E195" s="11" t="n">
        <v>20</v>
      </c>
      <c r="F195" s="11">
        <f>ROUND(D195-E195,2)</f>
        <v/>
      </c>
      <c r="G195" s="13">
        <f>IFERROR(ROUND(F195/E195,4),"")</f>
        <v/>
      </c>
      <c r="H195" s="14">
        <f>IF(D195=0,"NO DATA",IF(D195&gt;E195*1.5,"OVER",IF(D195&gt;E195*1.1,"HIGH",IF(D195&lt;E195*0.5,"LOW","OK"))))</f>
        <v/>
      </c>
    </row>
    <row r="196" ht="22" customHeight="1">
      <c r="B196" s="8" t="inlineStr">
        <is>
          <t>MTR-BLR-003</t>
        </is>
      </c>
      <c r="C196" s="8" t="inlineStr">
        <is>
          <t>2024-07-12</t>
        </is>
      </c>
      <c r="D196" s="12" t="n">
        <v>19.45</v>
      </c>
      <c r="E196" s="12" t="n">
        <v>20</v>
      </c>
      <c r="F196" s="12">
        <f>ROUND(D196-E196,2)</f>
        <v/>
      </c>
      <c r="G196" s="15">
        <f>IFERROR(ROUND(F196/E196,4),"")</f>
        <v/>
      </c>
      <c r="H196" s="16">
        <f>IF(D196=0,"NO DATA",IF(D196&gt;E196*1.5,"OVER",IF(D196&gt;E196*1.1,"HIGH",IF(D196&lt;E196*0.5,"LOW","OK"))))</f>
        <v/>
      </c>
    </row>
    <row r="197" ht="22" customHeight="1">
      <c r="B197" s="5" t="inlineStr">
        <is>
          <t>MTR-BLR-003</t>
        </is>
      </c>
      <c r="C197" s="5" t="inlineStr">
        <is>
          <t>2024-07-13</t>
        </is>
      </c>
      <c r="D197" s="11" t="n">
        <v>16.32</v>
      </c>
      <c r="E197" s="11" t="n">
        <v>20</v>
      </c>
      <c r="F197" s="11">
        <f>ROUND(D197-E197,2)</f>
        <v/>
      </c>
      <c r="G197" s="13">
        <f>IFERROR(ROUND(F197/E197,4),"")</f>
        <v/>
      </c>
      <c r="H197" s="14">
        <f>IF(D197=0,"NO DATA",IF(D197&gt;E197*1.5,"OVER",IF(D197&gt;E197*1.1,"HIGH",IF(D197&lt;E197*0.5,"LOW","OK"))))</f>
        <v/>
      </c>
    </row>
    <row r="198" ht="22" customHeight="1">
      <c r="B198" s="8" t="inlineStr">
        <is>
          <t>MTR-BLR-003</t>
        </is>
      </c>
      <c r="C198" s="8" t="inlineStr">
        <is>
          <t>2024-07-14</t>
        </is>
      </c>
      <c r="D198" s="12" t="n">
        <v>13.31</v>
      </c>
      <c r="E198" s="12" t="n">
        <v>20</v>
      </c>
      <c r="F198" s="12">
        <f>ROUND(D198-E198,2)</f>
        <v/>
      </c>
      <c r="G198" s="15">
        <f>IFERROR(ROUND(F198/E198,4),"")</f>
        <v/>
      </c>
      <c r="H198" s="16">
        <f>IF(D198=0,"NO DATA",IF(D198&gt;E198*1.5,"OVER",IF(D198&gt;E198*1.1,"HIGH",IF(D198&lt;E198*0.5,"LOW","OK"))))</f>
        <v/>
      </c>
    </row>
    <row r="199" ht="22" customHeight="1">
      <c r="B199" s="5" t="inlineStr">
        <is>
          <t>MTR-BLR-003</t>
        </is>
      </c>
      <c r="C199" s="5" t="inlineStr">
        <is>
          <t>2024-07-15</t>
        </is>
      </c>
      <c r="D199" s="11" t="n">
        <v>25.5</v>
      </c>
      <c r="E199" s="11" t="n">
        <v>20</v>
      </c>
      <c r="F199" s="11">
        <f>ROUND(D199-E199,2)</f>
        <v/>
      </c>
      <c r="G199" s="13">
        <f>IFERROR(ROUND(F199/E199,4),"")</f>
        <v/>
      </c>
      <c r="H199" s="14">
        <f>IF(D199=0,"NO DATA",IF(D199&gt;E199*1.5,"OVER",IF(D199&gt;E199*1.1,"HIGH",IF(D199&lt;E199*0.5,"LOW","OK"))))</f>
        <v/>
      </c>
    </row>
    <row r="200" ht="22" customHeight="1">
      <c r="B200" s="8" t="inlineStr">
        <is>
          <t>MTR-BLR-003</t>
        </is>
      </c>
      <c r="C200" s="8" t="inlineStr">
        <is>
          <t>2024-07-16</t>
        </is>
      </c>
      <c r="D200" s="12" t="n">
        <v>24.08</v>
      </c>
      <c r="E200" s="12" t="n">
        <v>20</v>
      </c>
      <c r="F200" s="12">
        <f>ROUND(D200-E200,2)</f>
        <v/>
      </c>
      <c r="G200" s="15">
        <f>IFERROR(ROUND(F200/E200,4),"")</f>
        <v/>
      </c>
      <c r="H200" s="16">
        <f>IF(D200=0,"NO DATA",IF(D200&gt;E200*1.5,"OVER",IF(D200&gt;E200*1.1,"HIGH",IF(D200&lt;E200*0.5,"LOW","OK"))))</f>
        <v/>
      </c>
    </row>
    <row r="201" ht="22" customHeight="1">
      <c r="B201" s="5" t="inlineStr">
        <is>
          <t>MTR-BLR-003</t>
        </is>
      </c>
      <c r="C201" s="5" t="inlineStr">
        <is>
          <t>2024-07-17</t>
        </is>
      </c>
      <c r="D201" s="11" t="n">
        <v>23.66</v>
      </c>
      <c r="E201" s="11" t="n">
        <v>20</v>
      </c>
      <c r="F201" s="11">
        <f>ROUND(D201-E201,2)</f>
        <v/>
      </c>
      <c r="G201" s="13">
        <f>IFERROR(ROUND(F201/E201,4),"")</f>
        <v/>
      </c>
      <c r="H201" s="14">
        <f>IF(D201=0,"NO DATA",IF(D201&gt;E201*1.5,"OVER",IF(D201&gt;E201*1.1,"HIGH",IF(D201&lt;E201*0.5,"LOW","OK"))))</f>
        <v/>
      </c>
    </row>
    <row r="202" ht="22" customHeight="1">
      <c r="B202" s="8" t="inlineStr">
        <is>
          <t>MTR-BLR-003</t>
        </is>
      </c>
      <c r="C202" s="8" t="inlineStr">
        <is>
          <t>2024-07-18</t>
        </is>
      </c>
      <c r="D202" s="12" t="n">
        <v>22.81</v>
      </c>
      <c r="E202" s="12" t="n">
        <v>20</v>
      </c>
      <c r="F202" s="12">
        <f>ROUND(D202-E202,2)</f>
        <v/>
      </c>
      <c r="G202" s="15">
        <f>IFERROR(ROUND(F202/E202,4),"")</f>
        <v/>
      </c>
      <c r="H202" s="16">
        <f>IF(D202=0,"NO DATA",IF(D202&gt;E202*1.5,"OVER",IF(D202&gt;E202*1.1,"HIGH",IF(D202&lt;E202*0.5,"LOW","OK"))))</f>
        <v/>
      </c>
    </row>
    <row r="203" ht="22" customHeight="1">
      <c r="B203" s="5" t="inlineStr">
        <is>
          <t>MTR-BLR-003</t>
        </is>
      </c>
      <c r="C203" s="5" t="inlineStr">
        <is>
          <t>2024-07-19</t>
        </is>
      </c>
      <c r="D203" s="11" t="n">
        <v>20.8</v>
      </c>
      <c r="E203" s="11" t="n">
        <v>20</v>
      </c>
      <c r="F203" s="11">
        <f>ROUND(D203-E203,2)</f>
        <v/>
      </c>
      <c r="G203" s="13">
        <f>IFERROR(ROUND(F203/E203,4),"")</f>
        <v/>
      </c>
      <c r="H203" s="14">
        <f>IF(D203=0,"NO DATA",IF(D203&gt;E203*1.5,"OVER",IF(D203&gt;E203*1.1,"HIGH",IF(D203&lt;E203*0.5,"LOW","OK"))))</f>
        <v/>
      </c>
    </row>
    <row r="204" ht="22" customHeight="1">
      <c r="B204" s="8" t="inlineStr">
        <is>
          <t>MTR-BLR-003</t>
        </is>
      </c>
      <c r="C204" s="8" t="inlineStr">
        <is>
          <t>2024-07-20</t>
        </is>
      </c>
      <c r="D204" s="12" t="n">
        <v>17.41</v>
      </c>
      <c r="E204" s="12" t="n">
        <v>20</v>
      </c>
      <c r="F204" s="12">
        <f>ROUND(D204-E204,2)</f>
        <v/>
      </c>
      <c r="G204" s="15">
        <f>IFERROR(ROUND(F204/E204,4),"")</f>
        <v/>
      </c>
      <c r="H204" s="16">
        <f>IF(D204=0,"NO DATA",IF(D204&gt;E204*1.5,"OVER",IF(D204&gt;E204*1.1,"HIGH",IF(D204&lt;E204*0.5,"LOW","OK"))))</f>
        <v/>
      </c>
    </row>
    <row r="205" ht="22" customHeight="1">
      <c r="B205" s="5" t="inlineStr">
        <is>
          <t>MTR-BLR-003</t>
        </is>
      </c>
      <c r="C205" s="5" t="inlineStr">
        <is>
          <t>2024-07-21</t>
        </is>
      </c>
      <c r="D205" s="11" t="n">
        <v>10.44</v>
      </c>
      <c r="E205" s="11" t="n">
        <v>20</v>
      </c>
      <c r="F205" s="11">
        <f>ROUND(D205-E205,2)</f>
        <v/>
      </c>
      <c r="G205" s="13">
        <f>IFERROR(ROUND(F205/E205,4),"")</f>
        <v/>
      </c>
      <c r="H205" s="14">
        <f>IF(D205=0,"NO DATA",IF(D205&gt;E205*1.5,"OVER",IF(D205&gt;E205*1.1,"HIGH",IF(D205&lt;E205*0.5,"LOW","OK"))))</f>
        <v/>
      </c>
    </row>
    <row r="206" ht="22" customHeight="1">
      <c r="B206" s="8" t="inlineStr">
        <is>
          <t>MTR-BLR-003</t>
        </is>
      </c>
      <c r="C206" s="8" t="inlineStr">
        <is>
          <t>2024-07-22</t>
        </is>
      </c>
      <c r="D206" s="12" t="n">
        <v>19.49</v>
      </c>
      <c r="E206" s="12" t="n">
        <v>20</v>
      </c>
      <c r="F206" s="12">
        <f>ROUND(D206-E206,2)</f>
        <v/>
      </c>
      <c r="G206" s="15">
        <f>IFERROR(ROUND(F206/E206,4),"")</f>
        <v/>
      </c>
      <c r="H206" s="16">
        <f>IF(D206=0,"NO DATA",IF(D206&gt;E206*1.5,"OVER",IF(D206&gt;E206*1.1,"HIGH",IF(D206&lt;E206*0.5,"LOW","OK"))))</f>
        <v/>
      </c>
    </row>
    <row r="207" ht="22" customHeight="1">
      <c r="B207" s="5" t="inlineStr">
        <is>
          <t>MTR-BLR-003</t>
        </is>
      </c>
      <c r="C207" s="5" t="inlineStr">
        <is>
          <t>2024-07-23</t>
        </is>
      </c>
      <c r="D207" s="11" t="n">
        <v>20.22</v>
      </c>
      <c r="E207" s="11" t="n">
        <v>20</v>
      </c>
      <c r="F207" s="11">
        <f>ROUND(D207-E207,2)</f>
        <v/>
      </c>
      <c r="G207" s="13">
        <f>IFERROR(ROUND(F207/E207,4),"")</f>
        <v/>
      </c>
      <c r="H207" s="14">
        <f>IF(D207=0,"NO DATA",IF(D207&gt;E207*1.5,"OVER",IF(D207&gt;E207*1.1,"HIGH",IF(D207&lt;E207*0.5,"LOW","OK"))))</f>
        <v/>
      </c>
    </row>
    <row r="208" ht="22" customHeight="1">
      <c r="B208" s="8" t="inlineStr">
        <is>
          <t>MTR-BLR-003</t>
        </is>
      </c>
      <c r="C208" s="8" t="inlineStr">
        <is>
          <t>2024-07-24</t>
        </is>
      </c>
      <c r="D208" s="12" t="n">
        <v>25.39</v>
      </c>
      <c r="E208" s="12" t="n">
        <v>20</v>
      </c>
      <c r="F208" s="12">
        <f>ROUND(D208-E208,2)</f>
        <v/>
      </c>
      <c r="G208" s="15">
        <f>IFERROR(ROUND(F208/E208,4),"")</f>
        <v/>
      </c>
      <c r="H208" s="16">
        <f>IF(D208=0,"NO DATA",IF(D208&gt;E208*1.5,"OVER",IF(D208&gt;E208*1.1,"HIGH",IF(D208&lt;E208*0.5,"LOW","OK"))))</f>
        <v/>
      </c>
    </row>
    <row r="209" ht="22" customHeight="1">
      <c r="B209" s="5" t="inlineStr">
        <is>
          <t>MTR-BLR-003</t>
        </is>
      </c>
      <c r="C209" s="5" t="inlineStr">
        <is>
          <t>2024-07-25</t>
        </is>
      </c>
      <c r="D209" s="11" t="n">
        <v>21.5</v>
      </c>
      <c r="E209" s="11" t="n">
        <v>20</v>
      </c>
      <c r="F209" s="11">
        <f>ROUND(D209-E209,2)</f>
        <v/>
      </c>
      <c r="G209" s="13">
        <f>IFERROR(ROUND(F209/E209,4),"")</f>
        <v/>
      </c>
      <c r="H209" s="14">
        <f>IF(D209=0,"NO DATA",IF(D209&gt;E209*1.5,"OVER",IF(D209&gt;E209*1.1,"HIGH",IF(D209&lt;E209*0.5,"LOW","OK"))))</f>
        <v/>
      </c>
    </row>
    <row r="210" ht="22" customHeight="1">
      <c r="B210" s="8" t="inlineStr">
        <is>
          <t>MTR-BLR-003</t>
        </is>
      </c>
      <c r="C210" s="8" t="inlineStr">
        <is>
          <t>2024-07-26</t>
        </is>
      </c>
      <c r="D210" s="12" t="n">
        <v>25.07</v>
      </c>
      <c r="E210" s="12" t="n">
        <v>20</v>
      </c>
      <c r="F210" s="12">
        <f>ROUND(D210-E210,2)</f>
        <v/>
      </c>
      <c r="G210" s="15">
        <f>IFERROR(ROUND(F210/E210,4),"")</f>
        <v/>
      </c>
      <c r="H210" s="16">
        <f>IF(D210=0,"NO DATA",IF(D210&gt;E210*1.5,"OVER",IF(D210&gt;E210*1.1,"HIGH",IF(D210&lt;E210*0.5,"LOW","OK"))))</f>
        <v/>
      </c>
    </row>
    <row r="211" ht="22" customHeight="1">
      <c r="B211" s="5" t="inlineStr">
        <is>
          <t>MTR-BLR-003</t>
        </is>
      </c>
      <c r="C211" s="5" t="inlineStr">
        <is>
          <t>2024-07-27</t>
        </is>
      </c>
      <c r="D211" s="11" t="n">
        <v>16.94</v>
      </c>
      <c r="E211" s="11" t="n">
        <v>20</v>
      </c>
      <c r="F211" s="11">
        <f>ROUND(D211-E211,2)</f>
        <v/>
      </c>
      <c r="G211" s="13">
        <f>IFERROR(ROUND(F211/E211,4),"")</f>
        <v/>
      </c>
      <c r="H211" s="14">
        <f>IF(D211=0,"NO DATA",IF(D211&gt;E211*1.5,"OVER",IF(D211&gt;E211*1.1,"HIGH",IF(D211&lt;E211*0.5,"LOW","OK"))))</f>
        <v/>
      </c>
    </row>
    <row r="212" ht="22" customHeight="1">
      <c r="B212" s="8" t="inlineStr">
        <is>
          <t>MTR-BLR-003</t>
        </is>
      </c>
      <c r="C212" s="8" t="inlineStr">
        <is>
          <t>2024-07-28</t>
        </is>
      </c>
      <c r="D212" s="12" t="n">
        <v>13.32</v>
      </c>
      <c r="E212" s="12" t="n">
        <v>20</v>
      </c>
      <c r="F212" s="12">
        <f>ROUND(D212-E212,2)</f>
        <v/>
      </c>
      <c r="G212" s="15">
        <f>IFERROR(ROUND(F212/E212,4),"")</f>
        <v/>
      </c>
      <c r="H212" s="16">
        <f>IF(D212=0,"NO DATA",IF(D212&gt;E212*1.5,"OVER",IF(D212&gt;E212*1.1,"HIGH",IF(D212&lt;E212*0.5,"LOW","OK"))))</f>
        <v/>
      </c>
    </row>
    <row r="213" ht="22" customHeight="1">
      <c r="B213" s="5" t="inlineStr">
        <is>
          <t>MTR-BLR-003</t>
        </is>
      </c>
      <c r="C213" s="5" t="inlineStr">
        <is>
          <t>2024-07-29</t>
        </is>
      </c>
      <c r="D213" s="11" t="n">
        <v>25.58</v>
      </c>
      <c r="E213" s="11" t="n">
        <v>20</v>
      </c>
      <c r="F213" s="11">
        <f>ROUND(D213-E213,2)</f>
        <v/>
      </c>
      <c r="G213" s="13">
        <f>IFERROR(ROUND(F213/E213,4),"")</f>
        <v/>
      </c>
      <c r="H213" s="14">
        <f>IF(D213=0,"NO DATA",IF(D213&gt;E213*1.5,"OVER",IF(D213&gt;E213*1.1,"HIGH",IF(D213&lt;E213*0.5,"LOW","OK"))))</f>
        <v/>
      </c>
    </row>
    <row r="214" ht="22" customHeight="1">
      <c r="B214" s="8" t="inlineStr">
        <is>
          <t>MTR-BLR-003</t>
        </is>
      </c>
      <c r="C214" s="8" t="inlineStr">
        <is>
          <t>2024-07-30</t>
        </is>
      </c>
      <c r="D214" s="12" t="n">
        <v>19.97</v>
      </c>
      <c r="E214" s="12" t="n">
        <v>20</v>
      </c>
      <c r="F214" s="12">
        <f>ROUND(D214-E214,2)</f>
        <v/>
      </c>
      <c r="G214" s="15">
        <f>IFERROR(ROUND(F214/E214,4),"")</f>
        <v/>
      </c>
      <c r="H214" s="16">
        <f>IF(D214=0,"NO DATA",IF(D214&gt;E214*1.5,"OVER",IF(D214&gt;E214*1.1,"HIGH",IF(D214&lt;E214*0.5,"LOW","OK"))))</f>
        <v/>
      </c>
    </row>
    <row r="215" ht="22" customHeight="1">
      <c r="B215" s="5" t="inlineStr">
        <is>
          <t>MTR-BLR-003</t>
        </is>
      </c>
      <c r="C215" s="5" t="inlineStr">
        <is>
          <t>2024-07-31</t>
        </is>
      </c>
      <c r="D215" s="11" t="n">
        <v>22.52</v>
      </c>
      <c r="E215" s="11" t="n">
        <v>20</v>
      </c>
      <c r="F215" s="11">
        <f>ROUND(D215-E215,2)</f>
        <v/>
      </c>
      <c r="G215" s="13">
        <f>IFERROR(ROUND(F215/E215,4),"")</f>
        <v/>
      </c>
      <c r="H215" s="14">
        <f>IF(D215=0,"NO DATA",IF(D215&gt;E215*1.5,"OVER",IF(D215&gt;E215*1.1,"HIGH",IF(D215&lt;E215*0.5,"LOW","OK"))))</f>
        <v/>
      </c>
    </row>
    <row r="216" ht="22" customHeight="1">
      <c r="B216" s="8" t="inlineStr">
        <is>
          <t>MTR-BLR-003</t>
        </is>
      </c>
      <c r="C216" s="8" t="inlineStr">
        <is>
          <t>2024-08-01</t>
        </is>
      </c>
      <c r="D216" s="12" t="n">
        <v>19.17</v>
      </c>
      <c r="E216" s="12" t="n">
        <v>20</v>
      </c>
      <c r="F216" s="12">
        <f>ROUND(D216-E216,2)</f>
        <v/>
      </c>
      <c r="G216" s="15">
        <f>IFERROR(ROUND(F216/E216,4),"")</f>
        <v/>
      </c>
      <c r="H216" s="16">
        <f>IF(D216=0,"NO DATA",IF(D216&gt;E216*1.5,"OVER",IF(D216&gt;E216*1.1,"HIGH",IF(D216&lt;E216*0.5,"LOW","OK"))))</f>
        <v/>
      </c>
    </row>
    <row r="217" ht="22" customHeight="1">
      <c r="B217" s="5" t="inlineStr">
        <is>
          <t>MTR-BLR-003</t>
        </is>
      </c>
      <c r="C217" s="5" t="inlineStr">
        <is>
          <t>2024-08-02</t>
        </is>
      </c>
      <c r="D217" s="11" t="n">
        <v>21.47</v>
      </c>
      <c r="E217" s="11" t="n">
        <v>20</v>
      </c>
      <c r="F217" s="11">
        <f>ROUND(D217-E217,2)</f>
        <v/>
      </c>
      <c r="G217" s="13">
        <f>IFERROR(ROUND(F217/E217,4),"")</f>
        <v/>
      </c>
      <c r="H217" s="14">
        <f>IF(D217=0,"NO DATA",IF(D217&gt;E217*1.5,"OVER",IF(D217&gt;E217*1.1,"HIGH",IF(D217&lt;E217*0.5,"LOW","OK"))))</f>
        <v/>
      </c>
    </row>
    <row r="218" ht="22" customHeight="1">
      <c r="B218" s="8" t="inlineStr">
        <is>
          <t>MTR-BLR-003</t>
        </is>
      </c>
      <c r="C218" s="8" t="inlineStr">
        <is>
          <t>2024-08-03</t>
        </is>
      </c>
      <c r="D218" s="12" t="n">
        <v>17.87</v>
      </c>
      <c r="E218" s="12" t="n">
        <v>20</v>
      </c>
      <c r="F218" s="12">
        <f>ROUND(D218-E218,2)</f>
        <v/>
      </c>
      <c r="G218" s="15">
        <f>IFERROR(ROUND(F218/E218,4),"")</f>
        <v/>
      </c>
      <c r="H218" s="16">
        <f>IF(D218=0,"NO DATA",IF(D218&gt;E218*1.5,"OVER",IF(D218&gt;E218*1.1,"HIGH",IF(D218&lt;E218*0.5,"LOW","OK"))))</f>
        <v/>
      </c>
    </row>
    <row r="219" ht="22" customHeight="1">
      <c r="B219" s="5" t="inlineStr">
        <is>
          <t>MTR-BLR-003</t>
        </is>
      </c>
      <c r="C219" s="5" t="inlineStr">
        <is>
          <t>2024-08-04</t>
        </is>
      </c>
      <c r="D219" s="11" t="n">
        <v>12.73</v>
      </c>
      <c r="E219" s="11" t="n">
        <v>20</v>
      </c>
      <c r="F219" s="11">
        <f>ROUND(D219-E219,2)</f>
        <v/>
      </c>
      <c r="G219" s="13">
        <f>IFERROR(ROUND(F219/E219,4),"")</f>
        <v/>
      </c>
      <c r="H219" s="14">
        <f>IF(D219=0,"NO DATA",IF(D219&gt;E219*1.5,"OVER",IF(D219&gt;E219*1.1,"HIGH",IF(D219&lt;E219*0.5,"LOW","OK"))))</f>
        <v/>
      </c>
    </row>
    <row r="220" ht="22" customHeight="1">
      <c r="B220" s="8" t="inlineStr">
        <is>
          <t>MTR-BLR-003</t>
        </is>
      </c>
      <c r="C220" s="8" t="inlineStr">
        <is>
          <t>2024-08-05</t>
        </is>
      </c>
      <c r="D220" s="12" t="n">
        <v>22.77</v>
      </c>
      <c r="E220" s="12" t="n">
        <v>20</v>
      </c>
      <c r="F220" s="12">
        <f>ROUND(D220-E220,2)</f>
        <v/>
      </c>
      <c r="G220" s="15">
        <f>IFERROR(ROUND(F220/E220,4),"")</f>
        <v/>
      </c>
      <c r="H220" s="16">
        <f>IF(D220=0,"NO DATA",IF(D220&gt;E220*1.5,"OVER",IF(D220&gt;E220*1.1,"HIGH",IF(D220&lt;E220*0.5,"LOW","OK"))))</f>
        <v/>
      </c>
    </row>
    <row r="221" ht="22" customHeight="1">
      <c r="B221" s="5" t="inlineStr">
        <is>
          <t>MTR-BLR-003</t>
        </is>
      </c>
      <c r="C221" s="5" t="inlineStr">
        <is>
          <t>2024-08-06</t>
        </is>
      </c>
      <c r="D221" s="11" t="n">
        <v>20.04</v>
      </c>
      <c r="E221" s="11" t="n">
        <v>20</v>
      </c>
      <c r="F221" s="11">
        <f>ROUND(D221-E221,2)</f>
        <v/>
      </c>
      <c r="G221" s="13">
        <f>IFERROR(ROUND(F221/E221,4),"")</f>
        <v/>
      </c>
      <c r="H221" s="14">
        <f>IF(D221=0,"NO DATA",IF(D221&gt;E221*1.5,"OVER",IF(D221&gt;E221*1.1,"HIGH",IF(D221&lt;E221*0.5,"LOW","OK"))))</f>
        <v/>
      </c>
    </row>
    <row r="222" ht="22" customHeight="1">
      <c r="B222" s="8" t="inlineStr">
        <is>
          <t>MTR-BLR-003</t>
        </is>
      </c>
      <c r="C222" s="8" t="inlineStr">
        <is>
          <t>2024-08-07</t>
        </is>
      </c>
      <c r="D222" s="12" t="n">
        <v>18.82</v>
      </c>
      <c r="E222" s="12" t="n">
        <v>20</v>
      </c>
      <c r="F222" s="12">
        <f>ROUND(D222-E222,2)</f>
        <v/>
      </c>
      <c r="G222" s="15">
        <f>IFERROR(ROUND(F222/E222,4),"")</f>
        <v/>
      </c>
      <c r="H222" s="16">
        <f>IF(D222=0,"NO DATA",IF(D222&gt;E222*1.5,"OVER",IF(D222&gt;E222*1.1,"HIGH",IF(D222&lt;E222*0.5,"LOW","OK"))))</f>
        <v/>
      </c>
    </row>
    <row r="223" ht="22" customHeight="1">
      <c r="B223" s="5" t="inlineStr">
        <is>
          <t>MTR-BLR-003</t>
        </is>
      </c>
      <c r="C223" s="5" t="inlineStr">
        <is>
          <t>2024-08-08</t>
        </is>
      </c>
      <c r="D223" s="11" t="n">
        <v>23.58</v>
      </c>
      <c r="E223" s="11" t="n">
        <v>20</v>
      </c>
      <c r="F223" s="11">
        <f>ROUND(D223-E223,2)</f>
        <v/>
      </c>
      <c r="G223" s="13">
        <f>IFERROR(ROUND(F223/E223,4),"")</f>
        <v/>
      </c>
      <c r="H223" s="14">
        <f>IF(D223=0,"NO DATA",IF(D223&gt;E223*1.5,"OVER",IF(D223&gt;E223*1.1,"HIGH",IF(D223&lt;E223*0.5,"LOW","OK"))))</f>
        <v/>
      </c>
    </row>
    <row r="224" ht="22" customHeight="1">
      <c r="B224" s="8" t="inlineStr">
        <is>
          <t>MTR-BLR-003</t>
        </is>
      </c>
      <c r="C224" s="8" t="inlineStr">
        <is>
          <t>2024-08-09</t>
        </is>
      </c>
      <c r="D224" s="12" t="n">
        <v>20.4</v>
      </c>
      <c r="E224" s="12" t="n">
        <v>20</v>
      </c>
      <c r="F224" s="12">
        <f>ROUND(D224-E224,2)</f>
        <v/>
      </c>
      <c r="G224" s="15">
        <f>IFERROR(ROUND(F224/E224,4),"")</f>
        <v/>
      </c>
      <c r="H224" s="16">
        <f>IF(D224=0,"NO DATA",IF(D224&gt;E224*1.5,"OVER",IF(D224&gt;E224*1.1,"HIGH",IF(D224&lt;E224*0.5,"LOW","OK"))))</f>
        <v/>
      </c>
    </row>
    <row r="225" ht="22" customHeight="1">
      <c r="B225" s="5" t="inlineStr">
        <is>
          <t>MTR-BLR-003</t>
        </is>
      </c>
      <c r="C225" s="5" t="inlineStr">
        <is>
          <t>2024-08-10</t>
        </is>
      </c>
      <c r="D225" s="11" t="n">
        <v>15.44</v>
      </c>
      <c r="E225" s="11" t="n">
        <v>20</v>
      </c>
      <c r="F225" s="11">
        <f>ROUND(D225-E225,2)</f>
        <v/>
      </c>
      <c r="G225" s="13">
        <f>IFERROR(ROUND(F225/E225,4),"")</f>
        <v/>
      </c>
      <c r="H225" s="14">
        <f>IF(D225=0,"NO DATA",IF(D225&gt;E225*1.5,"OVER",IF(D225&gt;E225*1.1,"HIGH",IF(D225&lt;E225*0.5,"LOW","OK"))))</f>
        <v/>
      </c>
    </row>
    <row r="226" ht="22" customHeight="1">
      <c r="B226" s="8" t="inlineStr">
        <is>
          <t>MTR-BLR-003</t>
        </is>
      </c>
      <c r="C226" s="8" t="inlineStr">
        <is>
          <t>2024-08-11</t>
        </is>
      </c>
      <c r="D226" s="12" t="n">
        <v>9.98</v>
      </c>
      <c r="E226" s="12" t="n">
        <v>20</v>
      </c>
      <c r="F226" s="12">
        <f>ROUND(D226-E226,2)</f>
        <v/>
      </c>
      <c r="G226" s="15">
        <f>IFERROR(ROUND(F226/E226,4),"")</f>
        <v/>
      </c>
      <c r="H226" s="16">
        <f>IF(D226=0,"NO DATA",IF(D226&gt;E226*1.5,"OVER",IF(D226&gt;E226*1.1,"HIGH",IF(D226&lt;E226*0.5,"LOW","OK"))))</f>
        <v/>
      </c>
    </row>
    <row r="227" ht="22" customHeight="1">
      <c r="B227" s="5" t="inlineStr">
        <is>
          <t>MTR-BLR-003</t>
        </is>
      </c>
      <c r="C227" s="5" t="inlineStr">
        <is>
          <t>2024-08-12</t>
        </is>
      </c>
      <c r="D227" s="11" t="n">
        <v>24.38</v>
      </c>
      <c r="E227" s="11" t="n">
        <v>20</v>
      </c>
      <c r="F227" s="11">
        <f>ROUND(D227-E227,2)</f>
        <v/>
      </c>
      <c r="G227" s="13">
        <f>IFERROR(ROUND(F227/E227,4),"")</f>
        <v/>
      </c>
      <c r="H227" s="14">
        <f>IF(D227=0,"NO DATA",IF(D227&gt;E227*1.5,"OVER",IF(D227&gt;E227*1.1,"HIGH",IF(D227&lt;E227*0.5,"LOW","OK"))))</f>
        <v/>
      </c>
    </row>
    <row r="228" ht="22" customHeight="1">
      <c r="B228" s="8" t="inlineStr">
        <is>
          <t>MTR-BLR-003</t>
        </is>
      </c>
      <c r="C228" s="8" t="inlineStr">
        <is>
          <t>2024-08-13</t>
        </is>
      </c>
      <c r="D228" s="12" t="n">
        <v>20.27</v>
      </c>
      <c r="E228" s="12" t="n">
        <v>20</v>
      </c>
      <c r="F228" s="12">
        <f>ROUND(D228-E228,2)</f>
        <v/>
      </c>
      <c r="G228" s="15">
        <f>IFERROR(ROUND(F228/E228,4),"")</f>
        <v/>
      </c>
      <c r="H228" s="16">
        <f>IF(D228=0,"NO DATA",IF(D228&gt;E228*1.5,"OVER",IF(D228&gt;E228*1.1,"HIGH",IF(D228&lt;E228*0.5,"LOW","OK"))))</f>
        <v/>
      </c>
    </row>
    <row r="229" ht="22" customHeight="1">
      <c r="B229" s="5" t="inlineStr">
        <is>
          <t>MTR-BLR-003</t>
        </is>
      </c>
      <c r="C229" s="5" t="inlineStr">
        <is>
          <t>2024-08-14</t>
        </is>
      </c>
      <c r="D229" s="11" t="n">
        <v>20.46</v>
      </c>
      <c r="E229" s="11" t="n">
        <v>20</v>
      </c>
      <c r="F229" s="11">
        <f>ROUND(D229-E229,2)</f>
        <v/>
      </c>
      <c r="G229" s="13">
        <f>IFERROR(ROUND(F229/E229,4),"")</f>
        <v/>
      </c>
      <c r="H229" s="14">
        <f>IF(D229=0,"NO DATA",IF(D229&gt;E229*1.5,"OVER",IF(D229&gt;E229*1.1,"HIGH",IF(D229&lt;E229*0.5,"LOW","OK"))))</f>
        <v/>
      </c>
    </row>
    <row r="230" ht="22" customHeight="1">
      <c r="B230" s="8" t="inlineStr">
        <is>
          <t>MTR-BLR-003</t>
        </is>
      </c>
      <c r="C230" s="8" t="inlineStr">
        <is>
          <t>2024-08-15</t>
        </is>
      </c>
      <c r="D230" s="12" t="n">
        <v>20.43</v>
      </c>
      <c r="E230" s="12" t="n">
        <v>20</v>
      </c>
      <c r="F230" s="12">
        <f>ROUND(D230-E230,2)</f>
        <v/>
      </c>
      <c r="G230" s="15">
        <f>IFERROR(ROUND(F230/E230,4),"")</f>
        <v/>
      </c>
      <c r="H230" s="16">
        <f>IF(D230=0,"NO DATA",IF(D230&gt;E230*1.5,"OVER",IF(D230&gt;E230*1.1,"HIGH",IF(D230&lt;E230*0.5,"LOW","OK"))))</f>
        <v/>
      </c>
    </row>
    <row r="231" ht="22" customHeight="1">
      <c r="B231" s="5" t="inlineStr">
        <is>
          <t>MTR-BLR-003</t>
        </is>
      </c>
      <c r="C231" s="5" t="inlineStr">
        <is>
          <t>2024-08-16</t>
        </is>
      </c>
      <c r="D231" s="11" t="n">
        <v>23.57</v>
      </c>
      <c r="E231" s="11" t="n">
        <v>20</v>
      </c>
      <c r="F231" s="11">
        <f>ROUND(D231-E231,2)</f>
        <v/>
      </c>
      <c r="G231" s="13">
        <f>IFERROR(ROUND(F231/E231,4),"")</f>
        <v/>
      </c>
      <c r="H231" s="14">
        <f>IF(D231=0,"NO DATA",IF(D231&gt;E231*1.5,"OVER",IF(D231&gt;E231*1.1,"HIGH",IF(D231&lt;E231*0.5,"LOW","OK"))))</f>
        <v/>
      </c>
    </row>
    <row r="232" ht="22" customHeight="1">
      <c r="B232" s="8" t="inlineStr">
        <is>
          <t>MTR-BLR-003</t>
        </is>
      </c>
      <c r="C232" s="8" t="inlineStr">
        <is>
          <t>2024-08-17</t>
        </is>
      </c>
      <c r="D232" s="12" t="n">
        <v>17.39</v>
      </c>
      <c r="E232" s="12" t="n">
        <v>20</v>
      </c>
      <c r="F232" s="12">
        <f>ROUND(D232-E232,2)</f>
        <v/>
      </c>
      <c r="G232" s="15">
        <f>IFERROR(ROUND(F232/E232,4),"")</f>
        <v/>
      </c>
      <c r="H232" s="16">
        <f>IF(D232=0,"NO DATA",IF(D232&gt;E232*1.5,"OVER",IF(D232&gt;E232*1.1,"HIGH",IF(D232&lt;E232*0.5,"LOW","OK"))))</f>
        <v/>
      </c>
    </row>
    <row r="233" ht="22" customHeight="1">
      <c r="B233" s="5" t="inlineStr">
        <is>
          <t>MTR-BLR-003</t>
        </is>
      </c>
      <c r="C233" s="5" t="inlineStr">
        <is>
          <t>2024-08-18</t>
        </is>
      </c>
      <c r="D233" s="11" t="n">
        <v>10.54</v>
      </c>
      <c r="E233" s="11" t="n">
        <v>20</v>
      </c>
      <c r="F233" s="11">
        <f>ROUND(D233-E233,2)</f>
        <v/>
      </c>
      <c r="G233" s="13">
        <f>IFERROR(ROUND(F233/E233,4),"")</f>
        <v/>
      </c>
      <c r="H233" s="14">
        <f>IF(D233=0,"NO DATA",IF(D233&gt;E233*1.5,"OVER",IF(D233&gt;E233*1.1,"HIGH",IF(D233&lt;E233*0.5,"LOW","OK"))))</f>
        <v/>
      </c>
    </row>
    <row r="234" ht="22" customHeight="1">
      <c r="B234" s="8" t="inlineStr">
        <is>
          <t>MTR-BLR-003</t>
        </is>
      </c>
      <c r="C234" s="8" t="inlineStr">
        <is>
          <t>2024-08-19</t>
        </is>
      </c>
      <c r="D234" s="12" t="n">
        <v>23.63</v>
      </c>
      <c r="E234" s="12" t="n">
        <v>20</v>
      </c>
      <c r="F234" s="12">
        <f>ROUND(D234-E234,2)</f>
        <v/>
      </c>
      <c r="G234" s="15">
        <f>IFERROR(ROUND(F234/E234,4),"")</f>
        <v/>
      </c>
      <c r="H234" s="16">
        <f>IF(D234=0,"NO DATA",IF(D234&gt;E234*1.5,"OVER",IF(D234&gt;E234*1.1,"HIGH",IF(D234&lt;E234*0.5,"LOW","OK"))))</f>
        <v/>
      </c>
    </row>
    <row r="235" ht="22" customHeight="1">
      <c r="B235" s="5" t="inlineStr">
        <is>
          <t>MTR-BLR-003</t>
        </is>
      </c>
      <c r="C235" s="5" t="inlineStr">
        <is>
          <t>2024-08-20</t>
        </is>
      </c>
      <c r="D235" s="11" t="n">
        <v>18.76</v>
      </c>
      <c r="E235" s="11" t="n">
        <v>20</v>
      </c>
      <c r="F235" s="11">
        <f>ROUND(D235-E235,2)</f>
        <v/>
      </c>
      <c r="G235" s="13">
        <f>IFERROR(ROUND(F235/E235,4),"")</f>
        <v/>
      </c>
      <c r="H235" s="14">
        <f>IF(D235=0,"NO DATA",IF(D235&gt;E235*1.5,"OVER",IF(D235&gt;E235*1.1,"HIGH",IF(D235&lt;E235*0.5,"LOW","OK"))))</f>
        <v/>
      </c>
    </row>
    <row r="236" ht="22" customHeight="1">
      <c r="B236" s="8" t="inlineStr">
        <is>
          <t>MTR-BLR-003</t>
        </is>
      </c>
      <c r="C236" s="8" t="inlineStr">
        <is>
          <t>2024-08-21</t>
        </is>
      </c>
      <c r="D236" s="12" t="n">
        <v>23.34</v>
      </c>
      <c r="E236" s="12" t="n">
        <v>20</v>
      </c>
      <c r="F236" s="12">
        <f>ROUND(D236-E236,2)</f>
        <v/>
      </c>
      <c r="G236" s="15">
        <f>IFERROR(ROUND(F236/E236,4),"")</f>
        <v/>
      </c>
      <c r="H236" s="16">
        <f>IF(D236=0,"NO DATA",IF(D236&gt;E236*1.5,"OVER",IF(D236&gt;E236*1.1,"HIGH",IF(D236&lt;E236*0.5,"LOW","OK"))))</f>
        <v/>
      </c>
    </row>
    <row r="237" ht="22" customHeight="1">
      <c r="B237" s="5" t="inlineStr">
        <is>
          <t>MTR-BLR-003</t>
        </is>
      </c>
      <c r="C237" s="5" t="inlineStr">
        <is>
          <t>2024-08-22</t>
        </is>
      </c>
      <c r="D237" s="11" t="n">
        <v>21.62</v>
      </c>
      <c r="E237" s="11" t="n">
        <v>20</v>
      </c>
      <c r="F237" s="11">
        <f>ROUND(D237-E237,2)</f>
        <v/>
      </c>
      <c r="G237" s="13">
        <f>IFERROR(ROUND(F237/E237,4),"")</f>
        <v/>
      </c>
      <c r="H237" s="14">
        <f>IF(D237=0,"NO DATA",IF(D237&gt;E237*1.5,"OVER",IF(D237&gt;E237*1.1,"HIGH",IF(D237&lt;E237*0.5,"LOW","OK"))))</f>
        <v/>
      </c>
    </row>
    <row r="238" ht="22" customHeight="1">
      <c r="B238" s="8" t="inlineStr">
        <is>
          <t>MTR-BLR-003</t>
        </is>
      </c>
      <c r="C238" s="8" t="inlineStr">
        <is>
          <t>2024-08-23</t>
        </is>
      </c>
      <c r="D238" s="12" t="n">
        <v>21.58</v>
      </c>
      <c r="E238" s="12" t="n">
        <v>20</v>
      </c>
      <c r="F238" s="12">
        <f>ROUND(D238-E238,2)</f>
        <v/>
      </c>
      <c r="G238" s="15">
        <f>IFERROR(ROUND(F238/E238,4),"")</f>
        <v/>
      </c>
      <c r="H238" s="16">
        <f>IF(D238=0,"NO DATA",IF(D238&gt;E238*1.5,"OVER",IF(D238&gt;E238*1.1,"HIGH",IF(D238&lt;E238*0.5,"LOW","OK"))))</f>
        <v/>
      </c>
    </row>
    <row r="239" ht="22" customHeight="1">
      <c r="B239" s="5" t="inlineStr">
        <is>
          <t>MTR-BLR-003</t>
        </is>
      </c>
      <c r="C239" s="5" t="inlineStr">
        <is>
          <t>2024-08-24</t>
        </is>
      </c>
      <c r="D239" s="11" t="n">
        <v>19.18</v>
      </c>
      <c r="E239" s="11" t="n">
        <v>20</v>
      </c>
      <c r="F239" s="11">
        <f>ROUND(D239-E239,2)</f>
        <v/>
      </c>
      <c r="G239" s="13">
        <f>IFERROR(ROUND(F239/E239,4),"")</f>
        <v/>
      </c>
      <c r="H239" s="14">
        <f>IF(D239=0,"NO DATA",IF(D239&gt;E239*1.5,"OVER",IF(D239&gt;E239*1.1,"HIGH",IF(D239&lt;E239*0.5,"LOW","OK"))))</f>
        <v/>
      </c>
    </row>
    <row r="240" ht="22" customHeight="1">
      <c r="B240" s="8" t="inlineStr">
        <is>
          <t>MTR-BLR-003</t>
        </is>
      </c>
      <c r="C240" s="8" t="inlineStr">
        <is>
          <t>2024-08-25</t>
        </is>
      </c>
      <c r="D240" s="12" t="n">
        <v>11.86</v>
      </c>
      <c r="E240" s="12" t="n">
        <v>20</v>
      </c>
      <c r="F240" s="12">
        <f>ROUND(D240-E240,2)</f>
        <v/>
      </c>
      <c r="G240" s="15">
        <f>IFERROR(ROUND(F240/E240,4),"")</f>
        <v/>
      </c>
      <c r="H240" s="16">
        <f>IF(D240=0,"NO DATA",IF(D240&gt;E240*1.5,"OVER",IF(D240&gt;E240*1.1,"HIGH",IF(D240&lt;E240*0.5,"LOW","OK"))))</f>
        <v/>
      </c>
    </row>
    <row r="241" ht="22" customHeight="1">
      <c r="B241" s="5" t="inlineStr">
        <is>
          <t>MTR-BLR-003</t>
        </is>
      </c>
      <c r="C241" s="5" t="inlineStr">
        <is>
          <t>2024-08-26</t>
        </is>
      </c>
      <c r="D241" s="11" t="n">
        <v>23.38</v>
      </c>
      <c r="E241" s="11" t="n">
        <v>20</v>
      </c>
      <c r="F241" s="11">
        <f>ROUND(D241-E241,2)</f>
        <v/>
      </c>
      <c r="G241" s="13">
        <f>IFERROR(ROUND(F241/E241,4),"")</f>
        <v/>
      </c>
      <c r="H241" s="14">
        <f>IF(D241=0,"NO DATA",IF(D241&gt;E241*1.5,"OVER",IF(D241&gt;E241*1.1,"HIGH",IF(D241&lt;E241*0.5,"LOW","OK"))))</f>
        <v/>
      </c>
    </row>
    <row r="242" ht="22" customHeight="1">
      <c r="B242" s="8" t="inlineStr">
        <is>
          <t>MTR-BLR-003</t>
        </is>
      </c>
      <c r="C242" s="8" t="inlineStr">
        <is>
          <t>2024-08-27</t>
        </is>
      </c>
      <c r="D242" s="12" t="n">
        <v>20.52</v>
      </c>
      <c r="E242" s="12" t="n">
        <v>20</v>
      </c>
      <c r="F242" s="12">
        <f>ROUND(D242-E242,2)</f>
        <v/>
      </c>
      <c r="G242" s="15">
        <f>IFERROR(ROUND(F242/E242,4),"")</f>
        <v/>
      </c>
      <c r="H242" s="16">
        <f>IF(D242=0,"NO DATA",IF(D242&gt;E242*1.5,"OVER",IF(D242&gt;E242*1.1,"HIGH",IF(D242&lt;E242*0.5,"LOW","OK"))))</f>
        <v/>
      </c>
    </row>
    <row r="243" ht="22" customHeight="1">
      <c r="B243" s="5" t="inlineStr">
        <is>
          <t>MTR-BLR-003</t>
        </is>
      </c>
      <c r="C243" s="5" t="inlineStr">
        <is>
          <t>2024-08-28</t>
        </is>
      </c>
      <c r="D243" s="11" t="n">
        <v>24.47</v>
      </c>
      <c r="E243" s="11" t="n">
        <v>20</v>
      </c>
      <c r="F243" s="11">
        <f>ROUND(D243-E243,2)</f>
        <v/>
      </c>
      <c r="G243" s="13">
        <f>IFERROR(ROUND(F243/E243,4),"")</f>
        <v/>
      </c>
      <c r="H243" s="14">
        <f>IF(D243=0,"NO DATA",IF(D243&gt;E243*1.5,"OVER",IF(D243&gt;E243*1.1,"HIGH",IF(D243&lt;E243*0.5,"LOW","OK"))))</f>
        <v/>
      </c>
    </row>
    <row r="244" ht="22" customHeight="1">
      <c r="B244" s="8" t="inlineStr">
        <is>
          <t>MTR-BLR-003</t>
        </is>
      </c>
      <c r="C244" s="8" t="inlineStr">
        <is>
          <t>2024-08-29</t>
        </is>
      </c>
      <c r="D244" s="12" t="n">
        <v>22.36</v>
      </c>
      <c r="E244" s="12" t="n">
        <v>20</v>
      </c>
      <c r="F244" s="12">
        <f>ROUND(D244-E244,2)</f>
        <v/>
      </c>
      <c r="G244" s="15">
        <f>IFERROR(ROUND(F244/E244,4),"")</f>
        <v/>
      </c>
      <c r="H244" s="16">
        <f>IF(D244=0,"NO DATA",IF(D244&gt;E244*1.5,"OVER",IF(D244&gt;E244*1.1,"HIGH",IF(D244&lt;E244*0.5,"LOW","OK"))))</f>
        <v/>
      </c>
    </row>
    <row r="245" ht="22" customHeight="1">
      <c r="B245" s="5" t="inlineStr">
        <is>
          <t>MTR-BLR-003</t>
        </is>
      </c>
      <c r="C245" s="5" t="inlineStr">
        <is>
          <t>2024-08-30</t>
        </is>
      </c>
      <c r="D245" s="11" t="n">
        <v>20.36</v>
      </c>
      <c r="E245" s="11" t="n">
        <v>20</v>
      </c>
      <c r="F245" s="11">
        <f>ROUND(D245-E245,2)</f>
        <v/>
      </c>
      <c r="G245" s="13">
        <f>IFERROR(ROUND(F245/E245,4),"")</f>
        <v/>
      </c>
      <c r="H245" s="14">
        <f>IF(D245=0,"NO DATA",IF(D245&gt;E245*1.5,"OVER",IF(D245&gt;E245*1.1,"HIGH",IF(D245&lt;E245*0.5,"LOW","OK"))))</f>
        <v/>
      </c>
    </row>
    <row r="246" ht="22" customHeight="1">
      <c r="B246" s="8" t="inlineStr">
        <is>
          <t>MTR-BLR-003</t>
        </is>
      </c>
      <c r="C246" s="8" t="inlineStr">
        <is>
          <t>2024-08-31</t>
        </is>
      </c>
      <c r="D246" s="12" t="n">
        <v>18.4</v>
      </c>
      <c r="E246" s="12" t="n">
        <v>20</v>
      </c>
      <c r="F246" s="12">
        <f>ROUND(D246-E246,2)</f>
        <v/>
      </c>
      <c r="G246" s="15">
        <f>IFERROR(ROUND(F246/E246,4),"")</f>
        <v/>
      </c>
      <c r="H246" s="16">
        <f>IF(D246=0,"NO DATA",IF(D246&gt;E246*1.5,"OVER",IF(D246&gt;E246*1.1,"HIGH",IF(D246&lt;E246*0.5,"LOW","OK"))))</f>
        <v/>
      </c>
    </row>
    <row r="247" ht="22" customHeight="1">
      <c r="B247" s="5" t="inlineStr">
        <is>
          <t>MTR-BLR-003</t>
        </is>
      </c>
      <c r="C247" s="5" t="inlineStr">
        <is>
          <t>2024-09-01</t>
        </is>
      </c>
      <c r="D247" s="11" t="n">
        <v>10.17</v>
      </c>
      <c r="E247" s="11" t="n">
        <v>20</v>
      </c>
      <c r="F247" s="11">
        <f>ROUND(D247-E247,2)</f>
        <v/>
      </c>
      <c r="G247" s="13">
        <f>IFERROR(ROUND(F247/E247,4),"")</f>
        <v/>
      </c>
      <c r="H247" s="14">
        <f>IF(D247=0,"NO DATA",IF(D247&gt;E247*1.5,"OVER",IF(D247&gt;E247*1.1,"HIGH",IF(D247&lt;E247*0.5,"LOW","OK"))))</f>
        <v/>
      </c>
    </row>
    <row r="248" ht="22" customHeight="1">
      <c r="B248" s="8" t="inlineStr">
        <is>
          <t>MTR-BLR-003</t>
        </is>
      </c>
      <c r="C248" s="8" t="inlineStr">
        <is>
          <t>2024-09-02</t>
        </is>
      </c>
      <c r="D248" s="12" t="n">
        <v>21.43</v>
      </c>
      <c r="E248" s="12" t="n">
        <v>20</v>
      </c>
      <c r="F248" s="12">
        <f>ROUND(D248-E248,2)</f>
        <v/>
      </c>
      <c r="G248" s="15">
        <f>IFERROR(ROUND(F248/E248,4),"")</f>
        <v/>
      </c>
      <c r="H248" s="16">
        <f>IF(D248=0,"NO DATA",IF(D248&gt;E248*1.5,"OVER",IF(D248&gt;E248*1.1,"HIGH",IF(D248&lt;E248*0.5,"LOW","OK"))))</f>
        <v/>
      </c>
    </row>
    <row r="249" ht="22" customHeight="1">
      <c r="B249" s="5" t="inlineStr">
        <is>
          <t>MTR-BLR-003</t>
        </is>
      </c>
      <c r="C249" s="5" t="inlineStr">
        <is>
          <t>2024-09-03</t>
        </is>
      </c>
      <c r="D249" s="11" t="n">
        <v>20.85</v>
      </c>
      <c r="E249" s="11" t="n">
        <v>20</v>
      </c>
      <c r="F249" s="11">
        <f>ROUND(D249-E249,2)</f>
        <v/>
      </c>
      <c r="G249" s="13">
        <f>IFERROR(ROUND(F249/E249,4),"")</f>
        <v/>
      </c>
      <c r="H249" s="14">
        <f>IF(D249=0,"NO DATA",IF(D249&gt;E249*1.5,"OVER",IF(D249&gt;E249*1.1,"HIGH",IF(D249&lt;E249*0.5,"LOW","OK"))))</f>
        <v/>
      </c>
    </row>
    <row r="250" ht="22" customHeight="1">
      <c r="B250" s="8" t="inlineStr">
        <is>
          <t>MTR-BLR-003</t>
        </is>
      </c>
      <c r="C250" s="8" t="inlineStr">
        <is>
          <t>2024-09-04</t>
        </is>
      </c>
      <c r="D250" s="12" t="n">
        <v>23.46</v>
      </c>
      <c r="E250" s="12" t="n">
        <v>20</v>
      </c>
      <c r="F250" s="12">
        <f>ROUND(D250-E250,2)</f>
        <v/>
      </c>
      <c r="G250" s="15">
        <f>IFERROR(ROUND(F250/E250,4),"")</f>
        <v/>
      </c>
      <c r="H250" s="16">
        <f>IF(D250=0,"NO DATA",IF(D250&gt;E250*1.5,"OVER",IF(D250&gt;E250*1.1,"HIGH",IF(D250&lt;E250*0.5,"LOW","OK"))))</f>
        <v/>
      </c>
    </row>
    <row r="251" ht="22" customHeight="1">
      <c r="B251" s="5" t="inlineStr">
        <is>
          <t>MTR-BLR-003</t>
        </is>
      </c>
      <c r="C251" s="5" t="inlineStr">
        <is>
          <t>2024-09-05</t>
        </is>
      </c>
      <c r="D251" s="11" t="n">
        <v>19.06</v>
      </c>
      <c r="E251" s="11" t="n">
        <v>20</v>
      </c>
      <c r="F251" s="11">
        <f>ROUND(D251-E251,2)</f>
        <v/>
      </c>
      <c r="G251" s="13">
        <f>IFERROR(ROUND(F251/E251,4),"")</f>
        <v/>
      </c>
      <c r="H251" s="14">
        <f>IF(D251=0,"NO DATA",IF(D251&gt;E251*1.5,"OVER",IF(D251&gt;E251*1.1,"HIGH",IF(D251&lt;E251*0.5,"LOW","OK"))))</f>
        <v/>
      </c>
    </row>
    <row r="252" ht="22" customHeight="1">
      <c r="B252" s="8" t="inlineStr">
        <is>
          <t>MTR-BLR-003</t>
        </is>
      </c>
      <c r="C252" s="8" t="inlineStr">
        <is>
          <t>2024-09-06</t>
        </is>
      </c>
      <c r="D252" s="12" t="n">
        <v>23.83</v>
      </c>
      <c r="E252" s="12" t="n">
        <v>20</v>
      </c>
      <c r="F252" s="12">
        <f>ROUND(D252-E252,2)</f>
        <v/>
      </c>
      <c r="G252" s="15">
        <f>IFERROR(ROUND(F252/E252,4),"")</f>
        <v/>
      </c>
      <c r="H252" s="16">
        <f>IF(D252=0,"NO DATA",IF(D252&gt;E252*1.5,"OVER",IF(D252&gt;E252*1.1,"HIGH",IF(D252&lt;E252*0.5,"LOW","OK"))))</f>
        <v/>
      </c>
    </row>
    <row r="253" ht="22" customHeight="1">
      <c r="B253" s="5" t="inlineStr">
        <is>
          <t>MTR-BLR-003</t>
        </is>
      </c>
      <c r="C253" s="5" t="inlineStr">
        <is>
          <t>2024-09-07</t>
        </is>
      </c>
      <c r="D253" s="11" t="n">
        <v>16.58</v>
      </c>
      <c r="E253" s="11" t="n">
        <v>20</v>
      </c>
      <c r="F253" s="11">
        <f>ROUND(D253-E253,2)</f>
        <v/>
      </c>
      <c r="G253" s="13">
        <f>IFERROR(ROUND(F253/E253,4),"")</f>
        <v/>
      </c>
      <c r="H253" s="14">
        <f>IF(D253=0,"NO DATA",IF(D253&gt;E253*1.5,"OVER",IF(D253&gt;E253*1.1,"HIGH",IF(D253&lt;E253*0.5,"LOW","OK"))))</f>
        <v/>
      </c>
    </row>
    <row r="254" ht="22" customHeight="1">
      <c r="B254" s="8" t="inlineStr">
        <is>
          <t>MTR-BLR-003</t>
        </is>
      </c>
      <c r="C254" s="8" t="inlineStr">
        <is>
          <t>2024-09-08</t>
        </is>
      </c>
      <c r="D254" s="12" t="n">
        <v>10.35</v>
      </c>
      <c r="E254" s="12" t="n">
        <v>20</v>
      </c>
      <c r="F254" s="12">
        <f>ROUND(D254-E254,2)</f>
        <v/>
      </c>
      <c r="G254" s="15">
        <f>IFERROR(ROUND(F254/E254,4),"")</f>
        <v/>
      </c>
      <c r="H254" s="16">
        <f>IF(D254=0,"NO DATA",IF(D254&gt;E254*1.5,"OVER",IF(D254&gt;E254*1.1,"HIGH",IF(D254&lt;E254*0.5,"LOW","OK"))))</f>
        <v/>
      </c>
    </row>
    <row r="255" ht="22" customHeight="1">
      <c r="B255" s="5" t="inlineStr">
        <is>
          <t>MTR-BLR-003</t>
        </is>
      </c>
      <c r="C255" s="5" t="inlineStr">
        <is>
          <t>2024-09-09</t>
        </is>
      </c>
      <c r="D255" s="11" t="n">
        <v>20.27</v>
      </c>
      <c r="E255" s="11" t="n">
        <v>20</v>
      </c>
      <c r="F255" s="11">
        <f>ROUND(D255-E255,2)</f>
        <v/>
      </c>
      <c r="G255" s="13">
        <f>IFERROR(ROUND(F255/E255,4),"")</f>
        <v/>
      </c>
      <c r="H255" s="14">
        <f>IF(D255=0,"NO DATA",IF(D255&gt;E255*1.5,"OVER",IF(D255&gt;E255*1.1,"HIGH",IF(D255&lt;E255*0.5,"LOW","OK"))))</f>
        <v/>
      </c>
    </row>
    <row r="256" ht="22" customHeight="1">
      <c r="B256" s="8" t="inlineStr">
        <is>
          <t>MTR-BLR-003</t>
        </is>
      </c>
      <c r="C256" s="8" t="inlineStr">
        <is>
          <t>2024-09-10</t>
        </is>
      </c>
      <c r="D256" s="12" t="n">
        <v>18.82</v>
      </c>
      <c r="E256" s="12" t="n">
        <v>20</v>
      </c>
      <c r="F256" s="12">
        <f>ROUND(D256-E256,2)</f>
        <v/>
      </c>
      <c r="G256" s="15">
        <f>IFERROR(ROUND(F256/E256,4),"")</f>
        <v/>
      </c>
      <c r="H256" s="16">
        <f>IF(D256=0,"NO DATA",IF(D256&gt;E256*1.5,"OVER",IF(D256&gt;E256*1.1,"HIGH",IF(D256&lt;E256*0.5,"LOW","OK"))))</f>
        <v/>
      </c>
    </row>
    <row r="257" ht="22" customHeight="1">
      <c r="B257" s="5" t="inlineStr">
        <is>
          <t>MTR-BLR-003</t>
        </is>
      </c>
      <c r="C257" s="5" t="inlineStr">
        <is>
          <t>2024-09-11</t>
        </is>
      </c>
      <c r="D257" s="11" t="n">
        <v>24.29</v>
      </c>
      <c r="E257" s="11" t="n">
        <v>20</v>
      </c>
      <c r="F257" s="11">
        <f>ROUND(D257-E257,2)</f>
        <v/>
      </c>
      <c r="G257" s="13">
        <f>IFERROR(ROUND(F257/E257,4),"")</f>
        <v/>
      </c>
      <c r="H257" s="14">
        <f>IF(D257=0,"NO DATA",IF(D257&gt;E257*1.5,"OVER",IF(D257&gt;E257*1.1,"HIGH",IF(D257&lt;E257*0.5,"LOW","OK"))))</f>
        <v/>
      </c>
    </row>
    <row r="258" ht="22" customHeight="1">
      <c r="B258" s="8" t="inlineStr">
        <is>
          <t>MTR-BLR-003</t>
        </is>
      </c>
      <c r="C258" s="8" t="inlineStr">
        <is>
          <t>2024-09-12</t>
        </is>
      </c>
      <c r="D258" s="12" t="n">
        <v>22.21</v>
      </c>
      <c r="E258" s="12" t="n">
        <v>20</v>
      </c>
      <c r="F258" s="12">
        <f>ROUND(D258-E258,2)</f>
        <v/>
      </c>
      <c r="G258" s="15">
        <f>IFERROR(ROUND(F258/E258,4),"")</f>
        <v/>
      </c>
      <c r="H258" s="16">
        <f>IF(D258=0,"NO DATA",IF(D258&gt;E258*1.5,"OVER",IF(D258&gt;E258*1.1,"HIGH",IF(D258&lt;E258*0.5,"LOW","OK"))))</f>
        <v/>
      </c>
    </row>
    <row r="259" ht="22" customHeight="1">
      <c r="B259" s="5" t="inlineStr">
        <is>
          <t>MTR-BLR-003</t>
        </is>
      </c>
      <c r="C259" s="5" t="inlineStr">
        <is>
          <t>2024-09-13</t>
        </is>
      </c>
      <c r="D259" s="11" t="n">
        <v>19.35</v>
      </c>
      <c r="E259" s="11" t="n">
        <v>20</v>
      </c>
      <c r="F259" s="11">
        <f>ROUND(D259-E259,2)</f>
        <v/>
      </c>
      <c r="G259" s="13">
        <f>IFERROR(ROUND(F259/E259,4),"")</f>
        <v/>
      </c>
      <c r="H259" s="14">
        <f>IF(D259=0,"NO DATA",IF(D259&gt;E259*1.5,"OVER",IF(D259&gt;E259*1.1,"HIGH",IF(D259&lt;E259*0.5,"LOW","OK"))))</f>
        <v/>
      </c>
    </row>
    <row r="260" ht="22" customHeight="1">
      <c r="B260" s="8" t="inlineStr">
        <is>
          <t>MTR-BLR-003</t>
        </is>
      </c>
      <c r="C260" s="8" t="inlineStr">
        <is>
          <t>2024-09-14</t>
        </is>
      </c>
      <c r="D260" s="12" t="n">
        <v>18.13</v>
      </c>
      <c r="E260" s="12" t="n">
        <v>20</v>
      </c>
      <c r="F260" s="12">
        <f>ROUND(D260-E260,2)</f>
        <v/>
      </c>
      <c r="G260" s="15">
        <f>IFERROR(ROUND(F260/E260,4),"")</f>
        <v/>
      </c>
      <c r="H260" s="16">
        <f>IF(D260=0,"NO DATA",IF(D260&gt;E260*1.5,"OVER",IF(D260&gt;E260*1.1,"HIGH",IF(D260&lt;E260*0.5,"LOW","OK"))))</f>
        <v/>
      </c>
    </row>
    <row r="261" ht="22" customHeight="1">
      <c r="B261" s="5" t="inlineStr">
        <is>
          <t>MTR-BLR-003</t>
        </is>
      </c>
      <c r="C261" s="5" t="inlineStr">
        <is>
          <t>2024-09-15</t>
        </is>
      </c>
      <c r="D261" s="11" t="n">
        <v>11.56</v>
      </c>
      <c r="E261" s="11" t="n">
        <v>20</v>
      </c>
      <c r="F261" s="11">
        <f>ROUND(D261-E261,2)</f>
        <v/>
      </c>
      <c r="G261" s="13">
        <f>IFERROR(ROUND(F261/E261,4),"")</f>
        <v/>
      </c>
      <c r="H261" s="14">
        <f>IF(D261=0,"NO DATA",IF(D261&gt;E261*1.5,"OVER",IF(D261&gt;E261*1.1,"HIGH",IF(D261&lt;E261*0.5,"LOW","OK"))))</f>
        <v/>
      </c>
    </row>
    <row r="262" ht="22" customHeight="1">
      <c r="B262" s="8" t="inlineStr">
        <is>
          <t>MTR-BLR-003</t>
        </is>
      </c>
      <c r="C262" s="8" t="inlineStr">
        <is>
          <t>2024-09-16</t>
        </is>
      </c>
      <c r="D262" s="12" t="n">
        <v>23.83</v>
      </c>
      <c r="E262" s="12" t="n">
        <v>20</v>
      </c>
      <c r="F262" s="12">
        <f>ROUND(D262-E262,2)</f>
        <v/>
      </c>
      <c r="G262" s="15">
        <f>IFERROR(ROUND(F262/E262,4),"")</f>
        <v/>
      </c>
      <c r="H262" s="16">
        <f>IF(D262=0,"NO DATA",IF(D262&gt;E262*1.5,"OVER",IF(D262&gt;E262*1.1,"HIGH",IF(D262&lt;E262*0.5,"LOW","OK"))))</f>
        <v/>
      </c>
    </row>
    <row r="263" ht="22" customHeight="1">
      <c r="B263" s="5" t="inlineStr">
        <is>
          <t>MTR-BLR-003</t>
        </is>
      </c>
      <c r="C263" s="5" t="inlineStr">
        <is>
          <t>2024-09-17</t>
        </is>
      </c>
      <c r="D263" s="11" t="n">
        <v>19.99</v>
      </c>
      <c r="E263" s="11" t="n">
        <v>20</v>
      </c>
      <c r="F263" s="11">
        <f>ROUND(D263-E263,2)</f>
        <v/>
      </c>
      <c r="G263" s="13">
        <f>IFERROR(ROUND(F263/E263,4),"")</f>
        <v/>
      </c>
      <c r="H263" s="14">
        <f>IF(D263=0,"NO DATA",IF(D263&gt;E263*1.5,"OVER",IF(D263&gt;E263*1.1,"HIGH",IF(D263&lt;E263*0.5,"LOW","OK"))))</f>
        <v/>
      </c>
    </row>
    <row r="264" ht="22" customHeight="1">
      <c r="B264" s="8" t="inlineStr">
        <is>
          <t>MTR-BLR-003</t>
        </is>
      </c>
      <c r="C264" s="8" t="inlineStr">
        <is>
          <t>2024-09-18</t>
        </is>
      </c>
      <c r="D264" s="12" t="n">
        <v>23.55</v>
      </c>
      <c r="E264" s="12" t="n">
        <v>20</v>
      </c>
      <c r="F264" s="12">
        <f>ROUND(D264-E264,2)</f>
        <v/>
      </c>
      <c r="G264" s="15">
        <f>IFERROR(ROUND(F264/E264,4),"")</f>
        <v/>
      </c>
      <c r="H264" s="16">
        <f>IF(D264=0,"NO DATA",IF(D264&gt;E264*1.5,"OVER",IF(D264&gt;E264*1.1,"HIGH",IF(D264&lt;E264*0.5,"LOW","OK"))))</f>
        <v/>
      </c>
    </row>
    <row r="265" ht="22" customHeight="1">
      <c r="B265" s="5" t="inlineStr">
        <is>
          <t>MTR-BLR-003</t>
        </is>
      </c>
      <c r="C265" s="5" t="inlineStr">
        <is>
          <t>2024-09-19</t>
        </is>
      </c>
      <c r="D265" s="11" t="n">
        <v>19.52</v>
      </c>
      <c r="E265" s="11" t="n">
        <v>20</v>
      </c>
      <c r="F265" s="11">
        <f>ROUND(D265-E265,2)</f>
        <v/>
      </c>
      <c r="G265" s="13">
        <f>IFERROR(ROUND(F265/E265,4),"")</f>
        <v/>
      </c>
      <c r="H265" s="14">
        <f>IF(D265=0,"NO DATA",IF(D265&gt;E265*1.5,"OVER",IF(D265&gt;E265*1.1,"HIGH",IF(D265&lt;E265*0.5,"LOW","OK"))))</f>
        <v/>
      </c>
    </row>
    <row r="266" ht="22" customHeight="1">
      <c r="B266" s="8" t="inlineStr">
        <is>
          <t>MTR-BLR-003</t>
        </is>
      </c>
      <c r="C266" s="8" t="inlineStr">
        <is>
          <t>2024-09-20</t>
        </is>
      </c>
      <c r="D266" s="12" t="n">
        <v>22.33</v>
      </c>
      <c r="E266" s="12" t="n">
        <v>20</v>
      </c>
      <c r="F266" s="12">
        <f>ROUND(D266-E266,2)</f>
        <v/>
      </c>
      <c r="G266" s="15">
        <f>IFERROR(ROUND(F266/E266,4),"")</f>
        <v/>
      </c>
      <c r="H266" s="16">
        <f>IF(D266=0,"NO DATA",IF(D266&gt;E266*1.5,"OVER",IF(D266&gt;E266*1.1,"HIGH",IF(D266&lt;E266*0.5,"LOW","OK"))))</f>
        <v/>
      </c>
    </row>
    <row r="267" ht="22" customHeight="1">
      <c r="B267" s="5" t="inlineStr">
        <is>
          <t>MTR-BLR-003</t>
        </is>
      </c>
      <c r="C267" s="5" t="inlineStr">
        <is>
          <t>2024-09-21</t>
        </is>
      </c>
      <c r="D267" s="11" t="n">
        <v>17.17</v>
      </c>
      <c r="E267" s="11" t="n">
        <v>20</v>
      </c>
      <c r="F267" s="11">
        <f>ROUND(D267-E267,2)</f>
        <v/>
      </c>
      <c r="G267" s="13">
        <f>IFERROR(ROUND(F267/E267,4),"")</f>
        <v/>
      </c>
      <c r="H267" s="14">
        <f>IF(D267=0,"NO DATA",IF(D267&gt;E267*1.5,"OVER",IF(D267&gt;E267*1.1,"HIGH",IF(D267&lt;E267*0.5,"LOW","OK"))))</f>
        <v/>
      </c>
    </row>
    <row r="268" ht="22" customHeight="1">
      <c r="B268" s="8" t="inlineStr">
        <is>
          <t>MTR-BLR-003</t>
        </is>
      </c>
      <c r="C268" s="8" t="inlineStr">
        <is>
          <t>2024-09-22</t>
        </is>
      </c>
      <c r="D268" s="12" t="n">
        <v>9.69</v>
      </c>
      <c r="E268" s="12" t="n">
        <v>20</v>
      </c>
      <c r="F268" s="12">
        <f>ROUND(D268-E268,2)</f>
        <v/>
      </c>
      <c r="G268" s="15">
        <f>IFERROR(ROUND(F268/E268,4),"")</f>
        <v/>
      </c>
      <c r="H268" s="16">
        <f>IF(D268=0,"NO DATA",IF(D268&gt;E268*1.5,"OVER",IF(D268&gt;E268*1.1,"HIGH",IF(D268&lt;E268*0.5,"LOW","OK"))))</f>
        <v/>
      </c>
    </row>
    <row r="269" ht="22" customHeight="1">
      <c r="B269" s="5" t="inlineStr">
        <is>
          <t>MTR-BLR-003</t>
        </is>
      </c>
      <c r="C269" s="5" t="inlineStr">
        <is>
          <t>2024-09-23</t>
        </is>
      </c>
      <c r="D269" s="11" t="n">
        <v>22.63</v>
      </c>
      <c r="E269" s="11" t="n">
        <v>20</v>
      </c>
      <c r="F269" s="11">
        <f>ROUND(D269-E269,2)</f>
        <v/>
      </c>
      <c r="G269" s="13">
        <f>IFERROR(ROUND(F269/E269,4),"")</f>
        <v/>
      </c>
      <c r="H269" s="14">
        <f>IF(D269=0,"NO DATA",IF(D269&gt;E269*1.5,"OVER",IF(D269&gt;E269*1.1,"HIGH",IF(D269&lt;E269*0.5,"LOW","OK"))))</f>
        <v/>
      </c>
    </row>
    <row r="270" ht="22" customHeight="1">
      <c r="B270" s="8" t="inlineStr">
        <is>
          <t>MTR-BLR-003</t>
        </is>
      </c>
      <c r="C270" s="8" t="inlineStr">
        <is>
          <t>2024-09-24</t>
        </is>
      </c>
      <c r="D270" s="12" t="n">
        <v>19.11</v>
      </c>
      <c r="E270" s="12" t="n">
        <v>20</v>
      </c>
      <c r="F270" s="12">
        <f>ROUND(D270-E270,2)</f>
        <v/>
      </c>
      <c r="G270" s="15">
        <f>IFERROR(ROUND(F270/E270,4),"")</f>
        <v/>
      </c>
      <c r="H270" s="16">
        <f>IF(D270=0,"NO DATA",IF(D270&gt;E270*1.5,"OVER",IF(D270&gt;E270*1.1,"HIGH",IF(D270&lt;E270*0.5,"LOW","OK"))))</f>
        <v/>
      </c>
    </row>
    <row r="271" ht="22" customHeight="1">
      <c r="B271" s="5" t="inlineStr">
        <is>
          <t>MTR-BLR-003</t>
        </is>
      </c>
      <c r="C271" s="5" t="inlineStr">
        <is>
          <t>2024-09-25</t>
        </is>
      </c>
      <c r="D271" s="11" t="n">
        <v>18.8</v>
      </c>
      <c r="E271" s="11" t="n">
        <v>20</v>
      </c>
      <c r="F271" s="11">
        <f>ROUND(D271-E271,2)</f>
        <v/>
      </c>
      <c r="G271" s="13">
        <f>IFERROR(ROUND(F271/E271,4),"")</f>
        <v/>
      </c>
      <c r="H271" s="14">
        <f>IF(D271=0,"NO DATA",IF(D271&gt;E271*1.5,"OVER",IF(D271&gt;E271*1.1,"HIGH",IF(D271&lt;E271*0.5,"LOW","OK"))))</f>
        <v/>
      </c>
    </row>
    <row r="272" ht="22" customHeight="1">
      <c r="B272" s="8" t="inlineStr">
        <is>
          <t>MTR-BLR-003</t>
        </is>
      </c>
      <c r="C272" s="8" t="inlineStr">
        <is>
          <t>2024-09-26</t>
        </is>
      </c>
      <c r="D272" s="12" t="n">
        <v>21.98</v>
      </c>
      <c r="E272" s="12" t="n">
        <v>20</v>
      </c>
      <c r="F272" s="12">
        <f>ROUND(D272-E272,2)</f>
        <v/>
      </c>
      <c r="G272" s="15">
        <f>IFERROR(ROUND(F272/E272,4),"")</f>
        <v/>
      </c>
      <c r="H272" s="16">
        <f>IF(D272=0,"NO DATA",IF(D272&gt;E272*1.5,"OVER",IF(D272&gt;E272*1.1,"HIGH",IF(D272&lt;E272*0.5,"LOW","OK"))))</f>
        <v/>
      </c>
    </row>
    <row r="273" ht="22" customHeight="1">
      <c r="B273" s="5" t="inlineStr">
        <is>
          <t>MTR-BLR-003</t>
        </is>
      </c>
      <c r="C273" s="5" t="inlineStr">
        <is>
          <t>2024-09-27</t>
        </is>
      </c>
      <c r="D273" s="11" t="n">
        <v>22.58</v>
      </c>
      <c r="E273" s="11" t="n">
        <v>20</v>
      </c>
      <c r="F273" s="11">
        <f>ROUND(D273-E273,2)</f>
        <v/>
      </c>
      <c r="G273" s="13">
        <f>IFERROR(ROUND(F273/E273,4),"")</f>
        <v/>
      </c>
      <c r="H273" s="14">
        <f>IF(D273=0,"NO DATA",IF(D273&gt;E273*1.5,"OVER",IF(D273&gt;E273*1.1,"HIGH",IF(D273&lt;E273*0.5,"LOW","OK"))))</f>
        <v/>
      </c>
    </row>
    <row r="274" ht="22" customHeight="1">
      <c r="B274" s="8" t="inlineStr">
        <is>
          <t>MTR-BLR-003</t>
        </is>
      </c>
      <c r="C274" s="8" t="inlineStr">
        <is>
          <t>2024-09-28</t>
        </is>
      </c>
      <c r="D274" s="12" t="n">
        <v>17.41</v>
      </c>
      <c r="E274" s="12" t="n">
        <v>20</v>
      </c>
      <c r="F274" s="12">
        <f>ROUND(D274-E274,2)</f>
        <v/>
      </c>
      <c r="G274" s="15">
        <f>IFERROR(ROUND(F274/E274,4),"")</f>
        <v/>
      </c>
      <c r="H274" s="16">
        <f>IF(D274=0,"NO DATA",IF(D274&gt;E274*1.5,"OVER",IF(D274&gt;E274*1.1,"HIGH",IF(D274&lt;E274*0.5,"LOW","OK"))))</f>
        <v/>
      </c>
    </row>
    <row r="275" ht="22" customHeight="1">
      <c r="B275" s="5" t="inlineStr">
        <is>
          <t>MTR-BLR-003</t>
        </is>
      </c>
      <c r="C275" s="5" t="inlineStr">
        <is>
          <t>2024-09-29</t>
        </is>
      </c>
      <c r="D275" s="11" t="n">
        <v>11.09</v>
      </c>
      <c r="E275" s="11" t="n">
        <v>20</v>
      </c>
      <c r="F275" s="11">
        <f>ROUND(D275-E275,2)</f>
        <v/>
      </c>
      <c r="G275" s="13">
        <f>IFERROR(ROUND(F275/E275,4),"")</f>
        <v/>
      </c>
      <c r="H275" s="14">
        <f>IF(D275=0,"NO DATA",IF(D275&gt;E275*1.5,"OVER",IF(D275&gt;E275*1.1,"HIGH",IF(D275&lt;E275*0.5,"LOW","OK"))))</f>
        <v/>
      </c>
    </row>
    <row r="276" ht="22" customHeight="1">
      <c r="B276" s="8" t="inlineStr">
        <is>
          <t>MTR-BLR-003</t>
        </is>
      </c>
      <c r="C276" s="8" t="inlineStr">
        <is>
          <t>2024-09-30</t>
        </is>
      </c>
      <c r="D276" s="12" t="n">
        <v>20.89</v>
      </c>
      <c r="E276" s="12" t="n">
        <v>20</v>
      </c>
      <c r="F276" s="12">
        <f>ROUND(D276-E276,2)</f>
        <v/>
      </c>
      <c r="G276" s="15">
        <f>IFERROR(ROUND(F276/E276,4),"")</f>
        <v/>
      </c>
      <c r="H276" s="16">
        <f>IF(D276=0,"NO DATA",IF(D276&gt;E276*1.5,"OVER",IF(D276&gt;E276*1.1,"HIGH",IF(D276&lt;E276*0.5,"LOW","OK"))))</f>
        <v/>
      </c>
    </row>
    <row r="277" ht="22" customHeight="1">
      <c r="B277" s="5" t="inlineStr">
        <is>
          <t>MTR-BLR-003</t>
        </is>
      </c>
      <c r="C277" s="5" t="inlineStr">
        <is>
          <t>2024-10-01</t>
        </is>
      </c>
      <c r="D277" s="11" t="n">
        <v>22.04</v>
      </c>
      <c r="E277" s="11" t="n">
        <v>20</v>
      </c>
      <c r="F277" s="11">
        <f>ROUND(D277-E277,2)</f>
        <v/>
      </c>
      <c r="G277" s="13">
        <f>IFERROR(ROUND(F277/E277,4),"")</f>
        <v/>
      </c>
      <c r="H277" s="14">
        <f>IF(D277=0,"NO DATA",IF(D277&gt;E277*1.5,"OVER",IF(D277&gt;E277*1.1,"HIGH",IF(D277&lt;E277*0.5,"LOW","OK"))))</f>
        <v/>
      </c>
    </row>
    <row r="278" ht="22" customHeight="1">
      <c r="B278" s="8" t="inlineStr">
        <is>
          <t>MTR-BLR-003</t>
        </is>
      </c>
      <c r="C278" s="8" t="inlineStr">
        <is>
          <t>2024-10-02</t>
        </is>
      </c>
      <c r="D278" s="12" t="n">
        <v>17.52</v>
      </c>
      <c r="E278" s="12" t="n">
        <v>20</v>
      </c>
      <c r="F278" s="12">
        <f>ROUND(D278-E278,2)</f>
        <v/>
      </c>
      <c r="G278" s="15">
        <f>IFERROR(ROUND(F278/E278,4),"")</f>
        <v/>
      </c>
      <c r="H278" s="16">
        <f>IF(D278=0,"NO DATA",IF(D278&gt;E278*1.5,"OVER",IF(D278&gt;E278*1.1,"HIGH",IF(D278&lt;E278*0.5,"LOW","OK"))))</f>
        <v/>
      </c>
    </row>
    <row r="279" ht="22" customHeight="1">
      <c r="B279" s="5" t="inlineStr">
        <is>
          <t>MTR-BLR-003</t>
        </is>
      </c>
      <c r="C279" s="5" t="inlineStr">
        <is>
          <t>2024-10-03</t>
        </is>
      </c>
      <c r="D279" s="11" t="n">
        <v>21.91</v>
      </c>
      <c r="E279" s="11" t="n">
        <v>20</v>
      </c>
      <c r="F279" s="11">
        <f>ROUND(D279-E279,2)</f>
        <v/>
      </c>
      <c r="G279" s="13">
        <f>IFERROR(ROUND(F279/E279,4),"")</f>
        <v/>
      </c>
      <c r="H279" s="14">
        <f>IF(D279=0,"NO DATA",IF(D279&gt;E279*1.5,"OVER",IF(D279&gt;E279*1.1,"HIGH",IF(D279&lt;E279*0.5,"LOW","OK"))))</f>
        <v/>
      </c>
    </row>
    <row r="280" ht="22" customHeight="1">
      <c r="B280" s="8" t="inlineStr">
        <is>
          <t>MTR-BLR-003</t>
        </is>
      </c>
      <c r="C280" s="8" t="inlineStr">
        <is>
          <t>2024-10-04</t>
        </is>
      </c>
      <c r="D280" s="12" t="n">
        <v>20.63</v>
      </c>
      <c r="E280" s="12" t="n">
        <v>20</v>
      </c>
      <c r="F280" s="12">
        <f>ROUND(D280-E280,2)</f>
        <v/>
      </c>
      <c r="G280" s="15">
        <f>IFERROR(ROUND(F280/E280,4),"")</f>
        <v/>
      </c>
      <c r="H280" s="16">
        <f>IF(D280=0,"NO DATA",IF(D280&gt;E280*1.5,"OVER",IF(D280&gt;E280*1.1,"HIGH",IF(D280&lt;E280*0.5,"LOW","OK"))))</f>
        <v/>
      </c>
    </row>
    <row r="281" ht="22" customHeight="1">
      <c r="B281" s="5" t="inlineStr">
        <is>
          <t>MTR-BLR-003</t>
        </is>
      </c>
      <c r="C281" s="5" t="inlineStr">
        <is>
          <t>2024-10-05</t>
        </is>
      </c>
      <c r="D281" s="11" t="n">
        <v>17.68</v>
      </c>
      <c r="E281" s="11" t="n">
        <v>20</v>
      </c>
      <c r="F281" s="11">
        <f>ROUND(D281-E281,2)</f>
        <v/>
      </c>
      <c r="G281" s="13">
        <f>IFERROR(ROUND(F281/E281,4),"")</f>
        <v/>
      </c>
      <c r="H281" s="14">
        <f>IF(D281=0,"NO DATA",IF(D281&gt;E281*1.5,"OVER",IF(D281&gt;E281*1.1,"HIGH",IF(D281&lt;E281*0.5,"LOW","OK"))))</f>
        <v/>
      </c>
    </row>
    <row r="282" ht="22" customHeight="1">
      <c r="B282" s="8" t="inlineStr">
        <is>
          <t>MTR-BLR-003</t>
        </is>
      </c>
      <c r="C282" s="8" t="inlineStr">
        <is>
          <t>2024-10-06</t>
        </is>
      </c>
      <c r="D282" s="12" t="n">
        <v>9.699999999999999</v>
      </c>
      <c r="E282" s="12" t="n">
        <v>20</v>
      </c>
      <c r="F282" s="12">
        <f>ROUND(D282-E282,2)</f>
        <v/>
      </c>
      <c r="G282" s="15">
        <f>IFERROR(ROUND(F282/E282,4),"")</f>
        <v/>
      </c>
      <c r="H282" s="16">
        <f>IF(D282=0,"NO DATA",IF(D282&gt;E282*1.5,"OVER",IF(D282&gt;E282*1.1,"HIGH",IF(D282&lt;E282*0.5,"LOW","OK"))))</f>
        <v/>
      </c>
    </row>
    <row r="283" ht="22" customHeight="1">
      <c r="B283" s="5" t="inlineStr">
        <is>
          <t>MTR-BLR-003</t>
        </is>
      </c>
      <c r="C283" s="5" t="inlineStr">
        <is>
          <t>2024-10-07</t>
        </is>
      </c>
      <c r="D283" s="11" t="n">
        <v>19.39</v>
      </c>
      <c r="E283" s="11" t="n">
        <v>20</v>
      </c>
      <c r="F283" s="11">
        <f>ROUND(D283-E283,2)</f>
        <v/>
      </c>
      <c r="G283" s="13">
        <f>IFERROR(ROUND(F283/E283,4),"")</f>
        <v/>
      </c>
      <c r="H283" s="14">
        <f>IF(D283=0,"NO DATA",IF(D283&gt;E283*1.5,"OVER",IF(D283&gt;E283*1.1,"HIGH",IF(D283&lt;E283*0.5,"LOW","OK"))))</f>
        <v/>
      </c>
    </row>
    <row r="284" ht="22" customHeight="1">
      <c r="B284" s="8" t="inlineStr">
        <is>
          <t>MTR-BLR-003</t>
        </is>
      </c>
      <c r="C284" s="8" t="inlineStr">
        <is>
          <t>2024-10-08</t>
        </is>
      </c>
      <c r="D284" s="12" t="n">
        <v>21.7</v>
      </c>
      <c r="E284" s="12" t="n">
        <v>20</v>
      </c>
      <c r="F284" s="12">
        <f>ROUND(D284-E284,2)</f>
        <v/>
      </c>
      <c r="G284" s="15">
        <f>IFERROR(ROUND(F284/E284,4),"")</f>
        <v/>
      </c>
      <c r="H284" s="16">
        <f>IF(D284=0,"NO DATA",IF(D284&gt;E284*1.5,"OVER",IF(D284&gt;E284*1.1,"HIGH",IF(D284&lt;E284*0.5,"LOW","OK"))))</f>
        <v/>
      </c>
    </row>
    <row r="285" ht="22" customHeight="1">
      <c r="B285" s="5" t="inlineStr">
        <is>
          <t>MTR-BLR-003</t>
        </is>
      </c>
      <c r="C285" s="5" t="inlineStr">
        <is>
          <t>2024-10-09</t>
        </is>
      </c>
      <c r="D285" s="11" t="n">
        <v>22.48</v>
      </c>
      <c r="E285" s="11" t="n">
        <v>20</v>
      </c>
      <c r="F285" s="11">
        <f>ROUND(D285-E285,2)</f>
        <v/>
      </c>
      <c r="G285" s="13">
        <f>IFERROR(ROUND(F285/E285,4),"")</f>
        <v/>
      </c>
      <c r="H285" s="14">
        <f>IF(D285=0,"NO DATA",IF(D285&gt;E285*1.5,"OVER",IF(D285&gt;E285*1.1,"HIGH",IF(D285&lt;E285*0.5,"LOW","OK"))))</f>
        <v/>
      </c>
    </row>
    <row r="286" ht="22" customHeight="1">
      <c r="B286" s="8" t="inlineStr">
        <is>
          <t>MTR-BLR-003</t>
        </is>
      </c>
      <c r="C286" s="8" t="inlineStr">
        <is>
          <t>2024-10-10</t>
        </is>
      </c>
      <c r="D286" s="12" t="n">
        <v>21.11</v>
      </c>
      <c r="E286" s="12" t="n">
        <v>20</v>
      </c>
      <c r="F286" s="12">
        <f>ROUND(D286-E286,2)</f>
        <v/>
      </c>
      <c r="G286" s="15">
        <f>IFERROR(ROUND(F286/E286,4),"")</f>
        <v/>
      </c>
      <c r="H286" s="16">
        <f>IF(D286=0,"NO DATA",IF(D286&gt;E286*1.5,"OVER",IF(D286&gt;E286*1.1,"HIGH",IF(D286&lt;E286*0.5,"LOW","OK"))))</f>
        <v/>
      </c>
    </row>
    <row r="287" ht="22" customHeight="1">
      <c r="B287" s="5" t="inlineStr">
        <is>
          <t>MTR-BLR-003</t>
        </is>
      </c>
      <c r="C287" s="5" t="inlineStr">
        <is>
          <t>2024-10-11</t>
        </is>
      </c>
      <c r="D287" s="11" t="n">
        <v>18.27</v>
      </c>
      <c r="E287" s="11" t="n">
        <v>20</v>
      </c>
      <c r="F287" s="11">
        <f>ROUND(D287-E287,2)</f>
        <v/>
      </c>
      <c r="G287" s="13">
        <f>IFERROR(ROUND(F287/E287,4),"")</f>
        <v/>
      </c>
      <c r="H287" s="14">
        <f>IF(D287=0,"NO DATA",IF(D287&gt;E287*1.5,"OVER",IF(D287&gt;E287*1.1,"HIGH",IF(D287&lt;E287*0.5,"LOW","OK"))))</f>
        <v/>
      </c>
    </row>
    <row r="288" ht="22" customHeight="1">
      <c r="B288" s="8" t="inlineStr">
        <is>
          <t>MTR-BLR-003</t>
        </is>
      </c>
      <c r="C288" s="8" t="inlineStr">
        <is>
          <t>2024-10-12</t>
        </is>
      </c>
      <c r="D288" s="12" t="n">
        <v>18.72</v>
      </c>
      <c r="E288" s="12" t="n">
        <v>20</v>
      </c>
      <c r="F288" s="12">
        <f>ROUND(D288-E288,2)</f>
        <v/>
      </c>
      <c r="G288" s="15">
        <f>IFERROR(ROUND(F288/E288,4),"")</f>
        <v/>
      </c>
      <c r="H288" s="16">
        <f>IF(D288=0,"NO DATA",IF(D288&gt;E288*1.5,"OVER",IF(D288&gt;E288*1.1,"HIGH",IF(D288&lt;E288*0.5,"LOW","OK"))))</f>
        <v/>
      </c>
    </row>
    <row r="289" ht="22" customHeight="1">
      <c r="B289" s="5" t="inlineStr">
        <is>
          <t>MTR-BLR-003</t>
        </is>
      </c>
      <c r="C289" s="5" t="inlineStr">
        <is>
          <t>2024-10-13</t>
        </is>
      </c>
      <c r="D289" s="11" t="n">
        <v>9.369999999999999</v>
      </c>
      <c r="E289" s="11" t="n">
        <v>20</v>
      </c>
      <c r="F289" s="11">
        <f>ROUND(D289-E289,2)</f>
        <v/>
      </c>
      <c r="G289" s="13">
        <f>IFERROR(ROUND(F289/E289,4),"")</f>
        <v/>
      </c>
      <c r="H289" s="14">
        <f>IF(D289=0,"NO DATA",IF(D289&gt;E289*1.5,"OVER",IF(D289&gt;E289*1.1,"HIGH",IF(D289&lt;E289*0.5,"LOW","OK"))))</f>
        <v/>
      </c>
    </row>
    <row r="290" ht="22" customHeight="1">
      <c r="B290" s="8" t="inlineStr">
        <is>
          <t>MTR-BLR-003</t>
        </is>
      </c>
      <c r="C290" s="8" t="inlineStr">
        <is>
          <t>2024-10-14</t>
        </is>
      </c>
      <c r="D290" s="12" t="n">
        <v>20.48</v>
      </c>
      <c r="E290" s="12" t="n">
        <v>20</v>
      </c>
      <c r="F290" s="12">
        <f>ROUND(D290-E290,2)</f>
        <v/>
      </c>
      <c r="G290" s="15">
        <f>IFERROR(ROUND(F290/E290,4),"")</f>
        <v/>
      </c>
      <c r="H290" s="16">
        <f>IF(D290=0,"NO DATA",IF(D290&gt;E290*1.5,"OVER",IF(D290&gt;E290*1.1,"HIGH",IF(D290&lt;E290*0.5,"LOW","OK"))))</f>
        <v/>
      </c>
    </row>
    <row r="291" ht="22" customHeight="1">
      <c r="B291" s="5" t="inlineStr">
        <is>
          <t>MTR-BLR-003</t>
        </is>
      </c>
      <c r="C291" s="5" t="inlineStr">
        <is>
          <t>2024-10-15</t>
        </is>
      </c>
      <c r="D291" s="11" t="n">
        <v>17.87</v>
      </c>
      <c r="E291" s="11" t="n">
        <v>20</v>
      </c>
      <c r="F291" s="11">
        <f>ROUND(D291-E291,2)</f>
        <v/>
      </c>
      <c r="G291" s="13">
        <f>IFERROR(ROUND(F291/E291,4),"")</f>
        <v/>
      </c>
      <c r="H291" s="14">
        <f>IF(D291=0,"NO DATA",IF(D291&gt;E291*1.5,"OVER",IF(D291&gt;E291*1.1,"HIGH",IF(D291&lt;E291*0.5,"LOW","OK"))))</f>
        <v/>
      </c>
    </row>
    <row r="292" ht="22" customHeight="1">
      <c r="B292" s="8" t="inlineStr">
        <is>
          <t>MTR-BLR-003</t>
        </is>
      </c>
      <c r="C292" s="8" t="inlineStr">
        <is>
          <t>2024-10-16</t>
        </is>
      </c>
      <c r="D292" s="12" t="n">
        <v>17.86</v>
      </c>
      <c r="E292" s="12" t="n">
        <v>20</v>
      </c>
      <c r="F292" s="12">
        <f>ROUND(D292-E292,2)</f>
        <v/>
      </c>
      <c r="G292" s="15">
        <f>IFERROR(ROUND(F292/E292,4),"")</f>
        <v/>
      </c>
      <c r="H292" s="16">
        <f>IF(D292=0,"NO DATA",IF(D292&gt;E292*1.5,"OVER",IF(D292&gt;E292*1.1,"HIGH",IF(D292&lt;E292*0.5,"LOW","OK"))))</f>
        <v/>
      </c>
    </row>
    <row r="293" ht="22" customHeight="1">
      <c r="B293" s="5" t="inlineStr">
        <is>
          <t>MTR-BLR-003</t>
        </is>
      </c>
      <c r="C293" s="5" t="inlineStr">
        <is>
          <t>2024-10-17</t>
        </is>
      </c>
      <c r="D293" s="11" t="n">
        <v>17.69</v>
      </c>
      <c r="E293" s="11" t="n">
        <v>20</v>
      </c>
      <c r="F293" s="11">
        <f>ROUND(D293-E293,2)</f>
        <v/>
      </c>
      <c r="G293" s="13">
        <f>IFERROR(ROUND(F293/E293,4),"")</f>
        <v/>
      </c>
      <c r="H293" s="14">
        <f>IF(D293=0,"NO DATA",IF(D293&gt;E293*1.5,"OVER",IF(D293&gt;E293*1.1,"HIGH",IF(D293&lt;E293*0.5,"LOW","OK"))))</f>
        <v/>
      </c>
    </row>
    <row r="294" ht="22" customHeight="1">
      <c r="B294" s="8" t="inlineStr">
        <is>
          <t>MTR-BLR-003</t>
        </is>
      </c>
      <c r="C294" s="8" t="inlineStr">
        <is>
          <t>2024-10-18</t>
        </is>
      </c>
      <c r="D294" s="12" t="n">
        <v>17.86</v>
      </c>
      <c r="E294" s="12" t="n">
        <v>20</v>
      </c>
      <c r="F294" s="12">
        <f>ROUND(D294-E294,2)</f>
        <v/>
      </c>
      <c r="G294" s="15">
        <f>IFERROR(ROUND(F294/E294,4),"")</f>
        <v/>
      </c>
      <c r="H294" s="16">
        <f>IF(D294=0,"NO DATA",IF(D294&gt;E294*1.5,"OVER",IF(D294&gt;E294*1.1,"HIGH",IF(D294&lt;E294*0.5,"LOW","OK"))))</f>
        <v/>
      </c>
    </row>
    <row r="295" ht="22" customHeight="1">
      <c r="B295" s="5" t="inlineStr">
        <is>
          <t>MTR-BLR-003</t>
        </is>
      </c>
      <c r="C295" s="5" t="inlineStr">
        <is>
          <t>2024-10-19</t>
        </is>
      </c>
      <c r="D295" s="11" t="n">
        <v>14.47</v>
      </c>
      <c r="E295" s="11" t="n">
        <v>20</v>
      </c>
      <c r="F295" s="11">
        <f>ROUND(D295-E295,2)</f>
        <v/>
      </c>
      <c r="G295" s="13">
        <f>IFERROR(ROUND(F295/E295,4),"")</f>
        <v/>
      </c>
      <c r="H295" s="14">
        <f>IF(D295=0,"NO DATA",IF(D295&gt;E295*1.5,"OVER",IF(D295&gt;E295*1.1,"HIGH",IF(D295&lt;E295*0.5,"LOW","OK"))))</f>
        <v/>
      </c>
    </row>
    <row r="296" ht="22" customHeight="1">
      <c r="B296" s="8" t="inlineStr">
        <is>
          <t>MTR-BLR-003</t>
        </is>
      </c>
      <c r="C296" s="8" t="inlineStr">
        <is>
          <t>2024-10-20</t>
        </is>
      </c>
      <c r="D296" s="12" t="n">
        <v>10.26</v>
      </c>
      <c r="E296" s="12" t="n">
        <v>20</v>
      </c>
      <c r="F296" s="12">
        <f>ROUND(D296-E296,2)</f>
        <v/>
      </c>
      <c r="G296" s="15">
        <f>IFERROR(ROUND(F296/E296,4),"")</f>
        <v/>
      </c>
      <c r="H296" s="16">
        <f>IF(D296=0,"NO DATA",IF(D296&gt;E296*1.5,"OVER",IF(D296&gt;E296*1.1,"HIGH",IF(D296&lt;E296*0.5,"LOW","OK"))))</f>
        <v/>
      </c>
    </row>
    <row r="297" ht="22" customHeight="1">
      <c r="B297" s="5" t="inlineStr">
        <is>
          <t>MTR-BLR-003</t>
        </is>
      </c>
      <c r="C297" s="5" t="inlineStr">
        <is>
          <t>2024-10-21</t>
        </is>
      </c>
      <c r="D297" s="11" t="n">
        <v>21.8</v>
      </c>
      <c r="E297" s="11" t="n">
        <v>20</v>
      </c>
      <c r="F297" s="11">
        <f>ROUND(D297-E297,2)</f>
        <v/>
      </c>
      <c r="G297" s="13">
        <f>IFERROR(ROUND(F297/E297,4),"")</f>
        <v/>
      </c>
      <c r="H297" s="14">
        <f>IF(D297=0,"NO DATA",IF(D297&gt;E297*1.5,"OVER",IF(D297&gt;E297*1.1,"HIGH",IF(D297&lt;E297*0.5,"LOW","OK"))))</f>
        <v/>
      </c>
    </row>
    <row r="298" ht="22" customHeight="1">
      <c r="B298" s="8" t="inlineStr">
        <is>
          <t>MTR-BLR-003</t>
        </is>
      </c>
      <c r="C298" s="8" t="inlineStr">
        <is>
          <t>2024-10-22</t>
        </is>
      </c>
      <c r="D298" s="12" t="n">
        <v>23.37</v>
      </c>
      <c r="E298" s="12" t="n">
        <v>20</v>
      </c>
      <c r="F298" s="12">
        <f>ROUND(D298-E298,2)</f>
        <v/>
      </c>
      <c r="G298" s="15">
        <f>IFERROR(ROUND(F298/E298,4),"")</f>
        <v/>
      </c>
      <c r="H298" s="16">
        <f>IF(D298=0,"NO DATA",IF(D298&gt;E298*1.5,"OVER",IF(D298&gt;E298*1.1,"HIGH",IF(D298&lt;E298*0.5,"LOW","OK"))))</f>
        <v/>
      </c>
    </row>
    <row r="299" ht="22" customHeight="1">
      <c r="B299" s="5" t="inlineStr">
        <is>
          <t>MTR-BLR-003</t>
        </is>
      </c>
      <c r="C299" s="5" t="inlineStr">
        <is>
          <t>2024-10-23</t>
        </is>
      </c>
      <c r="D299" s="11" t="n">
        <v>18.38</v>
      </c>
      <c r="E299" s="11" t="n">
        <v>20</v>
      </c>
      <c r="F299" s="11">
        <f>ROUND(D299-E299,2)</f>
        <v/>
      </c>
      <c r="G299" s="13">
        <f>IFERROR(ROUND(F299/E299,4),"")</f>
        <v/>
      </c>
      <c r="H299" s="14">
        <f>IF(D299=0,"NO DATA",IF(D299&gt;E299*1.5,"OVER",IF(D299&gt;E299*1.1,"HIGH",IF(D299&lt;E299*0.5,"LOW","OK"))))</f>
        <v/>
      </c>
    </row>
    <row r="300" ht="22" customHeight="1">
      <c r="B300" s="8" t="inlineStr">
        <is>
          <t>MTR-BLR-003</t>
        </is>
      </c>
      <c r="C300" s="8" t="inlineStr">
        <is>
          <t>2024-10-24</t>
        </is>
      </c>
      <c r="D300" s="12" t="n">
        <v>20.27</v>
      </c>
      <c r="E300" s="12" t="n">
        <v>20</v>
      </c>
      <c r="F300" s="12">
        <f>ROUND(D300-E300,2)</f>
        <v/>
      </c>
      <c r="G300" s="15">
        <f>IFERROR(ROUND(F300/E300,4),"")</f>
        <v/>
      </c>
      <c r="H300" s="16">
        <f>IF(D300=0,"NO DATA",IF(D300&gt;E300*1.5,"OVER",IF(D300&gt;E300*1.1,"HIGH",IF(D300&lt;E300*0.5,"LOW","OK"))))</f>
        <v/>
      </c>
    </row>
    <row r="301" ht="22" customHeight="1">
      <c r="B301" s="5" t="inlineStr">
        <is>
          <t>MTR-BLR-003</t>
        </is>
      </c>
      <c r="C301" s="5" t="inlineStr">
        <is>
          <t>2024-10-25</t>
        </is>
      </c>
      <c r="D301" s="11" t="n">
        <v>23.5</v>
      </c>
      <c r="E301" s="11" t="n">
        <v>20</v>
      </c>
      <c r="F301" s="11">
        <f>ROUND(D301-E301,2)</f>
        <v/>
      </c>
      <c r="G301" s="13">
        <f>IFERROR(ROUND(F301/E301,4),"")</f>
        <v/>
      </c>
      <c r="H301" s="14">
        <f>IF(D301=0,"NO DATA",IF(D301&gt;E301*1.5,"OVER",IF(D301&gt;E301*1.1,"HIGH",IF(D301&lt;E301*0.5,"LOW","OK"))))</f>
        <v/>
      </c>
    </row>
    <row r="302" ht="22" customHeight="1">
      <c r="B302" s="8" t="inlineStr">
        <is>
          <t>MTR-BLR-003</t>
        </is>
      </c>
      <c r="C302" s="8" t="inlineStr">
        <is>
          <t>2024-10-26</t>
        </is>
      </c>
      <c r="D302" s="12" t="n">
        <v>15.3</v>
      </c>
      <c r="E302" s="12" t="n">
        <v>20</v>
      </c>
      <c r="F302" s="12">
        <f>ROUND(D302-E302,2)</f>
        <v/>
      </c>
      <c r="G302" s="15">
        <f>IFERROR(ROUND(F302/E302,4),"")</f>
        <v/>
      </c>
      <c r="H302" s="16">
        <f>IF(D302=0,"NO DATA",IF(D302&gt;E302*1.5,"OVER",IF(D302&gt;E302*1.1,"HIGH",IF(D302&lt;E302*0.5,"LOW","OK"))))</f>
        <v/>
      </c>
    </row>
    <row r="303" ht="22" customHeight="1">
      <c r="B303" s="5" t="inlineStr">
        <is>
          <t>MTR-BLR-003</t>
        </is>
      </c>
      <c r="C303" s="5" t="inlineStr">
        <is>
          <t>2024-10-27</t>
        </is>
      </c>
      <c r="D303" s="11" t="n">
        <v>11.54</v>
      </c>
      <c r="E303" s="11" t="n">
        <v>20</v>
      </c>
      <c r="F303" s="11">
        <f>ROUND(D303-E303,2)</f>
        <v/>
      </c>
      <c r="G303" s="13">
        <f>IFERROR(ROUND(F303/E303,4),"")</f>
        <v/>
      </c>
      <c r="H303" s="14">
        <f>IF(D303=0,"NO DATA",IF(D303&gt;E303*1.5,"OVER",IF(D303&gt;E303*1.1,"HIGH",IF(D303&lt;E303*0.5,"LOW","OK"))))</f>
        <v/>
      </c>
    </row>
    <row r="304" ht="22" customHeight="1">
      <c r="B304" s="8" t="inlineStr">
        <is>
          <t>MTR-BLR-003</t>
        </is>
      </c>
      <c r="C304" s="8" t="inlineStr">
        <is>
          <t>2024-10-28</t>
        </is>
      </c>
      <c r="D304" s="12" t="n">
        <v>18.48</v>
      </c>
      <c r="E304" s="12" t="n">
        <v>20</v>
      </c>
      <c r="F304" s="12">
        <f>ROUND(D304-E304,2)</f>
        <v/>
      </c>
      <c r="G304" s="15">
        <f>IFERROR(ROUND(F304/E304,4),"")</f>
        <v/>
      </c>
      <c r="H304" s="16">
        <f>IF(D304=0,"NO DATA",IF(D304&gt;E304*1.5,"OVER",IF(D304&gt;E304*1.1,"HIGH",IF(D304&lt;E304*0.5,"LOW","OK"))))</f>
        <v/>
      </c>
    </row>
    <row r="305" ht="22" customHeight="1">
      <c r="B305" s="5" t="inlineStr">
        <is>
          <t>MTR-BLR-003</t>
        </is>
      </c>
      <c r="C305" s="5" t="inlineStr">
        <is>
          <t>2024-10-29</t>
        </is>
      </c>
      <c r="D305" s="11" t="n">
        <v>18.1</v>
      </c>
      <c r="E305" s="11" t="n">
        <v>20</v>
      </c>
      <c r="F305" s="11">
        <f>ROUND(D305-E305,2)</f>
        <v/>
      </c>
      <c r="G305" s="13">
        <f>IFERROR(ROUND(F305/E305,4),"")</f>
        <v/>
      </c>
      <c r="H305" s="14">
        <f>IF(D305=0,"NO DATA",IF(D305&gt;E305*1.5,"OVER",IF(D305&gt;E305*1.1,"HIGH",IF(D305&lt;E305*0.5,"LOW","OK"))))</f>
        <v/>
      </c>
    </row>
    <row r="306" ht="22" customHeight="1">
      <c r="B306" s="8" t="inlineStr">
        <is>
          <t>MTR-BLR-003</t>
        </is>
      </c>
      <c r="C306" s="8" t="inlineStr">
        <is>
          <t>2024-10-30</t>
        </is>
      </c>
      <c r="D306" s="12" t="n">
        <v>18.74</v>
      </c>
      <c r="E306" s="12" t="n">
        <v>20</v>
      </c>
      <c r="F306" s="12">
        <f>ROUND(D306-E306,2)</f>
        <v/>
      </c>
      <c r="G306" s="15">
        <f>IFERROR(ROUND(F306/E306,4),"")</f>
        <v/>
      </c>
      <c r="H306" s="16">
        <f>IF(D306=0,"NO DATA",IF(D306&gt;E306*1.5,"OVER",IF(D306&gt;E306*1.1,"HIGH",IF(D306&lt;E306*0.5,"LOW","OK"))))</f>
        <v/>
      </c>
    </row>
    <row r="307" ht="22" customHeight="1">
      <c r="B307" s="5" t="inlineStr">
        <is>
          <t>MTR-BLR-003</t>
        </is>
      </c>
      <c r="C307" s="5" t="inlineStr">
        <is>
          <t>2024-10-31</t>
        </is>
      </c>
      <c r="D307" s="11" t="n">
        <v>19.15</v>
      </c>
      <c r="E307" s="11" t="n">
        <v>20</v>
      </c>
      <c r="F307" s="11">
        <f>ROUND(D307-E307,2)</f>
        <v/>
      </c>
      <c r="G307" s="13">
        <f>IFERROR(ROUND(F307/E307,4),"")</f>
        <v/>
      </c>
      <c r="H307" s="14">
        <f>IF(D307=0,"NO DATA",IF(D307&gt;E307*1.5,"OVER",IF(D307&gt;E307*1.1,"HIGH",IF(D307&lt;E307*0.5,"LOW","OK"))))</f>
        <v/>
      </c>
    </row>
    <row r="308" ht="22" customHeight="1">
      <c r="B308" s="8" t="inlineStr">
        <is>
          <t>MTR-BLR-003</t>
        </is>
      </c>
      <c r="C308" s="8" t="inlineStr">
        <is>
          <t>2024-11-01</t>
        </is>
      </c>
      <c r="D308" s="12" t="n">
        <v>22.06</v>
      </c>
      <c r="E308" s="12" t="n">
        <v>20</v>
      </c>
      <c r="F308" s="12">
        <f>ROUND(D308-E308,2)</f>
        <v/>
      </c>
      <c r="G308" s="15">
        <f>IFERROR(ROUND(F308/E308,4),"")</f>
        <v/>
      </c>
      <c r="H308" s="16">
        <f>IF(D308=0,"NO DATA",IF(D308&gt;E308*1.5,"OVER",IF(D308&gt;E308*1.1,"HIGH",IF(D308&lt;E308*0.5,"LOW","OK"))))</f>
        <v/>
      </c>
    </row>
    <row r="309" ht="22" customHeight="1">
      <c r="B309" s="5" t="inlineStr">
        <is>
          <t>MTR-BLR-003</t>
        </is>
      </c>
      <c r="C309" s="5" t="inlineStr">
        <is>
          <t>2024-11-02</t>
        </is>
      </c>
      <c r="D309" s="11" t="n">
        <v>17.88</v>
      </c>
      <c r="E309" s="11" t="n">
        <v>20</v>
      </c>
      <c r="F309" s="11">
        <f>ROUND(D309-E309,2)</f>
        <v/>
      </c>
      <c r="G309" s="13">
        <f>IFERROR(ROUND(F309/E309,4),"")</f>
        <v/>
      </c>
      <c r="H309" s="14">
        <f>IF(D309=0,"NO DATA",IF(D309&gt;E309*1.5,"OVER",IF(D309&gt;E309*1.1,"HIGH",IF(D309&lt;E309*0.5,"LOW","OK"))))</f>
        <v/>
      </c>
    </row>
    <row r="310" ht="22" customHeight="1">
      <c r="B310" s="8" t="inlineStr">
        <is>
          <t>MTR-BLR-003</t>
        </is>
      </c>
      <c r="C310" s="8" t="inlineStr">
        <is>
          <t>2024-11-03</t>
        </is>
      </c>
      <c r="D310" s="12" t="n">
        <v>9.029999999999999</v>
      </c>
      <c r="E310" s="12" t="n">
        <v>20</v>
      </c>
      <c r="F310" s="12">
        <f>ROUND(D310-E310,2)</f>
        <v/>
      </c>
      <c r="G310" s="15">
        <f>IFERROR(ROUND(F310/E310,4),"")</f>
        <v/>
      </c>
      <c r="H310" s="16">
        <f>IF(D310=0,"NO DATA",IF(D310&gt;E310*1.5,"OVER",IF(D310&gt;E310*1.1,"HIGH",IF(D310&lt;E310*0.5,"LOW","OK"))))</f>
        <v/>
      </c>
    </row>
    <row r="311" ht="22" customHeight="1">
      <c r="B311" s="5" t="inlineStr">
        <is>
          <t>MTR-BLR-003</t>
        </is>
      </c>
      <c r="C311" s="5" t="inlineStr">
        <is>
          <t>2024-11-04</t>
        </is>
      </c>
      <c r="D311" s="11" t="n">
        <v>17.79</v>
      </c>
      <c r="E311" s="11" t="n">
        <v>20</v>
      </c>
      <c r="F311" s="11">
        <f>ROUND(D311-E311,2)</f>
        <v/>
      </c>
      <c r="G311" s="13">
        <f>IFERROR(ROUND(F311/E311,4),"")</f>
        <v/>
      </c>
      <c r="H311" s="14">
        <f>IF(D311=0,"NO DATA",IF(D311&gt;E311*1.5,"OVER",IF(D311&gt;E311*1.1,"HIGH",IF(D311&lt;E311*0.5,"LOW","OK"))))</f>
        <v/>
      </c>
    </row>
    <row r="312" ht="22" customHeight="1">
      <c r="B312" s="8" t="inlineStr">
        <is>
          <t>MTR-BLR-003</t>
        </is>
      </c>
      <c r="C312" s="8" t="inlineStr">
        <is>
          <t>2024-11-06</t>
        </is>
      </c>
      <c r="D312" s="12" t="n">
        <v>67.70999999999999</v>
      </c>
      <c r="E312" s="12" t="n">
        <v>20</v>
      </c>
      <c r="F312" s="12">
        <f>ROUND(D312-E312,2)</f>
        <v/>
      </c>
      <c r="G312" s="15">
        <f>IFERROR(ROUND(F312/E312,4),"")</f>
        <v/>
      </c>
      <c r="H312" s="16">
        <f>IF(D312=0,"NO DATA",IF(D312&gt;E312*1.5,"OVER",IF(D312&gt;E312*1.1,"HIGH",IF(D312&lt;E312*0.5,"LOW","OK"))))</f>
        <v/>
      </c>
    </row>
    <row r="313" ht="22" customHeight="1">
      <c r="B313" s="5" t="inlineStr">
        <is>
          <t>MTR-BLR-003</t>
        </is>
      </c>
      <c r="C313" s="5" t="inlineStr">
        <is>
          <t>2024-11-07</t>
        </is>
      </c>
      <c r="D313" s="11" t="n">
        <v>22.31</v>
      </c>
      <c r="E313" s="11" t="n">
        <v>20</v>
      </c>
      <c r="F313" s="11">
        <f>ROUND(D313-E313,2)</f>
        <v/>
      </c>
      <c r="G313" s="13">
        <f>IFERROR(ROUND(F313/E313,4),"")</f>
        <v/>
      </c>
      <c r="H313" s="14">
        <f>IF(D313=0,"NO DATA",IF(D313&gt;E313*1.5,"OVER",IF(D313&gt;E313*1.1,"HIGH",IF(D313&lt;E313*0.5,"LOW","OK"))))</f>
        <v/>
      </c>
    </row>
    <row r="314" ht="22" customHeight="1">
      <c r="B314" s="8" t="inlineStr">
        <is>
          <t>MTR-BLR-003</t>
        </is>
      </c>
      <c r="C314" s="8" t="inlineStr">
        <is>
          <t>2024-11-08</t>
        </is>
      </c>
      <c r="D314" s="12" t="n">
        <v>19.44</v>
      </c>
      <c r="E314" s="12" t="n">
        <v>20</v>
      </c>
      <c r="F314" s="12">
        <f>ROUND(D314-E314,2)</f>
        <v/>
      </c>
      <c r="G314" s="15">
        <f>IFERROR(ROUND(F314/E314,4),"")</f>
        <v/>
      </c>
      <c r="H314" s="16">
        <f>IF(D314=0,"NO DATA",IF(D314&gt;E314*1.5,"OVER",IF(D314&gt;E314*1.1,"HIGH",IF(D314&lt;E314*0.5,"LOW","OK"))))</f>
        <v/>
      </c>
    </row>
    <row r="315" ht="22" customHeight="1">
      <c r="B315" s="5" t="inlineStr">
        <is>
          <t>MTR-BLR-003</t>
        </is>
      </c>
      <c r="C315" s="5" t="inlineStr">
        <is>
          <t>2024-11-09</t>
        </is>
      </c>
      <c r="D315" s="11" t="n">
        <v>15.3</v>
      </c>
      <c r="E315" s="11" t="n">
        <v>20</v>
      </c>
      <c r="F315" s="11">
        <f>ROUND(D315-E315,2)</f>
        <v/>
      </c>
      <c r="G315" s="13">
        <f>IFERROR(ROUND(F315/E315,4),"")</f>
        <v/>
      </c>
      <c r="H315" s="14">
        <f>IF(D315=0,"NO DATA",IF(D315&gt;E315*1.5,"OVER",IF(D315&gt;E315*1.1,"HIGH",IF(D315&lt;E315*0.5,"LOW","OK"))))</f>
        <v/>
      </c>
    </row>
    <row r="316" ht="22" customHeight="1">
      <c r="B316" s="8" t="inlineStr">
        <is>
          <t>MTR-BLR-003</t>
        </is>
      </c>
      <c r="C316" s="8" t="inlineStr">
        <is>
          <t>2024-11-10</t>
        </is>
      </c>
      <c r="D316" s="12" t="n">
        <v>10.82</v>
      </c>
      <c r="E316" s="12" t="n">
        <v>20</v>
      </c>
      <c r="F316" s="12">
        <f>ROUND(D316-E316,2)</f>
        <v/>
      </c>
      <c r="G316" s="15">
        <f>IFERROR(ROUND(F316/E316,4),"")</f>
        <v/>
      </c>
      <c r="H316" s="16">
        <f>IF(D316=0,"NO DATA",IF(D316&gt;E316*1.5,"OVER",IF(D316&gt;E316*1.1,"HIGH",IF(D316&lt;E316*0.5,"LOW","OK"))))</f>
        <v/>
      </c>
    </row>
    <row r="317" ht="22" customHeight="1">
      <c r="B317" s="5" t="inlineStr">
        <is>
          <t>MTR-BLR-003</t>
        </is>
      </c>
      <c r="C317" s="5" t="inlineStr">
        <is>
          <t>2024-11-11</t>
        </is>
      </c>
      <c r="D317" s="11" t="n">
        <v>17.42</v>
      </c>
      <c r="E317" s="11" t="n">
        <v>20</v>
      </c>
      <c r="F317" s="11">
        <f>ROUND(D317-E317,2)</f>
        <v/>
      </c>
      <c r="G317" s="13">
        <f>IFERROR(ROUND(F317/E317,4),"")</f>
        <v/>
      </c>
      <c r="H317" s="14">
        <f>IF(D317=0,"NO DATA",IF(D317&gt;E317*1.5,"OVER",IF(D317&gt;E317*1.1,"HIGH",IF(D317&lt;E317*0.5,"LOW","OK"))))</f>
        <v/>
      </c>
    </row>
    <row r="318" ht="22" customHeight="1">
      <c r="B318" s="8" t="inlineStr">
        <is>
          <t>MTR-BLR-003</t>
        </is>
      </c>
      <c r="C318" s="8" t="inlineStr">
        <is>
          <t>2024-11-12</t>
        </is>
      </c>
      <c r="D318" s="12" t="n">
        <v>17.23</v>
      </c>
      <c r="E318" s="12" t="n">
        <v>20</v>
      </c>
      <c r="F318" s="12">
        <f>ROUND(D318-E318,2)</f>
        <v/>
      </c>
      <c r="G318" s="15">
        <f>IFERROR(ROUND(F318/E318,4),"")</f>
        <v/>
      </c>
      <c r="H318" s="16">
        <f>IF(D318=0,"NO DATA",IF(D318&gt;E318*1.5,"OVER",IF(D318&gt;E318*1.1,"HIGH",IF(D318&lt;E318*0.5,"LOW","OK"))))</f>
        <v/>
      </c>
    </row>
    <row r="319" ht="22" customHeight="1">
      <c r="B319" s="5" t="inlineStr">
        <is>
          <t>MTR-BLR-003</t>
        </is>
      </c>
      <c r="C319" s="5" t="inlineStr">
        <is>
          <t>2024-11-13</t>
        </is>
      </c>
      <c r="D319" s="11" t="n">
        <v>19.27</v>
      </c>
      <c r="E319" s="11" t="n">
        <v>20</v>
      </c>
      <c r="F319" s="11">
        <f>ROUND(D319-E319,2)</f>
        <v/>
      </c>
      <c r="G319" s="13">
        <f>IFERROR(ROUND(F319/E319,4),"")</f>
        <v/>
      </c>
      <c r="H319" s="14">
        <f>IF(D319=0,"NO DATA",IF(D319&gt;E319*1.5,"OVER",IF(D319&gt;E319*1.1,"HIGH",IF(D319&lt;E319*0.5,"LOW","OK"))))</f>
        <v/>
      </c>
    </row>
    <row r="320" ht="22" customHeight="1">
      <c r="B320" s="8" t="inlineStr">
        <is>
          <t>MTR-BLR-003</t>
        </is>
      </c>
      <c r="C320" s="8" t="inlineStr">
        <is>
          <t>2024-11-14</t>
        </is>
      </c>
      <c r="D320" s="12" t="n">
        <v>19.35</v>
      </c>
      <c r="E320" s="12" t="n">
        <v>20</v>
      </c>
      <c r="F320" s="12">
        <f>ROUND(D320-E320,2)</f>
        <v/>
      </c>
      <c r="G320" s="15">
        <f>IFERROR(ROUND(F320/E320,4),"")</f>
        <v/>
      </c>
      <c r="H320" s="16">
        <f>IF(D320=0,"NO DATA",IF(D320&gt;E320*1.5,"OVER",IF(D320&gt;E320*1.1,"HIGH",IF(D320&lt;E320*0.5,"LOW","OK"))))</f>
        <v/>
      </c>
    </row>
    <row r="321" ht="22" customHeight="1">
      <c r="B321" s="5" t="inlineStr">
        <is>
          <t>MTR-BLR-003</t>
        </is>
      </c>
      <c r="C321" s="5" t="inlineStr">
        <is>
          <t>2024-11-15</t>
        </is>
      </c>
      <c r="D321" s="11" t="n">
        <v>17.08</v>
      </c>
      <c r="E321" s="11" t="n">
        <v>20</v>
      </c>
      <c r="F321" s="11">
        <f>ROUND(D321-E321,2)</f>
        <v/>
      </c>
      <c r="G321" s="13">
        <f>IFERROR(ROUND(F321/E321,4),"")</f>
        <v/>
      </c>
      <c r="H321" s="14">
        <f>IF(D321=0,"NO DATA",IF(D321&gt;E321*1.5,"OVER",IF(D321&gt;E321*1.1,"HIGH",IF(D321&lt;E321*0.5,"LOW","OK"))))</f>
        <v/>
      </c>
    </row>
    <row r="322" ht="22" customHeight="1">
      <c r="B322" s="8" t="inlineStr">
        <is>
          <t>MTR-BLR-003</t>
        </is>
      </c>
      <c r="C322" s="8" t="inlineStr">
        <is>
          <t>2024-11-16</t>
        </is>
      </c>
      <c r="D322" s="12" t="n">
        <v>18.14</v>
      </c>
      <c r="E322" s="12" t="n">
        <v>20</v>
      </c>
      <c r="F322" s="12">
        <f>ROUND(D322-E322,2)</f>
        <v/>
      </c>
      <c r="G322" s="15">
        <f>IFERROR(ROUND(F322/E322,4),"")</f>
        <v/>
      </c>
      <c r="H322" s="16">
        <f>IF(D322=0,"NO DATA",IF(D322&gt;E322*1.5,"OVER",IF(D322&gt;E322*1.1,"HIGH",IF(D322&lt;E322*0.5,"LOW","OK"))))</f>
        <v/>
      </c>
    </row>
    <row r="323" ht="22" customHeight="1">
      <c r="B323" s="5" t="inlineStr">
        <is>
          <t>MTR-BLR-003</t>
        </is>
      </c>
      <c r="C323" s="5" t="inlineStr">
        <is>
          <t>2024-11-17</t>
        </is>
      </c>
      <c r="D323" s="11" t="n">
        <v>11.96</v>
      </c>
      <c r="E323" s="11" t="n">
        <v>20</v>
      </c>
      <c r="F323" s="11">
        <f>ROUND(D323-E323,2)</f>
        <v/>
      </c>
      <c r="G323" s="13">
        <f>IFERROR(ROUND(F323/E323,4),"")</f>
        <v/>
      </c>
      <c r="H323" s="14">
        <f>IF(D323=0,"NO DATA",IF(D323&gt;E323*1.5,"OVER",IF(D323&gt;E323*1.1,"HIGH",IF(D323&lt;E323*0.5,"LOW","OK"))))</f>
        <v/>
      </c>
    </row>
    <row r="324" ht="22" customHeight="1">
      <c r="B324" s="8" t="inlineStr">
        <is>
          <t>MTR-BLR-003</t>
        </is>
      </c>
      <c r="C324" s="8" t="inlineStr">
        <is>
          <t>2024-11-18</t>
        </is>
      </c>
      <c r="D324" s="12" t="n">
        <v>18.6</v>
      </c>
      <c r="E324" s="12" t="n">
        <v>20</v>
      </c>
      <c r="F324" s="12">
        <f>ROUND(D324-E324,2)</f>
        <v/>
      </c>
      <c r="G324" s="15">
        <f>IFERROR(ROUND(F324/E324,4),"")</f>
        <v/>
      </c>
      <c r="H324" s="16">
        <f>IF(D324=0,"NO DATA",IF(D324&gt;E324*1.5,"OVER",IF(D324&gt;E324*1.1,"HIGH",IF(D324&lt;E324*0.5,"LOW","OK"))))</f>
        <v/>
      </c>
    </row>
    <row r="325" ht="22" customHeight="1">
      <c r="B325" s="5" t="inlineStr">
        <is>
          <t>MTR-BLR-003</t>
        </is>
      </c>
      <c r="C325" s="5" t="inlineStr">
        <is>
          <t>2024-11-19</t>
        </is>
      </c>
      <c r="D325" s="11" t="n">
        <v>21.12</v>
      </c>
      <c r="E325" s="11" t="n">
        <v>20</v>
      </c>
      <c r="F325" s="11">
        <f>ROUND(D325-E325,2)</f>
        <v/>
      </c>
      <c r="G325" s="13">
        <f>IFERROR(ROUND(F325/E325,4),"")</f>
        <v/>
      </c>
      <c r="H325" s="14">
        <f>IF(D325=0,"NO DATA",IF(D325&gt;E325*1.5,"OVER",IF(D325&gt;E325*1.1,"HIGH",IF(D325&lt;E325*0.5,"LOW","OK"))))</f>
        <v/>
      </c>
    </row>
    <row r="326" ht="22" customHeight="1">
      <c r="B326" s="8" t="inlineStr">
        <is>
          <t>MTR-BLR-003</t>
        </is>
      </c>
      <c r="C326" s="8" t="inlineStr">
        <is>
          <t>2024-11-20</t>
        </is>
      </c>
      <c r="D326" s="12" t="n">
        <v>21.93</v>
      </c>
      <c r="E326" s="12" t="n">
        <v>20</v>
      </c>
      <c r="F326" s="12">
        <f>ROUND(D326-E326,2)</f>
        <v/>
      </c>
      <c r="G326" s="15">
        <f>IFERROR(ROUND(F326/E326,4),"")</f>
        <v/>
      </c>
      <c r="H326" s="16">
        <f>IF(D326=0,"NO DATA",IF(D326&gt;E326*1.5,"OVER",IF(D326&gt;E326*1.1,"HIGH",IF(D326&lt;E326*0.5,"LOW","OK"))))</f>
        <v/>
      </c>
    </row>
    <row r="327" ht="22" customHeight="1">
      <c r="B327" s="5" t="inlineStr">
        <is>
          <t>MTR-BLR-003</t>
        </is>
      </c>
      <c r="C327" s="5" t="inlineStr">
        <is>
          <t>2024-11-21</t>
        </is>
      </c>
      <c r="D327" s="11" t="n">
        <v>22.3</v>
      </c>
      <c r="E327" s="11" t="n">
        <v>20</v>
      </c>
      <c r="F327" s="11">
        <f>ROUND(D327-E327,2)</f>
        <v/>
      </c>
      <c r="G327" s="13">
        <f>IFERROR(ROUND(F327/E327,4),"")</f>
        <v/>
      </c>
      <c r="H327" s="14">
        <f>IF(D327=0,"NO DATA",IF(D327&gt;E327*1.5,"OVER",IF(D327&gt;E327*1.1,"HIGH",IF(D327&lt;E327*0.5,"LOW","OK"))))</f>
        <v/>
      </c>
    </row>
    <row r="328" ht="22" customHeight="1">
      <c r="B328" s="8" t="inlineStr">
        <is>
          <t>MTR-BLR-003</t>
        </is>
      </c>
      <c r="C328" s="8" t="inlineStr">
        <is>
          <t>2024-11-22</t>
        </is>
      </c>
      <c r="D328" s="12" t="n">
        <v>20.96</v>
      </c>
      <c r="E328" s="12" t="n">
        <v>20</v>
      </c>
      <c r="F328" s="12">
        <f>ROUND(D328-E328,2)</f>
        <v/>
      </c>
      <c r="G328" s="15">
        <f>IFERROR(ROUND(F328/E328,4),"")</f>
        <v/>
      </c>
      <c r="H328" s="16">
        <f>IF(D328=0,"NO DATA",IF(D328&gt;E328*1.5,"OVER",IF(D328&gt;E328*1.1,"HIGH",IF(D328&lt;E328*0.5,"LOW","OK"))))</f>
        <v/>
      </c>
    </row>
    <row r="329" ht="22" customHeight="1">
      <c r="B329" s="5" t="inlineStr">
        <is>
          <t>MTR-BLR-003</t>
        </is>
      </c>
      <c r="C329" s="5" t="inlineStr">
        <is>
          <t>2024-11-23</t>
        </is>
      </c>
      <c r="D329" s="11" t="n">
        <v>16.07</v>
      </c>
      <c r="E329" s="11" t="n">
        <v>20</v>
      </c>
      <c r="F329" s="11">
        <f>ROUND(D329-E329,2)</f>
        <v/>
      </c>
      <c r="G329" s="13">
        <f>IFERROR(ROUND(F329/E329,4),"")</f>
        <v/>
      </c>
      <c r="H329" s="14">
        <f>IF(D329=0,"NO DATA",IF(D329&gt;E329*1.5,"OVER",IF(D329&gt;E329*1.1,"HIGH",IF(D329&lt;E329*0.5,"LOW","OK"))))</f>
        <v/>
      </c>
    </row>
    <row r="330" ht="22" customHeight="1">
      <c r="B330" s="8" t="inlineStr">
        <is>
          <t>MTR-BLR-003</t>
        </is>
      </c>
      <c r="C330" s="8" t="inlineStr">
        <is>
          <t>2024-11-24</t>
        </is>
      </c>
      <c r="D330" s="12" t="n">
        <v>9.35</v>
      </c>
      <c r="E330" s="12" t="n">
        <v>20</v>
      </c>
      <c r="F330" s="12">
        <f>ROUND(D330-E330,2)</f>
        <v/>
      </c>
      <c r="G330" s="15">
        <f>IFERROR(ROUND(F330/E330,4),"")</f>
        <v/>
      </c>
      <c r="H330" s="16">
        <f>IF(D330=0,"NO DATA",IF(D330&gt;E330*1.5,"OVER",IF(D330&gt;E330*1.1,"HIGH",IF(D330&lt;E330*0.5,"LOW","OK"))))</f>
        <v/>
      </c>
    </row>
    <row r="331" ht="22" customHeight="1">
      <c r="B331" s="5" t="inlineStr">
        <is>
          <t>MTR-BLR-003</t>
        </is>
      </c>
      <c r="C331" s="5" t="inlineStr">
        <is>
          <t>2024-11-25</t>
        </is>
      </c>
      <c r="D331" s="11" t="n">
        <v>22.96</v>
      </c>
      <c r="E331" s="11" t="n">
        <v>20</v>
      </c>
      <c r="F331" s="11">
        <f>ROUND(D331-E331,2)</f>
        <v/>
      </c>
      <c r="G331" s="13">
        <f>IFERROR(ROUND(F331/E331,4),"")</f>
        <v/>
      </c>
      <c r="H331" s="14">
        <f>IF(D331=0,"NO DATA",IF(D331&gt;E331*1.5,"OVER",IF(D331&gt;E331*1.1,"HIGH",IF(D331&lt;E331*0.5,"LOW","OK"))))</f>
        <v/>
      </c>
    </row>
    <row r="332" ht="22" customHeight="1">
      <c r="B332" s="8" t="inlineStr">
        <is>
          <t>MTR-BLR-003</t>
        </is>
      </c>
      <c r="C332" s="8" t="inlineStr">
        <is>
          <t>2024-11-26</t>
        </is>
      </c>
      <c r="D332" s="12" t="n">
        <v>17.81</v>
      </c>
      <c r="E332" s="12" t="n">
        <v>20</v>
      </c>
      <c r="F332" s="12">
        <f>ROUND(D332-E332,2)</f>
        <v/>
      </c>
      <c r="G332" s="15">
        <f>IFERROR(ROUND(F332/E332,4),"")</f>
        <v/>
      </c>
      <c r="H332" s="16">
        <f>IF(D332=0,"NO DATA",IF(D332&gt;E332*1.5,"OVER",IF(D332&gt;E332*1.1,"HIGH",IF(D332&lt;E332*0.5,"LOW","OK"))))</f>
        <v/>
      </c>
    </row>
    <row r="333" ht="22" customHeight="1">
      <c r="B333" s="5" t="inlineStr">
        <is>
          <t>MTR-BLR-003</t>
        </is>
      </c>
      <c r="C333" s="5" t="inlineStr">
        <is>
          <t>2024-11-27</t>
        </is>
      </c>
      <c r="D333" s="11" t="n">
        <v>22.39</v>
      </c>
      <c r="E333" s="11" t="n">
        <v>20</v>
      </c>
      <c r="F333" s="11">
        <f>ROUND(D333-E333,2)</f>
        <v/>
      </c>
      <c r="G333" s="13">
        <f>IFERROR(ROUND(F333/E333,4),"")</f>
        <v/>
      </c>
      <c r="H333" s="14">
        <f>IF(D333=0,"NO DATA",IF(D333&gt;E333*1.5,"OVER",IF(D333&gt;E333*1.1,"HIGH",IF(D333&lt;E333*0.5,"LOW","OK"))))</f>
        <v/>
      </c>
    </row>
    <row r="334" ht="22" customHeight="1">
      <c r="B334" s="8" t="inlineStr">
        <is>
          <t>MTR-BLR-003</t>
        </is>
      </c>
      <c r="C334" s="8" t="inlineStr">
        <is>
          <t>2024-11-28</t>
        </is>
      </c>
      <c r="D334" s="12" t="n">
        <v>20.05</v>
      </c>
      <c r="E334" s="12" t="n">
        <v>20</v>
      </c>
      <c r="F334" s="12">
        <f>ROUND(D334-E334,2)</f>
        <v/>
      </c>
      <c r="G334" s="15">
        <f>IFERROR(ROUND(F334/E334,4),"")</f>
        <v/>
      </c>
      <c r="H334" s="16">
        <f>IF(D334=0,"NO DATA",IF(D334&gt;E334*1.5,"OVER",IF(D334&gt;E334*1.1,"HIGH",IF(D334&lt;E334*0.5,"LOW","OK"))))</f>
        <v/>
      </c>
    </row>
    <row r="335" ht="22" customHeight="1">
      <c r="B335" s="5" t="inlineStr">
        <is>
          <t>MTR-BLR-003</t>
        </is>
      </c>
      <c r="C335" s="5" t="inlineStr">
        <is>
          <t>2024-11-29</t>
        </is>
      </c>
      <c r="D335" s="11" t="n">
        <v>23.01</v>
      </c>
      <c r="E335" s="11" t="n">
        <v>20</v>
      </c>
      <c r="F335" s="11">
        <f>ROUND(D335-E335,2)</f>
        <v/>
      </c>
      <c r="G335" s="13">
        <f>IFERROR(ROUND(F335/E335,4),"")</f>
        <v/>
      </c>
      <c r="H335" s="14">
        <f>IF(D335=0,"NO DATA",IF(D335&gt;E335*1.5,"OVER",IF(D335&gt;E335*1.1,"HIGH",IF(D335&lt;E335*0.5,"LOW","OK"))))</f>
        <v/>
      </c>
    </row>
    <row r="336" ht="22" customHeight="1">
      <c r="B336" s="8" t="inlineStr">
        <is>
          <t>MTR-BLR-003</t>
        </is>
      </c>
      <c r="C336" s="8" t="inlineStr">
        <is>
          <t>2024-11-30</t>
        </is>
      </c>
      <c r="D336" s="12" t="n">
        <v>14.81</v>
      </c>
      <c r="E336" s="12" t="n">
        <v>20</v>
      </c>
      <c r="F336" s="12">
        <f>ROUND(D336-E336,2)</f>
        <v/>
      </c>
      <c r="G336" s="15">
        <f>IFERROR(ROUND(F336/E336,4),"")</f>
        <v/>
      </c>
      <c r="H336" s="16">
        <f>IF(D336=0,"NO DATA",IF(D336&gt;E336*1.5,"OVER",IF(D336&gt;E336*1.1,"HIGH",IF(D336&lt;E336*0.5,"LOW","OK"))))</f>
        <v/>
      </c>
    </row>
    <row r="337" ht="22" customHeight="1">
      <c r="B337" s="5" t="inlineStr">
        <is>
          <t>MTR-BLR-003</t>
        </is>
      </c>
      <c r="C337" s="5" t="inlineStr">
        <is>
          <t>2024-12-01</t>
        </is>
      </c>
      <c r="D337" s="11" t="n">
        <v>10.57</v>
      </c>
      <c r="E337" s="11" t="n">
        <v>20</v>
      </c>
      <c r="F337" s="11">
        <f>ROUND(D337-E337,2)</f>
        <v/>
      </c>
      <c r="G337" s="13">
        <f>IFERROR(ROUND(F337/E337,4),"")</f>
        <v/>
      </c>
      <c r="H337" s="14">
        <f>IF(D337=0,"NO DATA",IF(D337&gt;E337*1.5,"OVER",IF(D337&gt;E337*1.1,"HIGH",IF(D337&lt;E337*0.5,"LOW","OK"))))</f>
        <v/>
      </c>
    </row>
    <row r="338" ht="22" customHeight="1">
      <c r="B338" s="8" t="inlineStr">
        <is>
          <t>MTR-BLR-003</t>
        </is>
      </c>
      <c r="C338" s="8" t="inlineStr">
        <is>
          <t>2024-12-02</t>
        </is>
      </c>
      <c r="D338" s="12" t="n">
        <v>19.32</v>
      </c>
      <c r="E338" s="12" t="n">
        <v>20</v>
      </c>
      <c r="F338" s="12">
        <f>ROUND(D338-E338,2)</f>
        <v/>
      </c>
      <c r="G338" s="15">
        <f>IFERROR(ROUND(F338/E338,4),"")</f>
        <v/>
      </c>
      <c r="H338" s="16">
        <f>IF(D338=0,"NO DATA",IF(D338&gt;E338*1.5,"OVER",IF(D338&gt;E338*1.1,"HIGH",IF(D338&lt;E338*0.5,"LOW","OK"))))</f>
        <v/>
      </c>
    </row>
    <row r="339" ht="22" customHeight="1">
      <c r="B339" s="5" t="inlineStr">
        <is>
          <t>MTR-BLR-003</t>
        </is>
      </c>
      <c r="C339" s="5" t="inlineStr">
        <is>
          <t>2024-12-03</t>
        </is>
      </c>
      <c r="D339" s="11" t="n">
        <v>17.35</v>
      </c>
      <c r="E339" s="11" t="n">
        <v>20</v>
      </c>
      <c r="F339" s="11">
        <f>ROUND(D339-E339,2)</f>
        <v/>
      </c>
      <c r="G339" s="13">
        <f>IFERROR(ROUND(F339/E339,4),"")</f>
        <v/>
      </c>
      <c r="H339" s="14">
        <f>IF(D339=0,"NO DATA",IF(D339&gt;E339*1.5,"OVER",IF(D339&gt;E339*1.1,"HIGH",IF(D339&lt;E339*0.5,"LOW","OK"))))</f>
        <v/>
      </c>
    </row>
    <row r="340" ht="22" customHeight="1">
      <c r="B340" s="8" t="inlineStr">
        <is>
          <t>MTR-BLR-003</t>
        </is>
      </c>
      <c r="C340" s="8" t="inlineStr">
        <is>
          <t>2024-12-04</t>
        </is>
      </c>
      <c r="D340" s="12" t="n">
        <v>22.23</v>
      </c>
      <c r="E340" s="12" t="n">
        <v>20</v>
      </c>
      <c r="F340" s="12">
        <f>ROUND(D340-E340,2)</f>
        <v/>
      </c>
      <c r="G340" s="15">
        <f>IFERROR(ROUND(F340/E340,4),"")</f>
        <v/>
      </c>
      <c r="H340" s="16">
        <f>IF(D340=0,"NO DATA",IF(D340&gt;E340*1.5,"OVER",IF(D340&gt;E340*1.1,"HIGH",IF(D340&lt;E340*0.5,"LOW","OK"))))</f>
        <v/>
      </c>
    </row>
    <row r="341" ht="22" customHeight="1">
      <c r="B341" s="5" t="inlineStr">
        <is>
          <t>MTR-BLR-003</t>
        </is>
      </c>
      <c r="C341" s="5" t="inlineStr">
        <is>
          <t>2024-12-05</t>
        </is>
      </c>
      <c r="D341" s="11" t="n">
        <v>16.62</v>
      </c>
      <c r="E341" s="11" t="n">
        <v>20</v>
      </c>
      <c r="F341" s="11">
        <f>ROUND(D341-E341,2)</f>
        <v/>
      </c>
      <c r="G341" s="13">
        <f>IFERROR(ROUND(F341/E341,4),"")</f>
        <v/>
      </c>
      <c r="H341" s="14">
        <f>IF(D341=0,"NO DATA",IF(D341&gt;E341*1.5,"OVER",IF(D341&gt;E341*1.1,"HIGH",IF(D341&lt;E341*0.5,"LOW","OK"))))</f>
        <v/>
      </c>
    </row>
    <row r="342" ht="22" customHeight="1">
      <c r="B342" s="8" t="inlineStr">
        <is>
          <t>MTR-BLR-003</t>
        </is>
      </c>
      <c r="C342" s="8" t="inlineStr">
        <is>
          <t>2024-12-06</t>
        </is>
      </c>
      <c r="D342" s="12" t="n">
        <v>20.31</v>
      </c>
      <c r="E342" s="12" t="n">
        <v>20</v>
      </c>
      <c r="F342" s="12">
        <f>ROUND(D342-E342,2)</f>
        <v/>
      </c>
      <c r="G342" s="15">
        <f>IFERROR(ROUND(F342/E342,4),"")</f>
        <v/>
      </c>
      <c r="H342" s="16">
        <f>IF(D342=0,"NO DATA",IF(D342&gt;E342*1.5,"OVER",IF(D342&gt;E342*1.1,"HIGH",IF(D342&lt;E342*0.5,"LOW","OK"))))</f>
        <v/>
      </c>
    </row>
    <row r="343" ht="22" customHeight="1">
      <c r="B343" s="5" t="inlineStr">
        <is>
          <t>MTR-BLR-003</t>
        </is>
      </c>
      <c r="C343" s="5" t="inlineStr">
        <is>
          <t>2024-12-07</t>
        </is>
      </c>
      <c r="D343" s="11" t="n">
        <v>14.87</v>
      </c>
      <c r="E343" s="11" t="n">
        <v>20</v>
      </c>
      <c r="F343" s="11">
        <f>ROUND(D343-E343,2)</f>
        <v/>
      </c>
      <c r="G343" s="13">
        <f>IFERROR(ROUND(F343/E343,4),"")</f>
        <v/>
      </c>
      <c r="H343" s="14">
        <f>IF(D343=0,"NO DATA",IF(D343&gt;E343*1.5,"OVER",IF(D343&gt;E343*1.1,"HIGH",IF(D343&lt;E343*0.5,"LOW","OK"))))</f>
        <v/>
      </c>
    </row>
    <row r="344" ht="22" customHeight="1">
      <c r="B344" s="8" t="inlineStr">
        <is>
          <t>MTR-BLR-003</t>
        </is>
      </c>
      <c r="C344" s="8" t="inlineStr">
        <is>
          <t>2024-12-08</t>
        </is>
      </c>
      <c r="D344" s="12" t="n">
        <v>11.35</v>
      </c>
      <c r="E344" s="12" t="n">
        <v>20</v>
      </c>
      <c r="F344" s="12">
        <f>ROUND(D344-E344,2)</f>
        <v/>
      </c>
      <c r="G344" s="15">
        <f>IFERROR(ROUND(F344/E344,4),"")</f>
        <v/>
      </c>
      <c r="H344" s="16">
        <f>IF(D344=0,"NO DATA",IF(D344&gt;E344*1.5,"OVER",IF(D344&gt;E344*1.1,"HIGH",IF(D344&lt;E344*0.5,"LOW","OK"))))</f>
        <v/>
      </c>
    </row>
    <row r="345" ht="22" customHeight="1">
      <c r="B345" s="5" t="inlineStr">
        <is>
          <t>MTR-BLR-003</t>
        </is>
      </c>
      <c r="C345" s="5" t="inlineStr">
        <is>
          <t>2024-12-09</t>
        </is>
      </c>
      <c r="D345" s="11" t="n">
        <v>21.22</v>
      </c>
      <c r="E345" s="11" t="n">
        <v>20</v>
      </c>
      <c r="F345" s="11">
        <f>ROUND(D345-E345,2)</f>
        <v/>
      </c>
      <c r="G345" s="13">
        <f>IFERROR(ROUND(F345/E345,4),"")</f>
        <v/>
      </c>
      <c r="H345" s="14">
        <f>IF(D345=0,"NO DATA",IF(D345&gt;E345*1.5,"OVER",IF(D345&gt;E345*1.1,"HIGH",IF(D345&lt;E345*0.5,"LOW","OK"))))</f>
        <v/>
      </c>
    </row>
    <row r="346" ht="22" customHeight="1">
      <c r="B346" s="8" t="inlineStr">
        <is>
          <t>MTR-BLR-003</t>
        </is>
      </c>
      <c r="C346" s="8" t="inlineStr">
        <is>
          <t>2024-12-10</t>
        </is>
      </c>
      <c r="D346" s="12" t="n">
        <v>20.51</v>
      </c>
      <c r="E346" s="12" t="n">
        <v>20</v>
      </c>
      <c r="F346" s="12">
        <f>ROUND(D346-E346,2)</f>
        <v/>
      </c>
      <c r="G346" s="15">
        <f>IFERROR(ROUND(F346/E346,4),"")</f>
        <v/>
      </c>
      <c r="H346" s="16">
        <f>IF(D346=0,"NO DATA",IF(D346&gt;E346*1.5,"OVER",IF(D346&gt;E346*1.1,"HIGH",IF(D346&lt;E346*0.5,"LOW","OK"))))</f>
        <v/>
      </c>
    </row>
    <row r="347" ht="22" customHeight="1">
      <c r="B347" s="5" t="inlineStr">
        <is>
          <t>MTR-BLR-003</t>
        </is>
      </c>
      <c r="C347" s="5" t="inlineStr">
        <is>
          <t>2024-12-11</t>
        </is>
      </c>
      <c r="D347" s="11" t="n">
        <v>17.21</v>
      </c>
      <c r="E347" s="11" t="n">
        <v>20</v>
      </c>
      <c r="F347" s="11">
        <f>ROUND(D347-E347,2)</f>
        <v/>
      </c>
      <c r="G347" s="13">
        <f>IFERROR(ROUND(F347/E347,4),"")</f>
        <v/>
      </c>
      <c r="H347" s="14">
        <f>IF(D347=0,"NO DATA",IF(D347&gt;E347*1.5,"OVER",IF(D347&gt;E347*1.1,"HIGH",IF(D347&lt;E347*0.5,"LOW","OK"))))</f>
        <v/>
      </c>
    </row>
    <row r="348" ht="22" customHeight="1">
      <c r="B348" s="8" t="inlineStr">
        <is>
          <t>MTR-BLR-003</t>
        </is>
      </c>
      <c r="C348" s="8" t="inlineStr">
        <is>
          <t>2024-12-12</t>
        </is>
      </c>
      <c r="D348" s="12" t="n">
        <v>17.86</v>
      </c>
      <c r="E348" s="12" t="n">
        <v>20</v>
      </c>
      <c r="F348" s="12">
        <f>ROUND(D348-E348,2)</f>
        <v/>
      </c>
      <c r="G348" s="15">
        <f>IFERROR(ROUND(F348/E348,4),"")</f>
        <v/>
      </c>
      <c r="H348" s="16">
        <f>IF(D348=0,"NO DATA",IF(D348&gt;E348*1.5,"OVER",IF(D348&gt;E348*1.1,"HIGH",IF(D348&lt;E348*0.5,"LOW","OK"))))</f>
        <v/>
      </c>
    </row>
    <row r="349" ht="22" customHeight="1">
      <c r="B349" s="5" t="inlineStr">
        <is>
          <t>MTR-BLR-003</t>
        </is>
      </c>
      <c r="C349" s="5" t="inlineStr">
        <is>
          <t>2024-12-13</t>
        </is>
      </c>
      <c r="D349" s="11" t="n">
        <v>20.5</v>
      </c>
      <c r="E349" s="11" t="n">
        <v>20</v>
      </c>
      <c r="F349" s="11">
        <f>ROUND(D349-E349,2)</f>
        <v/>
      </c>
      <c r="G349" s="13">
        <f>IFERROR(ROUND(F349/E349,4),"")</f>
        <v/>
      </c>
      <c r="H349" s="14">
        <f>IF(D349=0,"NO DATA",IF(D349&gt;E349*1.5,"OVER",IF(D349&gt;E349*1.1,"HIGH",IF(D349&lt;E349*0.5,"LOW","OK"))))</f>
        <v/>
      </c>
    </row>
    <row r="350" ht="22" customHeight="1">
      <c r="B350" s="8" t="inlineStr">
        <is>
          <t>MTR-BLR-003</t>
        </is>
      </c>
      <c r="C350" s="8" t="inlineStr">
        <is>
          <t>2024-12-14</t>
        </is>
      </c>
      <c r="D350" s="12" t="n">
        <v>17.51</v>
      </c>
      <c r="E350" s="12" t="n">
        <v>20</v>
      </c>
      <c r="F350" s="12">
        <f>ROUND(D350-E350,2)</f>
        <v/>
      </c>
      <c r="G350" s="15">
        <f>IFERROR(ROUND(F350/E350,4),"")</f>
        <v/>
      </c>
      <c r="H350" s="16">
        <f>IF(D350=0,"NO DATA",IF(D350&gt;E350*1.5,"OVER",IF(D350&gt;E350*1.1,"HIGH",IF(D350&lt;E350*0.5,"LOW","OK"))))</f>
        <v/>
      </c>
    </row>
    <row r="351" ht="22" customHeight="1">
      <c r="B351" s="5" t="inlineStr">
        <is>
          <t>MTR-BLR-003</t>
        </is>
      </c>
      <c r="C351" s="5" t="inlineStr">
        <is>
          <t>2024-12-15</t>
        </is>
      </c>
      <c r="D351" s="11" t="n">
        <v>8.91</v>
      </c>
      <c r="E351" s="11" t="n">
        <v>20</v>
      </c>
      <c r="F351" s="11">
        <f>ROUND(D351-E351,2)</f>
        <v/>
      </c>
      <c r="G351" s="13">
        <f>IFERROR(ROUND(F351/E351,4),"")</f>
        <v/>
      </c>
      <c r="H351" s="14">
        <f>IF(D351=0,"NO DATA",IF(D351&gt;E351*1.5,"OVER",IF(D351&gt;E351*1.1,"HIGH",IF(D351&lt;E351*0.5,"LOW","OK"))))</f>
        <v/>
      </c>
    </row>
    <row r="352" ht="22" customHeight="1">
      <c r="B352" s="8" t="inlineStr">
        <is>
          <t>MTR-BLR-003</t>
        </is>
      </c>
      <c r="C352" s="8" t="inlineStr">
        <is>
          <t>2024-12-16</t>
        </is>
      </c>
      <c r="D352" s="12" t="n">
        <v>18.9</v>
      </c>
      <c r="E352" s="12" t="n">
        <v>20</v>
      </c>
      <c r="F352" s="12">
        <f>ROUND(D352-E352,2)</f>
        <v/>
      </c>
      <c r="G352" s="15">
        <f>IFERROR(ROUND(F352/E352,4),"")</f>
        <v/>
      </c>
      <c r="H352" s="16">
        <f>IF(D352=0,"NO DATA",IF(D352&gt;E352*1.5,"OVER",IF(D352&gt;E352*1.1,"HIGH",IF(D352&lt;E352*0.5,"LOW","OK"))))</f>
        <v/>
      </c>
    </row>
    <row r="353" ht="22" customHeight="1">
      <c r="B353" s="5" t="inlineStr">
        <is>
          <t>MTR-BLR-003</t>
        </is>
      </c>
      <c r="C353" s="5" t="inlineStr">
        <is>
          <t>2024-12-17</t>
        </is>
      </c>
      <c r="D353" s="11" t="n">
        <v>20.47</v>
      </c>
      <c r="E353" s="11" t="n">
        <v>20</v>
      </c>
      <c r="F353" s="11">
        <f>ROUND(D353-E353,2)</f>
        <v/>
      </c>
      <c r="G353" s="13">
        <f>IFERROR(ROUND(F353/E353,4),"")</f>
        <v/>
      </c>
      <c r="H353" s="14">
        <f>IF(D353=0,"NO DATA",IF(D353&gt;E353*1.5,"OVER",IF(D353&gt;E353*1.1,"HIGH",IF(D353&lt;E353*0.5,"LOW","OK"))))</f>
        <v/>
      </c>
    </row>
    <row r="354" ht="22" customHeight="1">
      <c r="B354" s="8" t="inlineStr">
        <is>
          <t>MTR-BLR-003</t>
        </is>
      </c>
      <c r="C354" s="8" t="inlineStr">
        <is>
          <t>2024-12-18</t>
        </is>
      </c>
      <c r="D354" s="12" t="n">
        <v>19.19</v>
      </c>
      <c r="E354" s="12" t="n">
        <v>20</v>
      </c>
      <c r="F354" s="12">
        <f>ROUND(D354-E354,2)</f>
        <v/>
      </c>
      <c r="G354" s="15">
        <f>IFERROR(ROUND(F354/E354,4),"")</f>
        <v/>
      </c>
      <c r="H354" s="16">
        <f>IF(D354=0,"NO DATA",IF(D354&gt;E354*1.5,"OVER",IF(D354&gt;E354*1.1,"HIGH",IF(D354&lt;E354*0.5,"LOW","OK"))))</f>
        <v/>
      </c>
    </row>
    <row r="355" ht="22" customHeight="1">
      <c r="B355" s="5" t="inlineStr">
        <is>
          <t>MTR-BLR-003</t>
        </is>
      </c>
      <c r="C355" s="5" t="inlineStr">
        <is>
          <t>2024-12-19</t>
        </is>
      </c>
      <c r="D355" s="11" t="n">
        <v>21.78</v>
      </c>
      <c r="E355" s="11" t="n">
        <v>20</v>
      </c>
      <c r="F355" s="11">
        <f>ROUND(D355-E355,2)</f>
        <v/>
      </c>
      <c r="G355" s="13">
        <f>IFERROR(ROUND(F355/E355,4),"")</f>
        <v/>
      </c>
      <c r="H355" s="14">
        <f>IF(D355=0,"NO DATA",IF(D355&gt;E355*1.5,"OVER",IF(D355&gt;E355*1.1,"HIGH",IF(D355&lt;E355*0.5,"LOW","OK"))))</f>
        <v/>
      </c>
    </row>
    <row r="356" ht="22" customHeight="1">
      <c r="B356" s="8" t="inlineStr">
        <is>
          <t>MTR-BLR-003</t>
        </is>
      </c>
      <c r="C356" s="8" t="inlineStr">
        <is>
          <t>2024-12-20</t>
        </is>
      </c>
      <c r="D356" s="12" t="n">
        <v>17.81</v>
      </c>
      <c r="E356" s="12" t="n">
        <v>20</v>
      </c>
      <c r="F356" s="12">
        <f>ROUND(D356-E356,2)</f>
        <v/>
      </c>
      <c r="G356" s="15">
        <f>IFERROR(ROUND(F356/E356,4),"")</f>
        <v/>
      </c>
      <c r="H356" s="16">
        <f>IF(D356=0,"NO DATA",IF(D356&gt;E356*1.5,"OVER",IF(D356&gt;E356*1.1,"HIGH",IF(D356&lt;E356*0.5,"LOW","OK"))))</f>
        <v/>
      </c>
    </row>
    <row r="357" ht="22" customHeight="1">
      <c r="B357" s="5" t="inlineStr">
        <is>
          <t>MTR-BLR-003</t>
        </is>
      </c>
      <c r="C357" s="5" t="inlineStr">
        <is>
          <t>2024-12-21</t>
        </is>
      </c>
      <c r="D357" s="11" t="n">
        <v>17.92</v>
      </c>
      <c r="E357" s="11" t="n">
        <v>20</v>
      </c>
      <c r="F357" s="11">
        <f>ROUND(D357-E357,2)</f>
        <v/>
      </c>
      <c r="G357" s="13">
        <f>IFERROR(ROUND(F357/E357,4),"")</f>
        <v/>
      </c>
      <c r="H357" s="14">
        <f>IF(D357=0,"NO DATA",IF(D357&gt;E357*1.5,"OVER",IF(D357&gt;E357*1.1,"HIGH",IF(D357&lt;E357*0.5,"LOW","OK"))))</f>
        <v/>
      </c>
    </row>
    <row r="358" ht="22" customHeight="1">
      <c r="B358" s="8" t="inlineStr">
        <is>
          <t>MTR-BLR-003</t>
        </is>
      </c>
      <c r="C358" s="8" t="inlineStr">
        <is>
          <t>2024-12-22</t>
        </is>
      </c>
      <c r="D358" s="12" t="n">
        <v>10.78</v>
      </c>
      <c r="E358" s="12" t="n">
        <v>20</v>
      </c>
      <c r="F358" s="12">
        <f>ROUND(D358-E358,2)</f>
        <v/>
      </c>
      <c r="G358" s="15">
        <f>IFERROR(ROUND(F358/E358,4),"")</f>
        <v/>
      </c>
      <c r="H358" s="16">
        <f>IF(D358=0,"NO DATA",IF(D358&gt;E358*1.5,"OVER",IF(D358&gt;E358*1.1,"HIGH",IF(D358&lt;E358*0.5,"LOW","OK"))))</f>
        <v/>
      </c>
    </row>
    <row r="359" ht="22" customHeight="1">
      <c r="B359" s="5" t="inlineStr">
        <is>
          <t>MTR-BLR-003</t>
        </is>
      </c>
      <c r="C359" s="5" t="inlineStr">
        <is>
          <t>2024-12-23</t>
        </is>
      </c>
      <c r="D359" s="11" t="n">
        <v>21.9</v>
      </c>
      <c r="E359" s="11" t="n">
        <v>20</v>
      </c>
      <c r="F359" s="11">
        <f>ROUND(D359-E359,2)</f>
        <v/>
      </c>
      <c r="G359" s="13">
        <f>IFERROR(ROUND(F359/E359,4),"")</f>
        <v/>
      </c>
      <c r="H359" s="14">
        <f>IF(D359=0,"NO DATA",IF(D359&gt;E359*1.5,"OVER",IF(D359&gt;E359*1.1,"HIGH",IF(D359&lt;E359*0.5,"LOW","OK"))))</f>
        <v/>
      </c>
    </row>
    <row r="360" ht="22" customHeight="1">
      <c r="B360" s="8" t="inlineStr">
        <is>
          <t>MTR-BLR-003</t>
        </is>
      </c>
      <c r="C360" s="8" t="inlineStr">
        <is>
          <t>2024-12-24</t>
        </is>
      </c>
      <c r="D360" s="12" t="n">
        <v>18.29</v>
      </c>
      <c r="E360" s="12" t="n">
        <v>20</v>
      </c>
      <c r="F360" s="12">
        <f>ROUND(D360-E360,2)</f>
        <v/>
      </c>
      <c r="G360" s="15">
        <f>IFERROR(ROUND(F360/E360,4),"")</f>
        <v/>
      </c>
      <c r="H360" s="16">
        <f>IF(D360=0,"NO DATA",IF(D360&gt;E360*1.5,"OVER",IF(D360&gt;E360*1.1,"HIGH",IF(D360&lt;E360*0.5,"LOW","OK"))))</f>
        <v/>
      </c>
    </row>
    <row r="361" ht="22" customHeight="1">
      <c r="B361" s="5" t="inlineStr">
        <is>
          <t>MTR-BLR-003</t>
        </is>
      </c>
      <c r="C361" s="5" t="inlineStr">
        <is>
          <t>2024-12-25</t>
        </is>
      </c>
      <c r="D361" s="11" t="n">
        <v>21.93</v>
      </c>
      <c r="E361" s="11" t="n">
        <v>20</v>
      </c>
      <c r="F361" s="11">
        <f>ROUND(D361-E361,2)</f>
        <v/>
      </c>
      <c r="G361" s="13">
        <f>IFERROR(ROUND(F361/E361,4),"")</f>
        <v/>
      </c>
      <c r="H361" s="14">
        <f>IF(D361=0,"NO DATA",IF(D361&gt;E361*1.5,"OVER",IF(D361&gt;E361*1.1,"HIGH",IF(D361&lt;E361*0.5,"LOW","OK"))))</f>
        <v/>
      </c>
    </row>
    <row r="362" ht="22" customHeight="1">
      <c r="B362" s="8" t="inlineStr">
        <is>
          <t>MTR-BLR-003</t>
        </is>
      </c>
      <c r="C362" s="8" t="inlineStr">
        <is>
          <t>2024-12-26</t>
        </is>
      </c>
      <c r="D362" s="12" t="n">
        <v>19.83</v>
      </c>
      <c r="E362" s="12" t="n">
        <v>20</v>
      </c>
      <c r="F362" s="12">
        <f>ROUND(D362-E362,2)</f>
        <v/>
      </c>
      <c r="G362" s="15">
        <f>IFERROR(ROUND(F362/E362,4),"")</f>
        <v/>
      </c>
      <c r="H362" s="16">
        <f>IF(D362=0,"NO DATA",IF(D362&gt;E362*1.5,"OVER",IF(D362&gt;E362*1.1,"HIGH",IF(D362&lt;E362*0.5,"LOW","OK"))))</f>
        <v/>
      </c>
    </row>
    <row r="363" ht="22" customHeight="1">
      <c r="B363" s="5" t="inlineStr">
        <is>
          <t>MTR-BLR-003</t>
        </is>
      </c>
      <c r="C363" s="5" t="inlineStr">
        <is>
          <t>2024-12-27</t>
        </is>
      </c>
      <c r="D363" s="11" t="n">
        <v>17.17</v>
      </c>
      <c r="E363" s="11" t="n">
        <v>20</v>
      </c>
      <c r="F363" s="11">
        <f>ROUND(D363-E363,2)</f>
        <v/>
      </c>
      <c r="G363" s="13">
        <f>IFERROR(ROUND(F363/E363,4),"")</f>
        <v/>
      </c>
      <c r="H363" s="14">
        <f>IF(D363=0,"NO DATA",IF(D363&gt;E363*1.5,"OVER",IF(D363&gt;E363*1.1,"HIGH",IF(D363&lt;E363*0.5,"LOW","OK"))))</f>
        <v/>
      </c>
    </row>
    <row r="364" ht="22" customHeight="1">
      <c r="B364" s="8" t="inlineStr">
        <is>
          <t>MTR-BLR-003</t>
        </is>
      </c>
      <c r="C364" s="8" t="inlineStr">
        <is>
          <t>2024-12-28</t>
        </is>
      </c>
      <c r="D364" s="12" t="n">
        <v>16.66</v>
      </c>
      <c r="E364" s="12" t="n">
        <v>20</v>
      </c>
      <c r="F364" s="12">
        <f>ROUND(D364-E364,2)</f>
        <v/>
      </c>
      <c r="G364" s="15">
        <f>IFERROR(ROUND(F364/E364,4),"")</f>
        <v/>
      </c>
      <c r="H364" s="16">
        <f>IF(D364=0,"NO DATA",IF(D364&gt;E364*1.5,"OVER",IF(D364&gt;E364*1.1,"HIGH",IF(D364&lt;E364*0.5,"LOW","OK"))))</f>
        <v/>
      </c>
    </row>
    <row r="365" ht="22" customHeight="1">
      <c r="B365" s="5" t="inlineStr">
        <is>
          <t>MTR-BLR-003</t>
        </is>
      </c>
      <c r="C365" s="5" t="inlineStr">
        <is>
          <t>2024-12-29</t>
        </is>
      </c>
      <c r="D365" s="11" t="n">
        <v>9.859999999999999</v>
      </c>
      <c r="E365" s="11" t="n">
        <v>20</v>
      </c>
      <c r="F365" s="11">
        <f>ROUND(D365-E365,2)</f>
        <v/>
      </c>
      <c r="G365" s="13">
        <f>IFERROR(ROUND(F365/E365,4),"")</f>
        <v/>
      </c>
      <c r="H365" s="14">
        <f>IF(D365=0,"NO DATA",IF(D365&gt;E365*1.5,"OVER",IF(D365&gt;E365*1.1,"HIGH",IF(D365&lt;E365*0.5,"LOW","OK"))))</f>
        <v/>
      </c>
    </row>
    <row r="366" ht="22" customHeight="1">
      <c r="B366" s="8" t="inlineStr">
        <is>
          <t>MTR-BLR-003</t>
        </is>
      </c>
      <c r="C366" s="8" t="inlineStr">
        <is>
          <t>2024-12-30</t>
        </is>
      </c>
      <c r="D366" s="12" t="n">
        <v>16.86</v>
      </c>
      <c r="E366" s="12" t="n">
        <v>20</v>
      </c>
      <c r="F366" s="12">
        <f>ROUND(D366-E366,2)</f>
        <v/>
      </c>
      <c r="G366" s="15">
        <f>IFERROR(ROUND(F366/E366,4),"")</f>
        <v/>
      </c>
      <c r="H366" s="16">
        <f>IF(D366=0,"NO DATA",IF(D366&gt;E366*1.5,"OVER",IF(D366&gt;E366*1.1,"HIGH",IF(D366&lt;E366*0.5,"LOW","OK"))))</f>
        <v/>
      </c>
    </row>
    <row r="367" ht="22" customHeight="1">
      <c r="B367" s="5" t="inlineStr">
        <is>
          <t>MTR-BLR-003</t>
        </is>
      </c>
      <c r="C367" s="5" t="inlineStr">
        <is>
          <t>2024-12-31</t>
        </is>
      </c>
      <c r="D367" s="11" t="n">
        <v>19.74</v>
      </c>
      <c r="E367" s="11" t="n">
        <v>20</v>
      </c>
      <c r="F367" s="11">
        <f>ROUND(D367-E367,2)</f>
        <v/>
      </c>
      <c r="G367" s="13">
        <f>IFERROR(ROUND(F367/E367,4),"")</f>
        <v/>
      </c>
      <c r="H367" s="14">
        <f>IF(D367=0,"NO DATA",IF(D367&gt;E367*1.5,"OVER",IF(D367&gt;E367*1.1,"HIGH",IF(D367&lt;E367*0.5,"LOW","OK"))))</f>
        <v/>
      </c>
    </row>
    <row r="368" ht="22" customHeight="1">
      <c r="B368" s="8" t="inlineStr">
        <is>
          <t>MTR-CTW-004</t>
        </is>
      </c>
      <c r="C368" s="8" t="inlineStr">
        <is>
          <t>2024-01-02</t>
        </is>
      </c>
      <c r="D368" s="12" t="n">
        <v>39.13</v>
      </c>
      <c r="E368" s="12" t="n">
        <v>38</v>
      </c>
      <c r="F368" s="12">
        <f>ROUND(D368-E368,2)</f>
        <v/>
      </c>
      <c r="G368" s="15">
        <f>IFERROR(ROUND(F368/E368,4),"")</f>
        <v/>
      </c>
      <c r="H368" s="16">
        <f>IF(D368=0,"NO DATA",IF(D368&gt;E368*1.5,"OVER",IF(D368&gt;E368*1.1,"HIGH",IF(D368&lt;E368*0.5,"LOW","OK"))))</f>
        <v/>
      </c>
    </row>
    <row r="369" ht="22" customHeight="1">
      <c r="B369" s="5" t="inlineStr">
        <is>
          <t>MTR-CTW-004</t>
        </is>
      </c>
      <c r="C369" s="5" t="inlineStr">
        <is>
          <t>2024-01-03</t>
        </is>
      </c>
      <c r="D369" s="11" t="n">
        <v>34.3</v>
      </c>
      <c r="E369" s="11" t="n">
        <v>38</v>
      </c>
      <c r="F369" s="11">
        <f>ROUND(D369-E369,2)</f>
        <v/>
      </c>
      <c r="G369" s="13">
        <f>IFERROR(ROUND(F369/E369,4),"")</f>
        <v/>
      </c>
      <c r="H369" s="14">
        <f>IF(D369=0,"NO DATA",IF(D369&gt;E369*1.5,"OVER",IF(D369&gt;E369*1.1,"HIGH",IF(D369&lt;E369*0.5,"LOW","OK"))))</f>
        <v/>
      </c>
    </row>
    <row r="370" ht="22" customHeight="1">
      <c r="B370" s="8" t="inlineStr">
        <is>
          <t>MTR-CTW-004</t>
        </is>
      </c>
      <c r="C370" s="8" t="inlineStr">
        <is>
          <t>2024-01-04</t>
        </is>
      </c>
      <c r="D370" s="12" t="n">
        <v>32.61</v>
      </c>
      <c r="E370" s="12" t="n">
        <v>38</v>
      </c>
      <c r="F370" s="12">
        <f>ROUND(D370-E370,2)</f>
        <v/>
      </c>
      <c r="G370" s="15">
        <f>IFERROR(ROUND(F370/E370,4),"")</f>
        <v/>
      </c>
      <c r="H370" s="16">
        <f>IF(D370=0,"NO DATA",IF(D370&gt;E370*1.5,"OVER",IF(D370&gt;E370*1.1,"HIGH",IF(D370&lt;E370*0.5,"LOW","OK"))))</f>
        <v/>
      </c>
    </row>
    <row r="371" ht="22" customHeight="1">
      <c r="B371" s="5" t="inlineStr">
        <is>
          <t>MTR-CTW-004</t>
        </is>
      </c>
      <c r="C371" s="5" t="inlineStr">
        <is>
          <t>2024-01-05</t>
        </is>
      </c>
      <c r="D371" s="11" t="n">
        <v>33.75</v>
      </c>
      <c r="E371" s="11" t="n">
        <v>38</v>
      </c>
      <c r="F371" s="11">
        <f>ROUND(D371-E371,2)</f>
        <v/>
      </c>
      <c r="G371" s="13">
        <f>IFERROR(ROUND(F371/E371,4),"")</f>
        <v/>
      </c>
      <c r="H371" s="14">
        <f>IF(D371=0,"NO DATA",IF(D371&gt;E371*1.5,"OVER",IF(D371&gt;E371*1.1,"HIGH",IF(D371&lt;E371*0.5,"LOW","OK"))))</f>
        <v/>
      </c>
    </row>
    <row r="372" ht="22" customHeight="1">
      <c r="B372" s="8" t="inlineStr">
        <is>
          <t>MTR-CTW-004</t>
        </is>
      </c>
      <c r="C372" s="8" t="inlineStr">
        <is>
          <t>2024-01-06</t>
        </is>
      </c>
      <c r="D372" s="12" t="n">
        <v>31.27</v>
      </c>
      <c r="E372" s="12" t="n">
        <v>38</v>
      </c>
      <c r="F372" s="12">
        <f>ROUND(D372-E372,2)</f>
        <v/>
      </c>
      <c r="G372" s="15">
        <f>IFERROR(ROUND(F372/E372,4),"")</f>
        <v/>
      </c>
      <c r="H372" s="16">
        <f>IF(D372=0,"NO DATA",IF(D372&gt;E372*1.5,"OVER",IF(D372&gt;E372*1.1,"HIGH",IF(D372&lt;E372*0.5,"LOW","OK"))))</f>
        <v/>
      </c>
    </row>
    <row r="373" ht="22" customHeight="1">
      <c r="B373" s="5" t="inlineStr">
        <is>
          <t>MTR-CTW-004</t>
        </is>
      </c>
      <c r="C373" s="5" t="inlineStr">
        <is>
          <t>2024-01-07</t>
        </is>
      </c>
      <c r="D373" s="11" t="n">
        <v>20.34</v>
      </c>
      <c r="E373" s="11" t="n">
        <v>38</v>
      </c>
      <c r="F373" s="11">
        <f>ROUND(D373-E373,2)</f>
        <v/>
      </c>
      <c r="G373" s="13">
        <f>IFERROR(ROUND(F373/E373,4),"")</f>
        <v/>
      </c>
      <c r="H373" s="14">
        <f>IF(D373=0,"NO DATA",IF(D373&gt;E373*1.5,"OVER",IF(D373&gt;E373*1.1,"HIGH",IF(D373&lt;E373*0.5,"LOW","OK"))))</f>
        <v/>
      </c>
    </row>
    <row r="374" ht="22" customHeight="1">
      <c r="B374" s="8" t="inlineStr">
        <is>
          <t>MTR-CTW-004</t>
        </is>
      </c>
      <c r="C374" s="8" t="inlineStr">
        <is>
          <t>2024-01-08</t>
        </is>
      </c>
      <c r="D374" s="12" t="n">
        <v>40.9</v>
      </c>
      <c r="E374" s="12" t="n">
        <v>38</v>
      </c>
      <c r="F374" s="12">
        <f>ROUND(D374-E374,2)</f>
        <v/>
      </c>
      <c r="G374" s="15">
        <f>IFERROR(ROUND(F374/E374,4),"")</f>
        <v/>
      </c>
      <c r="H374" s="16">
        <f>IF(D374=0,"NO DATA",IF(D374&gt;E374*1.5,"OVER",IF(D374&gt;E374*1.1,"HIGH",IF(D374&lt;E374*0.5,"LOW","OK"))))</f>
        <v/>
      </c>
    </row>
    <row r="375" ht="22" customHeight="1">
      <c r="B375" s="5" t="inlineStr">
        <is>
          <t>MTR-CTW-004</t>
        </is>
      </c>
      <c r="C375" s="5" t="inlineStr">
        <is>
          <t>2024-01-09</t>
        </is>
      </c>
      <c r="D375" s="11" t="n">
        <v>39.47</v>
      </c>
      <c r="E375" s="11" t="n">
        <v>38</v>
      </c>
      <c r="F375" s="11">
        <f>ROUND(D375-E375,2)</f>
        <v/>
      </c>
      <c r="G375" s="13">
        <f>IFERROR(ROUND(F375/E375,4),"")</f>
        <v/>
      </c>
      <c r="H375" s="14">
        <f>IF(D375=0,"NO DATA",IF(D375&gt;E375*1.5,"OVER",IF(D375&gt;E375*1.1,"HIGH",IF(D375&lt;E375*0.5,"LOW","OK"))))</f>
        <v/>
      </c>
    </row>
    <row r="376" ht="22" customHeight="1">
      <c r="B376" s="8" t="inlineStr">
        <is>
          <t>MTR-CTW-004</t>
        </is>
      </c>
      <c r="C376" s="8" t="inlineStr">
        <is>
          <t>2024-01-10</t>
        </is>
      </c>
      <c r="D376" s="12" t="n">
        <v>39.97</v>
      </c>
      <c r="E376" s="12" t="n">
        <v>38</v>
      </c>
      <c r="F376" s="12">
        <f>ROUND(D376-E376,2)</f>
        <v/>
      </c>
      <c r="G376" s="15">
        <f>IFERROR(ROUND(F376/E376,4),"")</f>
        <v/>
      </c>
      <c r="H376" s="16">
        <f>IF(D376=0,"NO DATA",IF(D376&gt;E376*1.5,"OVER",IF(D376&gt;E376*1.1,"HIGH",IF(D376&lt;E376*0.5,"LOW","OK"))))</f>
        <v/>
      </c>
    </row>
    <row r="377" ht="22" customHeight="1">
      <c r="B377" s="5" t="inlineStr">
        <is>
          <t>MTR-CTW-004</t>
        </is>
      </c>
      <c r="C377" s="5" t="inlineStr">
        <is>
          <t>2024-01-11</t>
        </is>
      </c>
      <c r="D377" s="11" t="n">
        <v>38.75</v>
      </c>
      <c r="E377" s="11" t="n">
        <v>38</v>
      </c>
      <c r="F377" s="11">
        <f>ROUND(D377-E377,2)</f>
        <v/>
      </c>
      <c r="G377" s="13">
        <f>IFERROR(ROUND(F377/E377,4),"")</f>
        <v/>
      </c>
      <c r="H377" s="14">
        <f>IF(D377=0,"NO DATA",IF(D377&gt;E377*1.5,"OVER",IF(D377&gt;E377*1.1,"HIGH",IF(D377&lt;E377*0.5,"LOW","OK"))))</f>
        <v/>
      </c>
    </row>
    <row r="378" ht="22" customHeight="1">
      <c r="B378" s="8" t="inlineStr">
        <is>
          <t>MTR-CTW-004</t>
        </is>
      </c>
      <c r="C378" s="8" t="inlineStr">
        <is>
          <t>2024-01-12</t>
        </is>
      </c>
      <c r="D378" s="12" t="n">
        <v>41.95</v>
      </c>
      <c r="E378" s="12" t="n">
        <v>38</v>
      </c>
      <c r="F378" s="12">
        <f>ROUND(D378-E378,2)</f>
        <v/>
      </c>
      <c r="G378" s="15">
        <f>IFERROR(ROUND(F378/E378,4),"")</f>
        <v/>
      </c>
      <c r="H378" s="16">
        <f>IF(D378=0,"NO DATA",IF(D378&gt;E378*1.5,"OVER",IF(D378&gt;E378*1.1,"HIGH",IF(D378&lt;E378*0.5,"LOW","OK"))))</f>
        <v/>
      </c>
    </row>
    <row r="379" ht="22" customHeight="1">
      <c r="B379" s="5" t="inlineStr">
        <is>
          <t>MTR-CTW-004</t>
        </is>
      </c>
      <c r="C379" s="5" t="inlineStr">
        <is>
          <t>2024-01-13</t>
        </is>
      </c>
      <c r="D379" s="11" t="n">
        <v>30.1</v>
      </c>
      <c r="E379" s="11" t="n">
        <v>38</v>
      </c>
      <c r="F379" s="11">
        <f>ROUND(D379-E379,2)</f>
        <v/>
      </c>
      <c r="G379" s="13">
        <f>IFERROR(ROUND(F379/E379,4),"")</f>
        <v/>
      </c>
      <c r="H379" s="14">
        <f>IF(D379=0,"NO DATA",IF(D379&gt;E379*1.5,"OVER",IF(D379&gt;E379*1.1,"HIGH",IF(D379&lt;E379*0.5,"LOW","OK"))))</f>
        <v/>
      </c>
    </row>
    <row r="380" ht="22" customHeight="1">
      <c r="B380" s="8" t="inlineStr">
        <is>
          <t>MTR-CTW-004</t>
        </is>
      </c>
      <c r="C380" s="8" t="inlineStr">
        <is>
          <t>2024-01-14</t>
        </is>
      </c>
      <c r="D380" s="12" t="n">
        <v>21.43</v>
      </c>
      <c r="E380" s="12" t="n">
        <v>38</v>
      </c>
      <c r="F380" s="12">
        <f>ROUND(D380-E380,2)</f>
        <v/>
      </c>
      <c r="G380" s="15">
        <f>IFERROR(ROUND(F380/E380,4),"")</f>
        <v/>
      </c>
      <c r="H380" s="16">
        <f>IF(D380=0,"NO DATA",IF(D380&gt;E380*1.5,"OVER",IF(D380&gt;E380*1.1,"HIGH",IF(D380&lt;E380*0.5,"LOW","OK"))))</f>
        <v/>
      </c>
    </row>
    <row r="381" ht="22" customHeight="1">
      <c r="B381" s="5" t="inlineStr">
        <is>
          <t>MTR-CTW-004</t>
        </is>
      </c>
      <c r="C381" s="5" t="inlineStr">
        <is>
          <t>2024-01-15</t>
        </is>
      </c>
      <c r="D381" s="11" t="n">
        <v>40.86</v>
      </c>
      <c r="E381" s="11" t="n">
        <v>38</v>
      </c>
      <c r="F381" s="11">
        <f>ROUND(D381-E381,2)</f>
        <v/>
      </c>
      <c r="G381" s="13">
        <f>IFERROR(ROUND(F381/E381,4),"")</f>
        <v/>
      </c>
      <c r="H381" s="14">
        <f>IF(D381=0,"NO DATA",IF(D381&gt;E381*1.5,"OVER",IF(D381&gt;E381*1.1,"HIGH",IF(D381&lt;E381*0.5,"LOW","OK"))))</f>
        <v/>
      </c>
    </row>
    <row r="382" ht="22" customHeight="1">
      <c r="B382" s="8" t="inlineStr">
        <is>
          <t>MTR-CTW-004</t>
        </is>
      </c>
      <c r="C382" s="8" t="inlineStr">
        <is>
          <t>2024-01-16</t>
        </is>
      </c>
      <c r="D382" s="12" t="n">
        <v>41.16</v>
      </c>
      <c r="E382" s="12" t="n">
        <v>38</v>
      </c>
      <c r="F382" s="12">
        <f>ROUND(D382-E382,2)</f>
        <v/>
      </c>
      <c r="G382" s="15">
        <f>IFERROR(ROUND(F382/E382,4),"")</f>
        <v/>
      </c>
      <c r="H382" s="16">
        <f>IF(D382=0,"NO DATA",IF(D382&gt;E382*1.5,"OVER",IF(D382&gt;E382*1.1,"HIGH",IF(D382&lt;E382*0.5,"LOW","OK"))))</f>
        <v/>
      </c>
    </row>
    <row r="383" ht="22" customHeight="1">
      <c r="B383" s="5" t="inlineStr">
        <is>
          <t>MTR-CTW-004</t>
        </is>
      </c>
      <c r="C383" s="5" t="inlineStr">
        <is>
          <t>2024-01-17</t>
        </is>
      </c>
      <c r="D383" s="11" t="n">
        <v>31.89</v>
      </c>
      <c r="E383" s="11" t="n">
        <v>38</v>
      </c>
      <c r="F383" s="11">
        <f>ROUND(D383-E383,2)</f>
        <v/>
      </c>
      <c r="G383" s="13">
        <f>IFERROR(ROUND(F383/E383,4),"")</f>
        <v/>
      </c>
      <c r="H383" s="14">
        <f>IF(D383=0,"NO DATA",IF(D383&gt;E383*1.5,"OVER",IF(D383&gt;E383*1.1,"HIGH",IF(D383&lt;E383*0.5,"LOW","OK"))))</f>
        <v/>
      </c>
    </row>
    <row r="384" ht="22" customHeight="1">
      <c r="B384" s="8" t="inlineStr">
        <is>
          <t>MTR-CTW-004</t>
        </is>
      </c>
      <c r="C384" s="8" t="inlineStr">
        <is>
          <t>2024-01-18</t>
        </is>
      </c>
      <c r="D384" s="12" t="n">
        <v>37.59</v>
      </c>
      <c r="E384" s="12" t="n">
        <v>38</v>
      </c>
      <c r="F384" s="12">
        <f>ROUND(D384-E384,2)</f>
        <v/>
      </c>
      <c r="G384" s="15">
        <f>IFERROR(ROUND(F384/E384,4),"")</f>
        <v/>
      </c>
      <c r="H384" s="16">
        <f>IF(D384=0,"NO DATA",IF(D384&gt;E384*1.5,"OVER",IF(D384&gt;E384*1.1,"HIGH",IF(D384&lt;E384*0.5,"LOW","OK"))))</f>
        <v/>
      </c>
    </row>
    <row r="385" ht="22" customHeight="1">
      <c r="B385" s="5" t="inlineStr">
        <is>
          <t>MTR-CTW-004</t>
        </is>
      </c>
      <c r="C385" s="5" t="inlineStr">
        <is>
          <t>2024-01-19</t>
        </is>
      </c>
      <c r="D385" s="11" t="n">
        <v>38.66</v>
      </c>
      <c r="E385" s="11" t="n">
        <v>38</v>
      </c>
      <c r="F385" s="11">
        <f>ROUND(D385-E385,2)</f>
        <v/>
      </c>
      <c r="G385" s="13">
        <f>IFERROR(ROUND(F385/E385,4),"")</f>
        <v/>
      </c>
      <c r="H385" s="14">
        <f>IF(D385=0,"NO DATA",IF(D385&gt;E385*1.5,"OVER",IF(D385&gt;E385*1.1,"HIGH",IF(D385&lt;E385*0.5,"LOW","OK"))))</f>
        <v/>
      </c>
    </row>
    <row r="386" ht="22" customHeight="1">
      <c r="B386" s="8" t="inlineStr">
        <is>
          <t>MTR-CTW-004</t>
        </is>
      </c>
      <c r="C386" s="8" t="inlineStr">
        <is>
          <t>2024-01-20</t>
        </is>
      </c>
      <c r="D386" s="12" t="n">
        <v>29.42</v>
      </c>
      <c r="E386" s="12" t="n">
        <v>38</v>
      </c>
      <c r="F386" s="12">
        <f>ROUND(D386-E386,2)</f>
        <v/>
      </c>
      <c r="G386" s="15">
        <f>IFERROR(ROUND(F386/E386,4),"")</f>
        <v/>
      </c>
      <c r="H386" s="16">
        <f>IF(D386=0,"NO DATA",IF(D386&gt;E386*1.5,"OVER",IF(D386&gt;E386*1.1,"HIGH",IF(D386&lt;E386*0.5,"LOW","OK"))))</f>
        <v/>
      </c>
    </row>
    <row r="387" ht="22" customHeight="1">
      <c r="B387" s="5" t="inlineStr">
        <is>
          <t>MTR-CTW-004</t>
        </is>
      </c>
      <c r="C387" s="5" t="inlineStr">
        <is>
          <t>2024-01-21</t>
        </is>
      </c>
      <c r="D387" s="11" t="n">
        <v>19.14</v>
      </c>
      <c r="E387" s="11" t="n">
        <v>38</v>
      </c>
      <c r="F387" s="11">
        <f>ROUND(D387-E387,2)</f>
        <v/>
      </c>
      <c r="G387" s="13">
        <f>IFERROR(ROUND(F387/E387,4),"")</f>
        <v/>
      </c>
      <c r="H387" s="14">
        <f>IF(D387=0,"NO DATA",IF(D387&gt;E387*1.5,"OVER",IF(D387&gt;E387*1.1,"HIGH",IF(D387&lt;E387*0.5,"LOW","OK"))))</f>
        <v/>
      </c>
    </row>
    <row r="388" ht="22" customHeight="1">
      <c r="B388" s="8" t="inlineStr">
        <is>
          <t>MTR-CTW-004</t>
        </is>
      </c>
      <c r="C388" s="8" t="inlineStr">
        <is>
          <t>2024-01-22</t>
        </is>
      </c>
      <c r="D388" s="12" t="n">
        <v>38.53</v>
      </c>
      <c r="E388" s="12" t="n">
        <v>38</v>
      </c>
      <c r="F388" s="12">
        <f>ROUND(D388-E388,2)</f>
        <v/>
      </c>
      <c r="G388" s="15">
        <f>IFERROR(ROUND(F388/E388,4),"")</f>
        <v/>
      </c>
      <c r="H388" s="16">
        <f>IF(D388=0,"NO DATA",IF(D388&gt;E388*1.5,"OVER",IF(D388&gt;E388*1.1,"HIGH",IF(D388&lt;E388*0.5,"LOW","OK"))))</f>
        <v/>
      </c>
    </row>
    <row r="389" ht="22" customHeight="1">
      <c r="B389" s="5" t="inlineStr">
        <is>
          <t>MTR-CTW-004</t>
        </is>
      </c>
      <c r="C389" s="5" t="inlineStr">
        <is>
          <t>2024-01-23</t>
        </is>
      </c>
      <c r="D389" s="11" t="n">
        <v>36.49</v>
      </c>
      <c r="E389" s="11" t="n">
        <v>38</v>
      </c>
      <c r="F389" s="11">
        <f>ROUND(D389-E389,2)</f>
        <v/>
      </c>
      <c r="G389" s="13">
        <f>IFERROR(ROUND(F389/E389,4),"")</f>
        <v/>
      </c>
      <c r="H389" s="14">
        <f>IF(D389=0,"NO DATA",IF(D389&gt;E389*1.5,"OVER",IF(D389&gt;E389*1.1,"HIGH",IF(D389&lt;E389*0.5,"LOW","OK"))))</f>
        <v/>
      </c>
    </row>
    <row r="390" ht="22" customHeight="1">
      <c r="B390" s="8" t="inlineStr">
        <is>
          <t>MTR-CTW-004</t>
        </is>
      </c>
      <c r="C390" s="8" t="inlineStr">
        <is>
          <t>2024-01-24</t>
        </is>
      </c>
      <c r="D390" s="12" t="n">
        <v>33.95</v>
      </c>
      <c r="E390" s="12" t="n">
        <v>38</v>
      </c>
      <c r="F390" s="12">
        <f>ROUND(D390-E390,2)</f>
        <v/>
      </c>
      <c r="G390" s="15">
        <f>IFERROR(ROUND(F390/E390,4),"")</f>
        <v/>
      </c>
      <c r="H390" s="16">
        <f>IF(D390=0,"NO DATA",IF(D390&gt;E390*1.5,"OVER",IF(D390&gt;E390*1.1,"HIGH",IF(D390&lt;E390*0.5,"LOW","OK"))))</f>
        <v/>
      </c>
    </row>
    <row r="391" ht="22" customHeight="1">
      <c r="B391" s="5" t="inlineStr">
        <is>
          <t>MTR-CTW-004</t>
        </is>
      </c>
      <c r="C391" s="5" t="inlineStr">
        <is>
          <t>2024-01-25</t>
        </is>
      </c>
      <c r="D391" s="11" t="n">
        <v>33.87</v>
      </c>
      <c r="E391" s="11" t="n">
        <v>38</v>
      </c>
      <c r="F391" s="11">
        <f>ROUND(D391-E391,2)</f>
        <v/>
      </c>
      <c r="G391" s="13">
        <f>IFERROR(ROUND(F391/E391,4),"")</f>
        <v/>
      </c>
      <c r="H391" s="14">
        <f>IF(D391=0,"NO DATA",IF(D391&gt;E391*1.5,"OVER",IF(D391&gt;E391*1.1,"HIGH",IF(D391&lt;E391*0.5,"LOW","OK"))))</f>
        <v/>
      </c>
    </row>
    <row r="392" ht="22" customHeight="1">
      <c r="B392" s="8" t="inlineStr">
        <is>
          <t>MTR-CTW-004</t>
        </is>
      </c>
      <c r="C392" s="8" t="inlineStr">
        <is>
          <t>2024-01-26</t>
        </is>
      </c>
      <c r="D392" s="12" t="n">
        <v>32.05</v>
      </c>
      <c r="E392" s="12" t="n">
        <v>38</v>
      </c>
      <c r="F392" s="12">
        <f>ROUND(D392-E392,2)</f>
        <v/>
      </c>
      <c r="G392" s="15">
        <f>IFERROR(ROUND(F392/E392,4),"")</f>
        <v/>
      </c>
      <c r="H392" s="16">
        <f>IF(D392=0,"NO DATA",IF(D392&gt;E392*1.5,"OVER",IF(D392&gt;E392*1.1,"HIGH",IF(D392&lt;E392*0.5,"LOW","OK"))))</f>
        <v/>
      </c>
    </row>
    <row r="393" ht="22" customHeight="1">
      <c r="B393" s="5" t="inlineStr">
        <is>
          <t>MTR-CTW-004</t>
        </is>
      </c>
      <c r="C393" s="5" t="inlineStr">
        <is>
          <t>2024-01-27</t>
        </is>
      </c>
      <c r="D393" s="11" t="n">
        <v>27.99</v>
      </c>
      <c r="E393" s="11" t="n">
        <v>38</v>
      </c>
      <c r="F393" s="11">
        <f>ROUND(D393-E393,2)</f>
        <v/>
      </c>
      <c r="G393" s="13">
        <f>IFERROR(ROUND(F393/E393,4),"")</f>
        <v/>
      </c>
      <c r="H393" s="14">
        <f>IF(D393=0,"NO DATA",IF(D393&gt;E393*1.5,"OVER",IF(D393&gt;E393*1.1,"HIGH",IF(D393&lt;E393*0.5,"LOW","OK"))))</f>
        <v/>
      </c>
    </row>
    <row r="394" ht="22" customHeight="1">
      <c r="B394" s="8" t="inlineStr">
        <is>
          <t>MTR-CTW-004</t>
        </is>
      </c>
      <c r="C394" s="8" t="inlineStr">
        <is>
          <t>2024-01-28</t>
        </is>
      </c>
      <c r="D394" s="12" t="n">
        <v>20.65</v>
      </c>
      <c r="E394" s="12" t="n">
        <v>38</v>
      </c>
      <c r="F394" s="12">
        <f>ROUND(D394-E394,2)</f>
        <v/>
      </c>
      <c r="G394" s="15">
        <f>IFERROR(ROUND(F394/E394,4),"")</f>
        <v/>
      </c>
      <c r="H394" s="16">
        <f>IF(D394=0,"NO DATA",IF(D394&gt;E394*1.5,"OVER",IF(D394&gt;E394*1.1,"HIGH",IF(D394&lt;E394*0.5,"LOW","OK"))))</f>
        <v/>
      </c>
    </row>
    <row r="395" ht="22" customHeight="1">
      <c r="B395" s="5" t="inlineStr">
        <is>
          <t>MTR-CTW-004</t>
        </is>
      </c>
      <c r="C395" s="5" t="inlineStr">
        <is>
          <t>2024-01-29</t>
        </is>
      </c>
      <c r="D395" s="11" t="n">
        <v>32.26</v>
      </c>
      <c r="E395" s="11" t="n">
        <v>38</v>
      </c>
      <c r="F395" s="11">
        <f>ROUND(D395-E395,2)</f>
        <v/>
      </c>
      <c r="G395" s="13">
        <f>IFERROR(ROUND(F395/E395,4),"")</f>
        <v/>
      </c>
      <c r="H395" s="14">
        <f>IF(D395=0,"NO DATA",IF(D395&gt;E395*1.5,"OVER",IF(D395&gt;E395*1.1,"HIGH",IF(D395&lt;E395*0.5,"LOW","OK"))))</f>
        <v/>
      </c>
    </row>
    <row r="396" ht="22" customHeight="1">
      <c r="B396" s="8" t="inlineStr">
        <is>
          <t>MTR-CTW-004</t>
        </is>
      </c>
      <c r="C396" s="8" t="inlineStr">
        <is>
          <t>2024-01-30</t>
        </is>
      </c>
      <c r="D396" s="12" t="n">
        <v>37.42</v>
      </c>
      <c r="E396" s="12" t="n">
        <v>38</v>
      </c>
      <c r="F396" s="12">
        <f>ROUND(D396-E396,2)</f>
        <v/>
      </c>
      <c r="G396" s="15">
        <f>IFERROR(ROUND(F396/E396,4),"")</f>
        <v/>
      </c>
      <c r="H396" s="16">
        <f>IF(D396=0,"NO DATA",IF(D396&gt;E396*1.5,"OVER",IF(D396&gt;E396*1.1,"HIGH",IF(D396&lt;E396*0.5,"LOW","OK"))))</f>
        <v/>
      </c>
    </row>
    <row r="397" ht="22" customHeight="1">
      <c r="B397" s="5" t="inlineStr">
        <is>
          <t>MTR-CTW-004</t>
        </is>
      </c>
      <c r="C397" s="5" t="inlineStr">
        <is>
          <t>2024-01-31</t>
        </is>
      </c>
      <c r="D397" s="11" t="n">
        <v>34.64</v>
      </c>
      <c r="E397" s="11" t="n">
        <v>38</v>
      </c>
      <c r="F397" s="11">
        <f>ROUND(D397-E397,2)</f>
        <v/>
      </c>
      <c r="G397" s="13">
        <f>IFERROR(ROUND(F397/E397,4),"")</f>
        <v/>
      </c>
      <c r="H397" s="14">
        <f>IF(D397=0,"NO DATA",IF(D397&gt;E397*1.5,"OVER",IF(D397&gt;E397*1.1,"HIGH",IF(D397&lt;E397*0.5,"LOW","OK"))))</f>
        <v/>
      </c>
    </row>
    <row r="398" ht="22" customHeight="1">
      <c r="B398" s="8" t="inlineStr">
        <is>
          <t>MTR-CTW-004</t>
        </is>
      </c>
      <c r="C398" s="8" t="inlineStr">
        <is>
          <t>2024-02-01</t>
        </is>
      </c>
      <c r="D398" s="12" t="n">
        <v>33.93</v>
      </c>
      <c r="E398" s="12" t="n">
        <v>38</v>
      </c>
      <c r="F398" s="12">
        <f>ROUND(D398-E398,2)</f>
        <v/>
      </c>
      <c r="G398" s="15">
        <f>IFERROR(ROUND(F398/E398,4),"")</f>
        <v/>
      </c>
      <c r="H398" s="16">
        <f>IF(D398=0,"NO DATA",IF(D398&gt;E398*1.5,"OVER",IF(D398&gt;E398*1.1,"HIGH",IF(D398&lt;E398*0.5,"LOW","OK"))))</f>
        <v/>
      </c>
    </row>
    <row r="399" ht="22" customHeight="1">
      <c r="B399" s="5" t="inlineStr">
        <is>
          <t>MTR-CTW-004</t>
        </is>
      </c>
      <c r="C399" s="5" t="inlineStr">
        <is>
          <t>2024-02-02</t>
        </is>
      </c>
      <c r="D399" s="11" t="n">
        <v>41.38</v>
      </c>
      <c r="E399" s="11" t="n">
        <v>38</v>
      </c>
      <c r="F399" s="11">
        <f>ROUND(D399-E399,2)</f>
        <v/>
      </c>
      <c r="G399" s="13">
        <f>IFERROR(ROUND(F399/E399,4),"")</f>
        <v/>
      </c>
      <c r="H399" s="14">
        <f>IF(D399=0,"NO DATA",IF(D399&gt;E399*1.5,"OVER",IF(D399&gt;E399*1.1,"HIGH",IF(D399&lt;E399*0.5,"LOW","OK"))))</f>
        <v/>
      </c>
    </row>
    <row r="400" ht="22" customHeight="1">
      <c r="B400" s="8" t="inlineStr">
        <is>
          <t>MTR-CTW-004</t>
        </is>
      </c>
      <c r="C400" s="8" t="inlineStr">
        <is>
          <t>2024-02-03</t>
        </is>
      </c>
      <c r="D400" s="12" t="n">
        <v>28.1</v>
      </c>
      <c r="E400" s="12" t="n">
        <v>38</v>
      </c>
      <c r="F400" s="12">
        <f>ROUND(D400-E400,2)</f>
        <v/>
      </c>
      <c r="G400" s="15">
        <f>IFERROR(ROUND(F400/E400,4),"")</f>
        <v/>
      </c>
      <c r="H400" s="16">
        <f>IF(D400=0,"NO DATA",IF(D400&gt;E400*1.5,"OVER",IF(D400&gt;E400*1.1,"HIGH",IF(D400&lt;E400*0.5,"LOW","OK"))))</f>
        <v/>
      </c>
    </row>
    <row r="401" ht="22" customHeight="1">
      <c r="B401" s="5" t="inlineStr">
        <is>
          <t>MTR-CTW-004</t>
        </is>
      </c>
      <c r="C401" s="5" t="inlineStr">
        <is>
          <t>2024-02-04</t>
        </is>
      </c>
      <c r="D401" s="11" t="n">
        <v>18.82</v>
      </c>
      <c r="E401" s="11" t="n">
        <v>38</v>
      </c>
      <c r="F401" s="11">
        <f>ROUND(D401-E401,2)</f>
        <v/>
      </c>
      <c r="G401" s="13">
        <f>IFERROR(ROUND(F401/E401,4),"")</f>
        <v/>
      </c>
      <c r="H401" s="14">
        <f>IF(D401=0,"NO DATA",IF(D401&gt;E401*1.5,"OVER",IF(D401&gt;E401*1.1,"HIGH",IF(D401&lt;E401*0.5,"LOW","OK"))))</f>
        <v/>
      </c>
    </row>
    <row r="402" ht="22" customHeight="1">
      <c r="B402" s="8" t="inlineStr">
        <is>
          <t>MTR-CTW-004</t>
        </is>
      </c>
      <c r="C402" s="8" t="inlineStr">
        <is>
          <t>2024-02-05</t>
        </is>
      </c>
      <c r="D402" s="12" t="n">
        <v>39.06</v>
      </c>
      <c r="E402" s="12" t="n">
        <v>38</v>
      </c>
      <c r="F402" s="12">
        <f>ROUND(D402-E402,2)</f>
        <v/>
      </c>
      <c r="G402" s="15">
        <f>IFERROR(ROUND(F402/E402,4),"")</f>
        <v/>
      </c>
      <c r="H402" s="16">
        <f>IF(D402=0,"NO DATA",IF(D402&gt;E402*1.5,"OVER",IF(D402&gt;E402*1.1,"HIGH",IF(D402&lt;E402*0.5,"LOW","OK"))))</f>
        <v/>
      </c>
    </row>
    <row r="403" ht="22" customHeight="1">
      <c r="B403" s="5" t="inlineStr">
        <is>
          <t>MTR-CTW-004</t>
        </is>
      </c>
      <c r="C403" s="5" t="inlineStr">
        <is>
          <t>2024-02-06</t>
        </is>
      </c>
      <c r="D403" s="11" t="n">
        <v>40.54</v>
      </c>
      <c r="E403" s="11" t="n">
        <v>38</v>
      </c>
      <c r="F403" s="11">
        <f>ROUND(D403-E403,2)</f>
        <v/>
      </c>
      <c r="G403" s="13">
        <f>IFERROR(ROUND(F403/E403,4),"")</f>
        <v/>
      </c>
      <c r="H403" s="14">
        <f>IF(D403=0,"NO DATA",IF(D403&gt;E403*1.5,"OVER",IF(D403&gt;E403*1.1,"HIGH",IF(D403&lt;E403*0.5,"LOW","OK"))))</f>
        <v/>
      </c>
    </row>
    <row r="404" ht="22" customHeight="1">
      <c r="B404" s="8" t="inlineStr">
        <is>
          <t>MTR-CTW-004</t>
        </is>
      </c>
      <c r="C404" s="8" t="inlineStr">
        <is>
          <t>2024-02-07</t>
        </is>
      </c>
      <c r="D404" s="12" t="n">
        <v>35.69</v>
      </c>
      <c r="E404" s="12" t="n">
        <v>38</v>
      </c>
      <c r="F404" s="12">
        <f>ROUND(D404-E404,2)</f>
        <v/>
      </c>
      <c r="G404" s="15">
        <f>IFERROR(ROUND(F404/E404,4),"")</f>
        <v/>
      </c>
      <c r="H404" s="16">
        <f>IF(D404=0,"NO DATA",IF(D404&gt;E404*1.5,"OVER",IF(D404&gt;E404*1.1,"HIGH",IF(D404&lt;E404*0.5,"LOW","OK"))))</f>
        <v/>
      </c>
    </row>
    <row r="405" ht="22" customHeight="1">
      <c r="B405" s="5" t="inlineStr">
        <is>
          <t>MTR-CTW-004</t>
        </is>
      </c>
      <c r="C405" s="5" t="inlineStr">
        <is>
          <t>2024-02-08</t>
        </is>
      </c>
      <c r="D405" s="11" t="n">
        <v>39.16</v>
      </c>
      <c r="E405" s="11" t="n">
        <v>38</v>
      </c>
      <c r="F405" s="11">
        <f>ROUND(D405-E405,2)</f>
        <v/>
      </c>
      <c r="G405" s="13">
        <f>IFERROR(ROUND(F405/E405,4),"")</f>
        <v/>
      </c>
      <c r="H405" s="14">
        <f>IF(D405=0,"NO DATA",IF(D405&gt;E405*1.5,"OVER",IF(D405&gt;E405*1.1,"HIGH",IF(D405&lt;E405*0.5,"LOW","OK"))))</f>
        <v/>
      </c>
    </row>
    <row r="406" ht="22" customHeight="1">
      <c r="B406" s="8" t="inlineStr">
        <is>
          <t>MTR-CTW-004</t>
        </is>
      </c>
      <c r="C406" s="8" t="inlineStr">
        <is>
          <t>2024-02-09</t>
        </is>
      </c>
      <c r="D406" s="12" t="n">
        <v>39.85</v>
      </c>
      <c r="E406" s="12" t="n">
        <v>38</v>
      </c>
      <c r="F406" s="12">
        <f>ROUND(D406-E406,2)</f>
        <v/>
      </c>
      <c r="G406" s="15">
        <f>IFERROR(ROUND(F406/E406,4),"")</f>
        <v/>
      </c>
      <c r="H406" s="16">
        <f>IF(D406=0,"NO DATA",IF(D406&gt;E406*1.5,"OVER",IF(D406&gt;E406*1.1,"HIGH",IF(D406&lt;E406*0.5,"LOW","OK"))))</f>
        <v/>
      </c>
    </row>
    <row r="407" ht="22" customHeight="1">
      <c r="B407" s="5" t="inlineStr">
        <is>
          <t>MTR-CTW-004</t>
        </is>
      </c>
      <c r="C407" s="5" t="inlineStr">
        <is>
          <t>2024-02-10</t>
        </is>
      </c>
      <c r="D407" s="11" t="n">
        <v>32.23</v>
      </c>
      <c r="E407" s="11" t="n">
        <v>38</v>
      </c>
      <c r="F407" s="11">
        <f>ROUND(D407-E407,2)</f>
        <v/>
      </c>
      <c r="G407" s="13">
        <f>IFERROR(ROUND(F407/E407,4),"")</f>
        <v/>
      </c>
      <c r="H407" s="14">
        <f>IF(D407=0,"NO DATA",IF(D407&gt;E407*1.5,"OVER",IF(D407&gt;E407*1.1,"HIGH",IF(D407&lt;E407*0.5,"LOW","OK"))))</f>
        <v/>
      </c>
    </row>
    <row r="408" ht="22" customHeight="1">
      <c r="B408" s="8" t="inlineStr">
        <is>
          <t>MTR-CTW-004</t>
        </is>
      </c>
      <c r="C408" s="8" t="inlineStr">
        <is>
          <t>2024-02-11</t>
        </is>
      </c>
      <c r="D408" s="12" t="n">
        <v>20.28</v>
      </c>
      <c r="E408" s="12" t="n">
        <v>38</v>
      </c>
      <c r="F408" s="12">
        <f>ROUND(D408-E408,2)</f>
        <v/>
      </c>
      <c r="G408" s="15">
        <f>IFERROR(ROUND(F408/E408,4),"")</f>
        <v/>
      </c>
      <c r="H408" s="16">
        <f>IF(D408=0,"NO DATA",IF(D408&gt;E408*1.5,"OVER",IF(D408&gt;E408*1.1,"HIGH",IF(D408&lt;E408*0.5,"LOW","OK"))))</f>
        <v/>
      </c>
    </row>
    <row r="409" ht="22" customHeight="1">
      <c r="B409" s="5" t="inlineStr">
        <is>
          <t>MTR-CTW-004</t>
        </is>
      </c>
      <c r="C409" s="5" t="inlineStr">
        <is>
          <t>2024-02-12</t>
        </is>
      </c>
      <c r="D409" s="11" t="n">
        <v>34.17</v>
      </c>
      <c r="E409" s="11" t="n">
        <v>38</v>
      </c>
      <c r="F409" s="11">
        <f>ROUND(D409-E409,2)</f>
        <v/>
      </c>
      <c r="G409" s="13">
        <f>IFERROR(ROUND(F409/E409,4),"")</f>
        <v/>
      </c>
      <c r="H409" s="14">
        <f>IF(D409=0,"NO DATA",IF(D409&gt;E409*1.5,"OVER",IF(D409&gt;E409*1.1,"HIGH",IF(D409&lt;E409*0.5,"LOW","OK"))))</f>
        <v/>
      </c>
    </row>
    <row r="410" ht="22" customHeight="1">
      <c r="B410" s="8" t="inlineStr">
        <is>
          <t>MTR-CTW-004</t>
        </is>
      </c>
      <c r="C410" s="8" t="inlineStr">
        <is>
          <t>2024-02-13</t>
        </is>
      </c>
      <c r="D410" s="12" t="n">
        <v>39.13</v>
      </c>
      <c r="E410" s="12" t="n">
        <v>38</v>
      </c>
      <c r="F410" s="12">
        <f>ROUND(D410-E410,2)</f>
        <v/>
      </c>
      <c r="G410" s="15">
        <f>IFERROR(ROUND(F410/E410,4),"")</f>
        <v/>
      </c>
      <c r="H410" s="16">
        <f>IF(D410=0,"NO DATA",IF(D410&gt;E410*1.5,"OVER",IF(D410&gt;E410*1.1,"HIGH",IF(D410&lt;E410*0.5,"LOW","OK"))))</f>
        <v/>
      </c>
    </row>
    <row r="411" ht="22" customHeight="1">
      <c r="B411" s="5" t="inlineStr">
        <is>
          <t>MTR-CTW-004</t>
        </is>
      </c>
      <c r="C411" s="5" t="inlineStr">
        <is>
          <t>2024-02-14</t>
        </is>
      </c>
      <c r="D411" s="11" t="n">
        <v>41.71</v>
      </c>
      <c r="E411" s="11" t="n">
        <v>38</v>
      </c>
      <c r="F411" s="11">
        <f>ROUND(D411-E411,2)</f>
        <v/>
      </c>
      <c r="G411" s="13">
        <f>IFERROR(ROUND(F411/E411,4),"")</f>
        <v/>
      </c>
      <c r="H411" s="14">
        <f>IF(D411=0,"NO DATA",IF(D411&gt;E411*1.5,"OVER",IF(D411&gt;E411*1.1,"HIGH",IF(D411&lt;E411*0.5,"LOW","OK"))))</f>
        <v/>
      </c>
    </row>
    <row r="412" ht="22" customHeight="1">
      <c r="B412" s="8" t="inlineStr">
        <is>
          <t>MTR-CTW-004</t>
        </is>
      </c>
      <c r="C412" s="8" t="inlineStr">
        <is>
          <t>2024-02-15</t>
        </is>
      </c>
      <c r="D412" s="12" t="n">
        <v>42.32</v>
      </c>
      <c r="E412" s="12" t="n">
        <v>38</v>
      </c>
      <c r="F412" s="12">
        <f>ROUND(D412-E412,2)</f>
        <v/>
      </c>
      <c r="G412" s="15">
        <f>IFERROR(ROUND(F412/E412,4),"")</f>
        <v/>
      </c>
      <c r="H412" s="16">
        <f>IF(D412=0,"NO DATA",IF(D412&gt;E412*1.5,"OVER",IF(D412&gt;E412*1.1,"HIGH",IF(D412&lt;E412*0.5,"LOW","OK"))))</f>
        <v/>
      </c>
    </row>
    <row r="413" ht="22" customHeight="1">
      <c r="B413" s="5" t="inlineStr">
        <is>
          <t>MTR-CTW-004</t>
        </is>
      </c>
      <c r="C413" s="5" t="inlineStr">
        <is>
          <t>2024-02-16</t>
        </is>
      </c>
      <c r="D413" s="11" t="n">
        <v>32.88</v>
      </c>
      <c r="E413" s="11" t="n">
        <v>38</v>
      </c>
      <c r="F413" s="11">
        <f>ROUND(D413-E413,2)</f>
        <v/>
      </c>
      <c r="G413" s="13">
        <f>IFERROR(ROUND(F413/E413,4),"")</f>
        <v/>
      </c>
      <c r="H413" s="14">
        <f>IF(D413=0,"NO DATA",IF(D413&gt;E413*1.5,"OVER",IF(D413&gt;E413*1.1,"HIGH",IF(D413&lt;E413*0.5,"LOW","OK"))))</f>
        <v/>
      </c>
    </row>
    <row r="414" ht="22" customHeight="1">
      <c r="B414" s="8" t="inlineStr">
        <is>
          <t>MTR-CTW-004</t>
        </is>
      </c>
      <c r="C414" s="8" t="inlineStr">
        <is>
          <t>2024-02-17</t>
        </is>
      </c>
      <c r="D414" s="12" t="n">
        <v>32.97</v>
      </c>
      <c r="E414" s="12" t="n">
        <v>38</v>
      </c>
      <c r="F414" s="12">
        <f>ROUND(D414-E414,2)</f>
        <v/>
      </c>
      <c r="G414" s="15">
        <f>IFERROR(ROUND(F414/E414,4),"")</f>
        <v/>
      </c>
      <c r="H414" s="16">
        <f>IF(D414=0,"NO DATA",IF(D414&gt;E414*1.5,"OVER",IF(D414&gt;E414*1.1,"HIGH",IF(D414&lt;E414*0.5,"LOW","OK"))))</f>
        <v/>
      </c>
    </row>
    <row r="415" ht="22" customHeight="1">
      <c r="B415" s="5" t="inlineStr">
        <is>
          <t>MTR-CTW-004</t>
        </is>
      </c>
      <c r="C415" s="5" t="inlineStr">
        <is>
          <t>2024-02-18</t>
        </is>
      </c>
      <c r="D415" s="11" t="n">
        <v>18.85</v>
      </c>
      <c r="E415" s="11" t="n">
        <v>38</v>
      </c>
      <c r="F415" s="11">
        <f>ROUND(D415-E415,2)</f>
        <v/>
      </c>
      <c r="G415" s="13">
        <f>IFERROR(ROUND(F415/E415,4),"")</f>
        <v/>
      </c>
      <c r="H415" s="14">
        <f>IF(D415=0,"NO DATA",IF(D415&gt;E415*1.5,"OVER",IF(D415&gt;E415*1.1,"HIGH",IF(D415&lt;E415*0.5,"LOW","OK"))))</f>
        <v/>
      </c>
    </row>
    <row r="416" ht="22" customHeight="1">
      <c r="B416" s="8" t="inlineStr">
        <is>
          <t>MTR-CTW-004</t>
        </is>
      </c>
      <c r="C416" s="8" t="inlineStr">
        <is>
          <t>2024-02-19</t>
        </is>
      </c>
      <c r="D416" s="12" t="n">
        <v>32.48</v>
      </c>
      <c r="E416" s="12" t="n">
        <v>38</v>
      </c>
      <c r="F416" s="12">
        <f>ROUND(D416-E416,2)</f>
        <v/>
      </c>
      <c r="G416" s="15">
        <f>IFERROR(ROUND(F416/E416,4),"")</f>
        <v/>
      </c>
      <c r="H416" s="16">
        <f>IF(D416=0,"NO DATA",IF(D416&gt;E416*1.5,"OVER",IF(D416&gt;E416*1.1,"HIGH",IF(D416&lt;E416*0.5,"LOW","OK"))))</f>
        <v/>
      </c>
    </row>
    <row r="417" ht="22" customHeight="1">
      <c r="B417" s="5" t="inlineStr">
        <is>
          <t>MTR-CTW-004</t>
        </is>
      </c>
      <c r="C417" s="5" t="inlineStr">
        <is>
          <t>2024-02-20</t>
        </is>
      </c>
      <c r="D417" s="11" t="n">
        <v>35.33</v>
      </c>
      <c r="E417" s="11" t="n">
        <v>38</v>
      </c>
      <c r="F417" s="11">
        <f>ROUND(D417-E417,2)</f>
        <v/>
      </c>
      <c r="G417" s="13">
        <f>IFERROR(ROUND(F417/E417,4),"")</f>
        <v/>
      </c>
      <c r="H417" s="14">
        <f>IF(D417=0,"NO DATA",IF(D417&gt;E417*1.5,"OVER",IF(D417&gt;E417*1.1,"HIGH",IF(D417&lt;E417*0.5,"LOW","OK"))))</f>
        <v/>
      </c>
    </row>
    <row r="418" ht="22" customHeight="1">
      <c r="B418" s="8" t="inlineStr">
        <is>
          <t>MTR-CTW-004</t>
        </is>
      </c>
      <c r="C418" s="8" t="inlineStr">
        <is>
          <t>2024-02-21</t>
        </is>
      </c>
      <c r="D418" s="12" t="n">
        <v>32.63</v>
      </c>
      <c r="E418" s="12" t="n">
        <v>38</v>
      </c>
      <c r="F418" s="12">
        <f>ROUND(D418-E418,2)</f>
        <v/>
      </c>
      <c r="G418" s="15">
        <f>IFERROR(ROUND(F418/E418,4),"")</f>
        <v/>
      </c>
      <c r="H418" s="16">
        <f>IF(D418=0,"NO DATA",IF(D418&gt;E418*1.5,"OVER",IF(D418&gt;E418*1.1,"HIGH",IF(D418&lt;E418*0.5,"LOW","OK"))))</f>
        <v/>
      </c>
    </row>
    <row r="419" ht="22" customHeight="1">
      <c r="B419" s="5" t="inlineStr">
        <is>
          <t>MTR-CTW-004</t>
        </is>
      </c>
      <c r="C419" s="5" t="inlineStr">
        <is>
          <t>2024-02-22</t>
        </is>
      </c>
      <c r="D419" s="11" t="n">
        <v>37.46</v>
      </c>
      <c r="E419" s="11" t="n">
        <v>38</v>
      </c>
      <c r="F419" s="11">
        <f>ROUND(D419-E419,2)</f>
        <v/>
      </c>
      <c r="G419" s="13">
        <f>IFERROR(ROUND(F419/E419,4),"")</f>
        <v/>
      </c>
      <c r="H419" s="14">
        <f>IF(D419=0,"NO DATA",IF(D419&gt;E419*1.5,"OVER",IF(D419&gt;E419*1.1,"HIGH",IF(D419&lt;E419*0.5,"LOW","OK"))))</f>
        <v/>
      </c>
    </row>
    <row r="420" ht="22" customHeight="1">
      <c r="B420" s="8" t="inlineStr">
        <is>
          <t>MTR-CTW-004</t>
        </is>
      </c>
      <c r="C420" s="8" t="inlineStr">
        <is>
          <t>2024-02-23</t>
        </is>
      </c>
      <c r="D420" s="12" t="n">
        <v>38.71</v>
      </c>
      <c r="E420" s="12" t="n">
        <v>38</v>
      </c>
      <c r="F420" s="12">
        <f>ROUND(D420-E420,2)</f>
        <v/>
      </c>
      <c r="G420" s="15">
        <f>IFERROR(ROUND(F420/E420,4),"")</f>
        <v/>
      </c>
      <c r="H420" s="16">
        <f>IF(D420=0,"NO DATA",IF(D420&gt;E420*1.5,"OVER",IF(D420&gt;E420*1.1,"HIGH",IF(D420&lt;E420*0.5,"LOW","OK"))))</f>
        <v/>
      </c>
    </row>
    <row r="421" ht="22" customHeight="1">
      <c r="B421" s="5" t="inlineStr">
        <is>
          <t>MTR-CTW-004</t>
        </is>
      </c>
      <c r="C421" s="5" t="inlineStr">
        <is>
          <t>2024-02-24</t>
        </is>
      </c>
      <c r="D421" s="11" t="n">
        <v>31.57</v>
      </c>
      <c r="E421" s="11" t="n">
        <v>38</v>
      </c>
      <c r="F421" s="11">
        <f>ROUND(D421-E421,2)</f>
        <v/>
      </c>
      <c r="G421" s="13">
        <f>IFERROR(ROUND(F421/E421,4),"")</f>
        <v/>
      </c>
      <c r="H421" s="14">
        <f>IF(D421=0,"NO DATA",IF(D421&gt;E421*1.5,"OVER",IF(D421&gt;E421*1.1,"HIGH",IF(D421&lt;E421*0.5,"LOW","OK"))))</f>
        <v/>
      </c>
    </row>
    <row r="422" ht="22" customHeight="1">
      <c r="B422" s="8" t="inlineStr">
        <is>
          <t>MTR-CTW-004</t>
        </is>
      </c>
      <c r="C422" s="8" t="inlineStr">
        <is>
          <t>2024-02-25</t>
        </is>
      </c>
      <c r="D422" s="12" t="n">
        <v>21.91</v>
      </c>
      <c r="E422" s="12" t="n">
        <v>38</v>
      </c>
      <c r="F422" s="12">
        <f>ROUND(D422-E422,2)</f>
        <v/>
      </c>
      <c r="G422" s="15">
        <f>IFERROR(ROUND(F422/E422,4),"")</f>
        <v/>
      </c>
      <c r="H422" s="16">
        <f>IF(D422=0,"NO DATA",IF(D422&gt;E422*1.5,"OVER",IF(D422&gt;E422*1.1,"HIGH",IF(D422&lt;E422*0.5,"LOW","OK"))))</f>
        <v/>
      </c>
    </row>
    <row r="423" ht="22" customHeight="1">
      <c r="B423" s="5" t="inlineStr">
        <is>
          <t>MTR-CTW-004</t>
        </is>
      </c>
      <c r="C423" s="5" t="inlineStr">
        <is>
          <t>2024-02-26</t>
        </is>
      </c>
      <c r="D423" s="11" t="n">
        <v>39.17</v>
      </c>
      <c r="E423" s="11" t="n">
        <v>38</v>
      </c>
      <c r="F423" s="11">
        <f>ROUND(D423-E423,2)</f>
        <v/>
      </c>
      <c r="G423" s="13">
        <f>IFERROR(ROUND(F423/E423,4),"")</f>
        <v/>
      </c>
      <c r="H423" s="14">
        <f>IF(D423=0,"NO DATA",IF(D423&gt;E423*1.5,"OVER",IF(D423&gt;E423*1.1,"HIGH",IF(D423&lt;E423*0.5,"LOW","OK"))))</f>
        <v/>
      </c>
    </row>
    <row r="424" ht="22" customHeight="1">
      <c r="B424" s="8" t="inlineStr">
        <is>
          <t>MTR-CTW-004</t>
        </is>
      </c>
      <c r="C424" s="8" t="inlineStr">
        <is>
          <t>2024-02-27</t>
        </is>
      </c>
      <c r="D424" s="12" t="n">
        <v>34.94</v>
      </c>
      <c r="E424" s="12" t="n">
        <v>38</v>
      </c>
      <c r="F424" s="12">
        <f>ROUND(D424-E424,2)</f>
        <v/>
      </c>
      <c r="G424" s="15">
        <f>IFERROR(ROUND(F424/E424,4),"")</f>
        <v/>
      </c>
      <c r="H424" s="16">
        <f>IF(D424=0,"NO DATA",IF(D424&gt;E424*1.5,"OVER",IF(D424&gt;E424*1.1,"HIGH",IF(D424&lt;E424*0.5,"LOW","OK"))))</f>
        <v/>
      </c>
    </row>
    <row r="425" ht="22" customHeight="1">
      <c r="B425" s="5" t="inlineStr">
        <is>
          <t>MTR-CTW-004</t>
        </is>
      </c>
      <c r="C425" s="5" t="inlineStr">
        <is>
          <t>2024-02-28</t>
        </is>
      </c>
      <c r="D425" s="11" t="n">
        <v>36.04</v>
      </c>
      <c r="E425" s="11" t="n">
        <v>38</v>
      </c>
      <c r="F425" s="11">
        <f>ROUND(D425-E425,2)</f>
        <v/>
      </c>
      <c r="G425" s="13">
        <f>IFERROR(ROUND(F425/E425,4),"")</f>
        <v/>
      </c>
      <c r="H425" s="14">
        <f>IF(D425=0,"NO DATA",IF(D425&gt;E425*1.5,"OVER",IF(D425&gt;E425*1.1,"HIGH",IF(D425&lt;E425*0.5,"LOW","OK"))))</f>
        <v/>
      </c>
    </row>
    <row r="426" ht="22" customHeight="1">
      <c r="B426" s="8" t="inlineStr">
        <is>
          <t>MTR-CTW-004</t>
        </is>
      </c>
      <c r="C426" s="8" t="inlineStr">
        <is>
          <t>2024-02-29</t>
        </is>
      </c>
      <c r="D426" s="12" t="n">
        <v>40.02</v>
      </c>
      <c r="E426" s="12" t="n">
        <v>38</v>
      </c>
      <c r="F426" s="12">
        <f>ROUND(D426-E426,2)</f>
        <v/>
      </c>
      <c r="G426" s="15">
        <f>IFERROR(ROUND(F426/E426,4),"")</f>
        <v/>
      </c>
      <c r="H426" s="16">
        <f>IF(D426=0,"NO DATA",IF(D426&gt;E426*1.5,"OVER",IF(D426&gt;E426*1.1,"HIGH",IF(D426&lt;E426*0.5,"LOW","OK"))))</f>
        <v/>
      </c>
    </row>
    <row r="427" ht="22" customHeight="1">
      <c r="B427" s="5" t="inlineStr">
        <is>
          <t>MTR-CTW-004</t>
        </is>
      </c>
      <c r="C427" s="5" t="inlineStr">
        <is>
          <t>2024-03-01</t>
        </is>
      </c>
      <c r="D427" s="11" t="n">
        <v>38.64</v>
      </c>
      <c r="E427" s="11" t="n">
        <v>38</v>
      </c>
      <c r="F427" s="11">
        <f>ROUND(D427-E427,2)</f>
        <v/>
      </c>
      <c r="G427" s="13">
        <f>IFERROR(ROUND(F427/E427,4),"")</f>
        <v/>
      </c>
      <c r="H427" s="14">
        <f>IF(D427=0,"NO DATA",IF(D427&gt;E427*1.5,"OVER",IF(D427&gt;E427*1.1,"HIGH",IF(D427&lt;E427*0.5,"LOW","OK"))))</f>
        <v/>
      </c>
    </row>
    <row r="428" ht="22" customHeight="1">
      <c r="B428" s="8" t="inlineStr">
        <is>
          <t>MTR-CTW-004</t>
        </is>
      </c>
      <c r="C428" s="8" t="inlineStr">
        <is>
          <t>2024-03-02</t>
        </is>
      </c>
      <c r="D428" s="12" t="n">
        <v>29.79</v>
      </c>
      <c r="E428" s="12" t="n">
        <v>38</v>
      </c>
      <c r="F428" s="12">
        <f>ROUND(D428-E428,2)</f>
        <v/>
      </c>
      <c r="G428" s="15">
        <f>IFERROR(ROUND(F428/E428,4),"")</f>
        <v/>
      </c>
      <c r="H428" s="16">
        <f>IF(D428=0,"NO DATA",IF(D428&gt;E428*1.5,"OVER",IF(D428&gt;E428*1.1,"HIGH",IF(D428&lt;E428*0.5,"LOW","OK"))))</f>
        <v/>
      </c>
    </row>
    <row r="429" ht="22" customHeight="1">
      <c r="B429" s="5" t="inlineStr">
        <is>
          <t>MTR-CTW-004</t>
        </is>
      </c>
      <c r="C429" s="5" t="inlineStr">
        <is>
          <t>2024-03-03</t>
        </is>
      </c>
      <c r="D429" s="11" t="n">
        <v>22.44</v>
      </c>
      <c r="E429" s="11" t="n">
        <v>38</v>
      </c>
      <c r="F429" s="11">
        <f>ROUND(D429-E429,2)</f>
        <v/>
      </c>
      <c r="G429" s="13">
        <f>IFERROR(ROUND(F429/E429,4),"")</f>
        <v/>
      </c>
      <c r="H429" s="14">
        <f>IF(D429=0,"NO DATA",IF(D429&gt;E429*1.5,"OVER",IF(D429&gt;E429*1.1,"HIGH",IF(D429&lt;E429*0.5,"LOW","OK"))))</f>
        <v/>
      </c>
    </row>
    <row r="430" ht="22" customHeight="1">
      <c r="B430" s="8" t="inlineStr">
        <is>
          <t>MTR-CTW-004</t>
        </is>
      </c>
      <c r="C430" s="8" t="inlineStr">
        <is>
          <t>2024-03-04</t>
        </is>
      </c>
      <c r="D430" s="12" t="n">
        <v>44.14</v>
      </c>
      <c r="E430" s="12" t="n">
        <v>38</v>
      </c>
      <c r="F430" s="12">
        <f>ROUND(D430-E430,2)</f>
        <v/>
      </c>
      <c r="G430" s="15">
        <f>IFERROR(ROUND(F430/E430,4),"")</f>
        <v/>
      </c>
      <c r="H430" s="16">
        <f>IF(D430=0,"NO DATA",IF(D430&gt;E430*1.5,"OVER",IF(D430&gt;E430*1.1,"HIGH",IF(D430&lt;E430*0.5,"LOW","OK"))))</f>
        <v/>
      </c>
    </row>
    <row r="431" ht="22" customHeight="1">
      <c r="B431" s="5" t="inlineStr">
        <is>
          <t>MTR-CTW-004</t>
        </is>
      </c>
      <c r="C431" s="5" t="inlineStr">
        <is>
          <t>2024-03-05</t>
        </is>
      </c>
      <c r="D431" s="11" t="n">
        <v>36.06</v>
      </c>
      <c r="E431" s="11" t="n">
        <v>38</v>
      </c>
      <c r="F431" s="11">
        <f>ROUND(D431-E431,2)</f>
        <v/>
      </c>
      <c r="G431" s="13">
        <f>IFERROR(ROUND(F431/E431,4),"")</f>
        <v/>
      </c>
      <c r="H431" s="14">
        <f>IF(D431=0,"NO DATA",IF(D431&gt;E431*1.5,"OVER",IF(D431&gt;E431*1.1,"HIGH",IF(D431&lt;E431*0.5,"LOW","OK"))))</f>
        <v/>
      </c>
    </row>
    <row r="432" ht="22" customHeight="1">
      <c r="B432" s="8" t="inlineStr">
        <is>
          <t>MTR-CTW-004</t>
        </is>
      </c>
      <c r="C432" s="8" t="inlineStr">
        <is>
          <t>2024-03-06</t>
        </is>
      </c>
      <c r="D432" s="12" t="n">
        <v>34.11</v>
      </c>
      <c r="E432" s="12" t="n">
        <v>38</v>
      </c>
      <c r="F432" s="12">
        <f>ROUND(D432-E432,2)</f>
        <v/>
      </c>
      <c r="G432" s="15">
        <f>IFERROR(ROUND(F432/E432,4),"")</f>
        <v/>
      </c>
      <c r="H432" s="16">
        <f>IF(D432=0,"NO DATA",IF(D432&gt;E432*1.5,"OVER",IF(D432&gt;E432*1.1,"HIGH",IF(D432&lt;E432*0.5,"LOW","OK"))))</f>
        <v/>
      </c>
    </row>
    <row r="433" ht="22" customHeight="1">
      <c r="B433" s="5" t="inlineStr">
        <is>
          <t>MTR-CTW-004</t>
        </is>
      </c>
      <c r="C433" s="5" t="inlineStr">
        <is>
          <t>2024-03-07</t>
        </is>
      </c>
      <c r="D433" s="11" t="n">
        <v>44.68</v>
      </c>
      <c r="E433" s="11" t="n">
        <v>38</v>
      </c>
      <c r="F433" s="11">
        <f>ROUND(D433-E433,2)</f>
        <v/>
      </c>
      <c r="G433" s="13">
        <f>IFERROR(ROUND(F433/E433,4),"")</f>
        <v/>
      </c>
      <c r="H433" s="14">
        <f>IF(D433=0,"NO DATA",IF(D433&gt;E433*1.5,"OVER",IF(D433&gt;E433*1.1,"HIGH",IF(D433&lt;E433*0.5,"LOW","OK"))))</f>
        <v/>
      </c>
    </row>
    <row r="434" ht="22" customHeight="1">
      <c r="B434" s="8" t="inlineStr">
        <is>
          <t>MTR-CTW-004</t>
        </is>
      </c>
      <c r="C434" s="8" t="inlineStr">
        <is>
          <t>2024-03-08</t>
        </is>
      </c>
      <c r="D434" s="12" t="n">
        <v>35.91</v>
      </c>
      <c r="E434" s="12" t="n">
        <v>38</v>
      </c>
      <c r="F434" s="12">
        <f>ROUND(D434-E434,2)</f>
        <v/>
      </c>
      <c r="G434" s="15">
        <f>IFERROR(ROUND(F434/E434,4),"")</f>
        <v/>
      </c>
      <c r="H434" s="16">
        <f>IF(D434=0,"NO DATA",IF(D434&gt;E434*1.5,"OVER",IF(D434&gt;E434*1.1,"HIGH",IF(D434&lt;E434*0.5,"LOW","OK"))))</f>
        <v/>
      </c>
    </row>
    <row r="435" ht="22" customHeight="1">
      <c r="B435" s="5" t="inlineStr">
        <is>
          <t>MTR-CTW-004</t>
        </is>
      </c>
      <c r="C435" s="5" t="inlineStr">
        <is>
          <t>2024-03-09</t>
        </is>
      </c>
      <c r="D435" s="11" t="n">
        <v>34.94</v>
      </c>
      <c r="E435" s="11" t="n">
        <v>38</v>
      </c>
      <c r="F435" s="11">
        <f>ROUND(D435-E435,2)</f>
        <v/>
      </c>
      <c r="G435" s="13">
        <f>IFERROR(ROUND(F435/E435,4),"")</f>
        <v/>
      </c>
      <c r="H435" s="14">
        <f>IF(D435=0,"NO DATA",IF(D435&gt;E435*1.5,"OVER",IF(D435&gt;E435*1.1,"HIGH",IF(D435&lt;E435*0.5,"LOW","OK"))))</f>
        <v/>
      </c>
    </row>
    <row r="436" ht="22" customHeight="1">
      <c r="B436" s="8" t="inlineStr">
        <is>
          <t>MTR-CTW-004</t>
        </is>
      </c>
      <c r="C436" s="8" t="inlineStr">
        <is>
          <t>2024-03-10</t>
        </is>
      </c>
      <c r="D436" s="12" t="n">
        <v>22.91</v>
      </c>
      <c r="E436" s="12" t="n">
        <v>38</v>
      </c>
      <c r="F436" s="12">
        <f>ROUND(D436-E436,2)</f>
        <v/>
      </c>
      <c r="G436" s="15">
        <f>IFERROR(ROUND(F436/E436,4),"")</f>
        <v/>
      </c>
      <c r="H436" s="16">
        <f>IF(D436=0,"NO DATA",IF(D436&gt;E436*1.5,"OVER",IF(D436&gt;E436*1.1,"HIGH",IF(D436&lt;E436*0.5,"LOW","OK"))))</f>
        <v/>
      </c>
    </row>
    <row r="437" ht="22" customHeight="1">
      <c r="B437" s="5" t="inlineStr">
        <is>
          <t>MTR-CTW-004</t>
        </is>
      </c>
      <c r="C437" s="5" t="inlineStr">
        <is>
          <t>2024-03-11</t>
        </is>
      </c>
      <c r="D437" s="11" t="n">
        <v>36.67</v>
      </c>
      <c r="E437" s="11" t="n">
        <v>38</v>
      </c>
      <c r="F437" s="11">
        <f>ROUND(D437-E437,2)</f>
        <v/>
      </c>
      <c r="G437" s="13">
        <f>IFERROR(ROUND(F437/E437,4),"")</f>
        <v/>
      </c>
      <c r="H437" s="14">
        <f>IF(D437=0,"NO DATA",IF(D437&gt;E437*1.5,"OVER",IF(D437&gt;E437*1.1,"HIGH",IF(D437&lt;E437*0.5,"LOW","OK"))))</f>
        <v/>
      </c>
    </row>
    <row r="438" ht="22" customHeight="1">
      <c r="B438" s="8" t="inlineStr">
        <is>
          <t>MTR-CTW-004</t>
        </is>
      </c>
      <c r="C438" s="8" t="inlineStr">
        <is>
          <t>2024-03-12</t>
        </is>
      </c>
      <c r="D438" s="12" t="n">
        <v>33.41</v>
      </c>
      <c r="E438" s="12" t="n">
        <v>38</v>
      </c>
      <c r="F438" s="12">
        <f>ROUND(D438-E438,2)</f>
        <v/>
      </c>
      <c r="G438" s="15">
        <f>IFERROR(ROUND(F438/E438,4),"")</f>
        <v/>
      </c>
      <c r="H438" s="16">
        <f>IF(D438=0,"NO DATA",IF(D438&gt;E438*1.5,"OVER",IF(D438&gt;E438*1.1,"HIGH",IF(D438&lt;E438*0.5,"LOW","OK"))))</f>
        <v/>
      </c>
    </row>
    <row r="439" ht="22" customHeight="1">
      <c r="B439" s="5" t="inlineStr">
        <is>
          <t>MTR-CTW-004</t>
        </is>
      </c>
      <c r="C439" s="5" t="inlineStr">
        <is>
          <t>2024-03-13</t>
        </is>
      </c>
      <c r="D439" s="11" t="n">
        <v>38.61</v>
      </c>
      <c r="E439" s="11" t="n">
        <v>38</v>
      </c>
      <c r="F439" s="11">
        <f>ROUND(D439-E439,2)</f>
        <v/>
      </c>
      <c r="G439" s="13">
        <f>IFERROR(ROUND(F439/E439,4),"")</f>
        <v/>
      </c>
      <c r="H439" s="14">
        <f>IF(D439=0,"NO DATA",IF(D439&gt;E439*1.5,"OVER",IF(D439&gt;E439*1.1,"HIGH",IF(D439&lt;E439*0.5,"LOW","OK"))))</f>
        <v/>
      </c>
    </row>
    <row r="440" ht="22" customHeight="1">
      <c r="B440" s="8" t="inlineStr">
        <is>
          <t>MTR-CTW-004</t>
        </is>
      </c>
      <c r="C440" s="8" t="inlineStr">
        <is>
          <t>2024-03-14</t>
        </is>
      </c>
      <c r="D440" s="12" t="n">
        <v>36.86</v>
      </c>
      <c r="E440" s="12" t="n">
        <v>38</v>
      </c>
      <c r="F440" s="12">
        <f>ROUND(D440-E440,2)</f>
        <v/>
      </c>
      <c r="G440" s="15">
        <f>IFERROR(ROUND(F440/E440,4),"")</f>
        <v/>
      </c>
      <c r="H440" s="16">
        <f>IF(D440=0,"NO DATA",IF(D440&gt;E440*1.5,"OVER",IF(D440&gt;E440*1.1,"HIGH",IF(D440&lt;E440*0.5,"LOW","OK"))))</f>
        <v/>
      </c>
    </row>
    <row r="441" ht="22" customHeight="1">
      <c r="B441" s="5" t="inlineStr">
        <is>
          <t>MTR-CTW-004</t>
        </is>
      </c>
      <c r="C441" s="5" t="inlineStr">
        <is>
          <t>2024-03-15</t>
        </is>
      </c>
      <c r="D441" s="11" t="n">
        <v>33.54</v>
      </c>
      <c r="E441" s="11" t="n">
        <v>38</v>
      </c>
      <c r="F441" s="11">
        <f>ROUND(D441-E441,2)</f>
        <v/>
      </c>
      <c r="G441" s="13">
        <f>IFERROR(ROUND(F441/E441,4),"")</f>
        <v/>
      </c>
      <c r="H441" s="14">
        <f>IF(D441=0,"NO DATA",IF(D441&gt;E441*1.5,"OVER",IF(D441&gt;E441*1.1,"HIGH",IF(D441&lt;E441*0.5,"LOW","OK"))))</f>
        <v/>
      </c>
    </row>
    <row r="442" ht="22" customHeight="1">
      <c r="B442" s="8" t="inlineStr">
        <is>
          <t>MTR-CTW-004</t>
        </is>
      </c>
      <c r="C442" s="8" t="inlineStr">
        <is>
          <t>2024-03-16</t>
        </is>
      </c>
      <c r="D442" s="12" t="n">
        <v>28.58</v>
      </c>
      <c r="E442" s="12" t="n">
        <v>38</v>
      </c>
      <c r="F442" s="12">
        <f>ROUND(D442-E442,2)</f>
        <v/>
      </c>
      <c r="G442" s="15">
        <f>IFERROR(ROUND(F442/E442,4),"")</f>
        <v/>
      </c>
      <c r="H442" s="16">
        <f>IF(D442=0,"NO DATA",IF(D442&gt;E442*1.5,"OVER",IF(D442&gt;E442*1.1,"HIGH",IF(D442&lt;E442*0.5,"LOW","OK"))))</f>
        <v/>
      </c>
    </row>
    <row r="443" ht="22" customHeight="1">
      <c r="B443" s="5" t="inlineStr">
        <is>
          <t>MTR-CTW-004</t>
        </is>
      </c>
      <c r="C443" s="5" t="inlineStr">
        <is>
          <t>2024-03-17</t>
        </is>
      </c>
      <c r="D443" s="11" t="n">
        <v>20.31</v>
      </c>
      <c r="E443" s="11" t="n">
        <v>38</v>
      </c>
      <c r="F443" s="11">
        <f>ROUND(D443-E443,2)</f>
        <v/>
      </c>
      <c r="G443" s="13">
        <f>IFERROR(ROUND(F443/E443,4),"")</f>
        <v/>
      </c>
      <c r="H443" s="14">
        <f>IF(D443=0,"NO DATA",IF(D443&gt;E443*1.5,"OVER",IF(D443&gt;E443*1.1,"HIGH",IF(D443&lt;E443*0.5,"LOW","OK"))))</f>
        <v/>
      </c>
    </row>
    <row r="444" ht="22" customHeight="1">
      <c r="B444" s="8" t="inlineStr">
        <is>
          <t>MTR-CTW-004</t>
        </is>
      </c>
      <c r="C444" s="8" t="inlineStr">
        <is>
          <t>2024-03-18</t>
        </is>
      </c>
      <c r="D444" s="12" t="n">
        <v>38.5</v>
      </c>
      <c r="E444" s="12" t="n">
        <v>38</v>
      </c>
      <c r="F444" s="12">
        <f>ROUND(D444-E444,2)</f>
        <v/>
      </c>
      <c r="G444" s="15">
        <f>IFERROR(ROUND(F444/E444,4),"")</f>
        <v/>
      </c>
      <c r="H444" s="16">
        <f>IF(D444=0,"NO DATA",IF(D444&gt;E444*1.5,"OVER",IF(D444&gt;E444*1.1,"HIGH",IF(D444&lt;E444*0.5,"LOW","OK"))))</f>
        <v/>
      </c>
    </row>
    <row r="445" ht="22" customHeight="1">
      <c r="B445" s="5" t="inlineStr">
        <is>
          <t>MTR-CTW-004</t>
        </is>
      </c>
      <c r="C445" s="5" t="inlineStr">
        <is>
          <t>2024-03-19</t>
        </is>
      </c>
      <c r="D445" s="11" t="n">
        <v>38.45</v>
      </c>
      <c r="E445" s="11" t="n">
        <v>38</v>
      </c>
      <c r="F445" s="11">
        <f>ROUND(D445-E445,2)</f>
        <v/>
      </c>
      <c r="G445" s="13">
        <f>IFERROR(ROUND(F445/E445,4),"")</f>
        <v/>
      </c>
      <c r="H445" s="14">
        <f>IF(D445=0,"NO DATA",IF(D445&gt;E445*1.5,"OVER",IF(D445&gt;E445*1.1,"HIGH",IF(D445&lt;E445*0.5,"LOW","OK"))))</f>
        <v/>
      </c>
    </row>
    <row r="446" ht="22" customHeight="1">
      <c r="B446" s="8" t="inlineStr">
        <is>
          <t>MTR-CTW-004</t>
        </is>
      </c>
      <c r="C446" s="8" t="inlineStr">
        <is>
          <t>2024-03-20</t>
        </is>
      </c>
      <c r="D446" s="12" t="n">
        <v>36.23</v>
      </c>
      <c r="E446" s="12" t="n">
        <v>38</v>
      </c>
      <c r="F446" s="12">
        <f>ROUND(D446-E446,2)</f>
        <v/>
      </c>
      <c r="G446" s="15">
        <f>IFERROR(ROUND(F446/E446,4),"")</f>
        <v/>
      </c>
      <c r="H446" s="16">
        <f>IF(D446=0,"NO DATA",IF(D446&gt;E446*1.5,"OVER",IF(D446&gt;E446*1.1,"HIGH",IF(D446&lt;E446*0.5,"LOW","OK"))))</f>
        <v/>
      </c>
    </row>
    <row r="447" ht="22" customHeight="1">
      <c r="B447" s="5" t="inlineStr">
        <is>
          <t>MTR-CTW-004</t>
        </is>
      </c>
      <c r="C447" s="5" t="inlineStr">
        <is>
          <t>2024-03-21</t>
        </is>
      </c>
      <c r="D447" s="11" t="n">
        <v>37</v>
      </c>
      <c r="E447" s="11" t="n">
        <v>38</v>
      </c>
      <c r="F447" s="11">
        <f>ROUND(D447-E447,2)</f>
        <v/>
      </c>
      <c r="G447" s="13">
        <f>IFERROR(ROUND(F447/E447,4),"")</f>
        <v/>
      </c>
      <c r="H447" s="14">
        <f>IF(D447=0,"NO DATA",IF(D447&gt;E447*1.5,"OVER",IF(D447&gt;E447*1.1,"HIGH",IF(D447&lt;E447*0.5,"LOW","OK"))))</f>
        <v/>
      </c>
    </row>
    <row r="448" ht="22" customHeight="1">
      <c r="B448" s="8" t="inlineStr">
        <is>
          <t>MTR-CTW-004</t>
        </is>
      </c>
      <c r="C448" s="8" t="inlineStr">
        <is>
          <t>2024-03-22</t>
        </is>
      </c>
      <c r="D448" s="12" t="n">
        <v>38.64</v>
      </c>
      <c r="E448" s="12" t="n">
        <v>38</v>
      </c>
      <c r="F448" s="12">
        <f>ROUND(D448-E448,2)</f>
        <v/>
      </c>
      <c r="G448" s="15">
        <f>IFERROR(ROUND(F448/E448,4),"")</f>
        <v/>
      </c>
      <c r="H448" s="16">
        <f>IF(D448=0,"NO DATA",IF(D448&gt;E448*1.5,"OVER",IF(D448&gt;E448*1.1,"HIGH",IF(D448&lt;E448*0.5,"LOW","OK"))))</f>
        <v/>
      </c>
    </row>
    <row r="449" ht="22" customHeight="1">
      <c r="B449" s="5" t="inlineStr">
        <is>
          <t>MTR-CTW-004</t>
        </is>
      </c>
      <c r="C449" s="5" t="inlineStr">
        <is>
          <t>2024-03-23</t>
        </is>
      </c>
      <c r="D449" s="11" t="n">
        <v>29.95</v>
      </c>
      <c r="E449" s="11" t="n">
        <v>38</v>
      </c>
      <c r="F449" s="11">
        <f>ROUND(D449-E449,2)</f>
        <v/>
      </c>
      <c r="G449" s="13">
        <f>IFERROR(ROUND(F449/E449,4),"")</f>
        <v/>
      </c>
      <c r="H449" s="14">
        <f>IF(D449=0,"NO DATA",IF(D449&gt;E449*1.5,"OVER",IF(D449&gt;E449*1.1,"HIGH",IF(D449&lt;E449*0.5,"LOW","OK"))))</f>
        <v/>
      </c>
    </row>
    <row r="450" ht="22" customHeight="1">
      <c r="B450" s="8" t="inlineStr">
        <is>
          <t>MTR-CTW-004</t>
        </is>
      </c>
      <c r="C450" s="8" t="inlineStr">
        <is>
          <t>2024-03-24</t>
        </is>
      </c>
      <c r="D450" s="12" t="n">
        <v>20.22</v>
      </c>
      <c r="E450" s="12" t="n">
        <v>38</v>
      </c>
      <c r="F450" s="12">
        <f>ROUND(D450-E450,2)</f>
        <v/>
      </c>
      <c r="G450" s="15">
        <f>IFERROR(ROUND(F450/E450,4),"")</f>
        <v/>
      </c>
      <c r="H450" s="16">
        <f>IF(D450=0,"NO DATA",IF(D450&gt;E450*1.5,"OVER",IF(D450&gt;E450*1.1,"HIGH",IF(D450&lt;E450*0.5,"LOW","OK"))))</f>
        <v/>
      </c>
    </row>
    <row r="451" ht="22" customHeight="1">
      <c r="B451" s="5" t="inlineStr">
        <is>
          <t>MTR-CTW-004</t>
        </is>
      </c>
      <c r="C451" s="5" t="inlineStr">
        <is>
          <t>2024-03-25</t>
        </is>
      </c>
      <c r="D451" s="11" t="n">
        <v>41.51</v>
      </c>
      <c r="E451" s="11" t="n">
        <v>38</v>
      </c>
      <c r="F451" s="11">
        <f>ROUND(D451-E451,2)</f>
        <v/>
      </c>
      <c r="G451" s="13">
        <f>IFERROR(ROUND(F451/E451,4),"")</f>
        <v/>
      </c>
      <c r="H451" s="14">
        <f>IF(D451=0,"NO DATA",IF(D451&gt;E451*1.5,"OVER",IF(D451&gt;E451*1.1,"HIGH",IF(D451&lt;E451*0.5,"LOW","OK"))))</f>
        <v/>
      </c>
    </row>
    <row r="452" ht="22" customHeight="1">
      <c r="B452" s="8" t="inlineStr">
        <is>
          <t>MTR-CTW-004</t>
        </is>
      </c>
      <c r="C452" s="8" t="inlineStr">
        <is>
          <t>2024-03-26</t>
        </is>
      </c>
      <c r="D452" s="12" t="n">
        <v>42</v>
      </c>
      <c r="E452" s="12" t="n">
        <v>38</v>
      </c>
      <c r="F452" s="12">
        <f>ROUND(D452-E452,2)</f>
        <v/>
      </c>
      <c r="G452" s="15">
        <f>IFERROR(ROUND(F452/E452,4),"")</f>
        <v/>
      </c>
      <c r="H452" s="16">
        <f>IF(D452=0,"NO DATA",IF(D452&gt;E452*1.5,"OVER",IF(D452&gt;E452*1.1,"HIGH",IF(D452&lt;E452*0.5,"LOW","OK"))))</f>
        <v/>
      </c>
    </row>
    <row r="453" ht="22" customHeight="1">
      <c r="B453" s="5" t="inlineStr">
        <is>
          <t>MTR-CTW-004</t>
        </is>
      </c>
      <c r="C453" s="5" t="inlineStr">
        <is>
          <t>2024-03-27</t>
        </is>
      </c>
      <c r="D453" s="11" t="n">
        <v>38.14</v>
      </c>
      <c r="E453" s="11" t="n">
        <v>38</v>
      </c>
      <c r="F453" s="11">
        <f>ROUND(D453-E453,2)</f>
        <v/>
      </c>
      <c r="G453" s="13">
        <f>IFERROR(ROUND(F453/E453,4),"")</f>
        <v/>
      </c>
      <c r="H453" s="14">
        <f>IF(D453=0,"NO DATA",IF(D453&gt;E453*1.5,"OVER",IF(D453&gt;E453*1.1,"HIGH",IF(D453&lt;E453*0.5,"LOW","OK"))))</f>
        <v/>
      </c>
    </row>
    <row r="454" ht="22" customHeight="1">
      <c r="B454" s="8" t="inlineStr">
        <is>
          <t>MTR-CTW-004</t>
        </is>
      </c>
      <c r="C454" s="8" t="inlineStr">
        <is>
          <t>2024-03-28</t>
        </is>
      </c>
      <c r="D454" s="12" t="n">
        <v>38.93</v>
      </c>
      <c r="E454" s="12" t="n">
        <v>38</v>
      </c>
      <c r="F454" s="12">
        <f>ROUND(D454-E454,2)</f>
        <v/>
      </c>
      <c r="G454" s="15">
        <f>IFERROR(ROUND(F454/E454,4),"")</f>
        <v/>
      </c>
      <c r="H454" s="16">
        <f>IF(D454=0,"NO DATA",IF(D454&gt;E454*1.5,"OVER",IF(D454&gt;E454*1.1,"HIGH",IF(D454&lt;E454*0.5,"LOW","OK"))))</f>
        <v/>
      </c>
    </row>
    <row r="455" ht="22" customHeight="1">
      <c r="B455" s="5" t="inlineStr">
        <is>
          <t>MTR-CTW-004</t>
        </is>
      </c>
      <c r="C455" s="5" t="inlineStr">
        <is>
          <t>2024-03-29</t>
        </is>
      </c>
      <c r="D455" s="11" t="n">
        <v>39.5</v>
      </c>
      <c r="E455" s="11" t="n">
        <v>38</v>
      </c>
      <c r="F455" s="11">
        <f>ROUND(D455-E455,2)</f>
        <v/>
      </c>
      <c r="G455" s="13">
        <f>IFERROR(ROUND(F455/E455,4),"")</f>
        <v/>
      </c>
      <c r="H455" s="14">
        <f>IF(D455=0,"NO DATA",IF(D455&gt;E455*1.5,"OVER",IF(D455&gt;E455*1.1,"HIGH",IF(D455&lt;E455*0.5,"LOW","OK"))))</f>
        <v/>
      </c>
    </row>
    <row r="456" ht="22" customHeight="1">
      <c r="B456" s="8" t="inlineStr">
        <is>
          <t>MTR-CTW-004</t>
        </is>
      </c>
      <c r="C456" s="8" t="inlineStr">
        <is>
          <t>2024-03-30</t>
        </is>
      </c>
      <c r="D456" s="12" t="n">
        <v>36.26</v>
      </c>
      <c r="E456" s="12" t="n">
        <v>38</v>
      </c>
      <c r="F456" s="12">
        <f>ROUND(D456-E456,2)</f>
        <v/>
      </c>
      <c r="G456" s="15">
        <f>IFERROR(ROUND(F456/E456,4),"")</f>
        <v/>
      </c>
      <c r="H456" s="16">
        <f>IF(D456=0,"NO DATA",IF(D456&gt;E456*1.5,"OVER",IF(D456&gt;E456*1.1,"HIGH",IF(D456&lt;E456*0.5,"LOW","OK"))))</f>
        <v/>
      </c>
    </row>
    <row r="457" ht="22" customHeight="1">
      <c r="B457" s="5" t="inlineStr">
        <is>
          <t>MTR-CTW-004</t>
        </is>
      </c>
      <c r="C457" s="5" t="inlineStr">
        <is>
          <t>2024-03-31</t>
        </is>
      </c>
      <c r="D457" s="11" t="n">
        <v>20.81</v>
      </c>
      <c r="E457" s="11" t="n">
        <v>38</v>
      </c>
      <c r="F457" s="11">
        <f>ROUND(D457-E457,2)</f>
        <v/>
      </c>
      <c r="G457" s="13">
        <f>IFERROR(ROUND(F457/E457,4),"")</f>
        <v/>
      </c>
      <c r="H457" s="14">
        <f>IF(D457=0,"NO DATA",IF(D457&gt;E457*1.5,"OVER",IF(D457&gt;E457*1.1,"HIGH",IF(D457&lt;E457*0.5,"LOW","OK"))))</f>
        <v/>
      </c>
    </row>
    <row r="458" ht="22" customHeight="1">
      <c r="B458" s="8" t="inlineStr">
        <is>
          <t>MTR-CTW-004</t>
        </is>
      </c>
      <c r="C458" s="8" t="inlineStr">
        <is>
          <t>2024-04-01</t>
        </is>
      </c>
      <c r="D458" s="12" t="n">
        <v>36.68</v>
      </c>
      <c r="E458" s="12" t="n">
        <v>38</v>
      </c>
      <c r="F458" s="12">
        <f>ROUND(D458-E458,2)</f>
        <v/>
      </c>
      <c r="G458" s="15">
        <f>IFERROR(ROUND(F458/E458,4),"")</f>
        <v/>
      </c>
      <c r="H458" s="16">
        <f>IF(D458=0,"NO DATA",IF(D458&gt;E458*1.5,"OVER",IF(D458&gt;E458*1.1,"HIGH",IF(D458&lt;E458*0.5,"LOW","OK"))))</f>
        <v/>
      </c>
    </row>
    <row r="459" ht="22" customHeight="1">
      <c r="B459" s="5" t="inlineStr">
        <is>
          <t>MTR-CTW-004</t>
        </is>
      </c>
      <c r="C459" s="5" t="inlineStr">
        <is>
          <t>2024-04-02</t>
        </is>
      </c>
      <c r="D459" s="11" t="n">
        <v>43.53</v>
      </c>
      <c r="E459" s="11" t="n">
        <v>38</v>
      </c>
      <c r="F459" s="11">
        <f>ROUND(D459-E459,2)</f>
        <v/>
      </c>
      <c r="G459" s="13">
        <f>IFERROR(ROUND(F459/E459,4),"")</f>
        <v/>
      </c>
      <c r="H459" s="14">
        <f>IF(D459=0,"NO DATA",IF(D459&gt;E459*1.5,"OVER",IF(D459&gt;E459*1.1,"HIGH",IF(D459&lt;E459*0.5,"LOW","OK"))))</f>
        <v/>
      </c>
    </row>
    <row r="460" ht="22" customHeight="1">
      <c r="B460" s="8" t="inlineStr">
        <is>
          <t>MTR-CTW-004</t>
        </is>
      </c>
      <c r="C460" s="8" t="inlineStr">
        <is>
          <t>2024-04-03</t>
        </is>
      </c>
      <c r="D460" s="12" t="n">
        <v>40.43</v>
      </c>
      <c r="E460" s="12" t="n">
        <v>38</v>
      </c>
      <c r="F460" s="12">
        <f>ROUND(D460-E460,2)</f>
        <v/>
      </c>
      <c r="G460" s="15">
        <f>IFERROR(ROUND(F460/E460,4),"")</f>
        <v/>
      </c>
      <c r="H460" s="16">
        <f>IF(D460=0,"NO DATA",IF(D460&gt;E460*1.5,"OVER",IF(D460&gt;E460*1.1,"HIGH",IF(D460&lt;E460*0.5,"LOW","OK"))))</f>
        <v/>
      </c>
    </row>
    <row r="461" ht="22" customHeight="1">
      <c r="B461" s="5" t="inlineStr">
        <is>
          <t>MTR-CTW-004</t>
        </is>
      </c>
      <c r="C461" s="5" t="inlineStr">
        <is>
          <t>2024-04-04</t>
        </is>
      </c>
      <c r="D461" s="11" t="n">
        <v>45.62</v>
      </c>
      <c r="E461" s="11" t="n">
        <v>38</v>
      </c>
      <c r="F461" s="11">
        <f>ROUND(D461-E461,2)</f>
        <v/>
      </c>
      <c r="G461" s="13">
        <f>IFERROR(ROUND(F461/E461,4),"")</f>
        <v/>
      </c>
      <c r="H461" s="14">
        <f>IF(D461=0,"NO DATA",IF(D461&gt;E461*1.5,"OVER",IF(D461&gt;E461*1.1,"HIGH",IF(D461&lt;E461*0.5,"LOW","OK"))))</f>
        <v/>
      </c>
    </row>
    <row r="462" ht="22" customHeight="1">
      <c r="B462" s="8" t="inlineStr">
        <is>
          <t>MTR-CTW-004</t>
        </is>
      </c>
      <c r="C462" s="8" t="inlineStr">
        <is>
          <t>2024-04-05</t>
        </is>
      </c>
      <c r="D462" s="12" t="n">
        <v>34.22</v>
      </c>
      <c r="E462" s="12" t="n">
        <v>38</v>
      </c>
      <c r="F462" s="12">
        <f>ROUND(D462-E462,2)</f>
        <v/>
      </c>
      <c r="G462" s="15">
        <f>IFERROR(ROUND(F462/E462,4),"")</f>
        <v/>
      </c>
      <c r="H462" s="16">
        <f>IF(D462=0,"NO DATA",IF(D462&gt;E462*1.5,"OVER",IF(D462&gt;E462*1.1,"HIGH",IF(D462&lt;E462*0.5,"LOW","OK"))))</f>
        <v/>
      </c>
    </row>
    <row r="463" ht="22" customHeight="1">
      <c r="B463" s="5" t="inlineStr">
        <is>
          <t>MTR-CTW-004</t>
        </is>
      </c>
      <c r="C463" s="5" t="inlineStr">
        <is>
          <t>2024-04-06</t>
        </is>
      </c>
      <c r="D463" s="11" t="n">
        <v>32.15</v>
      </c>
      <c r="E463" s="11" t="n">
        <v>38</v>
      </c>
      <c r="F463" s="11">
        <f>ROUND(D463-E463,2)</f>
        <v/>
      </c>
      <c r="G463" s="13">
        <f>IFERROR(ROUND(F463/E463,4),"")</f>
        <v/>
      </c>
      <c r="H463" s="14">
        <f>IF(D463=0,"NO DATA",IF(D463&gt;E463*1.5,"OVER",IF(D463&gt;E463*1.1,"HIGH",IF(D463&lt;E463*0.5,"LOW","OK"))))</f>
        <v/>
      </c>
    </row>
    <row r="464" ht="22" customHeight="1">
      <c r="B464" s="8" t="inlineStr">
        <is>
          <t>MTR-CTW-004</t>
        </is>
      </c>
      <c r="C464" s="8" t="inlineStr">
        <is>
          <t>2024-04-07</t>
        </is>
      </c>
      <c r="D464" s="12" t="n">
        <v>21.92</v>
      </c>
      <c r="E464" s="12" t="n">
        <v>38</v>
      </c>
      <c r="F464" s="12">
        <f>ROUND(D464-E464,2)</f>
        <v/>
      </c>
      <c r="G464" s="15">
        <f>IFERROR(ROUND(F464/E464,4),"")</f>
        <v/>
      </c>
      <c r="H464" s="16">
        <f>IF(D464=0,"NO DATA",IF(D464&gt;E464*1.5,"OVER",IF(D464&gt;E464*1.1,"HIGH",IF(D464&lt;E464*0.5,"LOW","OK"))))</f>
        <v/>
      </c>
    </row>
    <row r="465" ht="22" customHeight="1">
      <c r="B465" s="5" t="inlineStr">
        <is>
          <t>MTR-CTW-004</t>
        </is>
      </c>
      <c r="C465" s="5" t="inlineStr">
        <is>
          <t>2024-04-08</t>
        </is>
      </c>
      <c r="D465" s="11" t="n">
        <v>42.11</v>
      </c>
      <c r="E465" s="11" t="n">
        <v>38</v>
      </c>
      <c r="F465" s="11">
        <f>ROUND(D465-E465,2)</f>
        <v/>
      </c>
      <c r="G465" s="13">
        <f>IFERROR(ROUND(F465/E465,4),"")</f>
        <v/>
      </c>
      <c r="H465" s="14">
        <f>IF(D465=0,"NO DATA",IF(D465&gt;E465*1.5,"OVER",IF(D465&gt;E465*1.1,"HIGH",IF(D465&lt;E465*0.5,"LOW","OK"))))</f>
        <v/>
      </c>
    </row>
    <row r="466" ht="22" customHeight="1">
      <c r="B466" s="8" t="inlineStr">
        <is>
          <t>MTR-CTW-004</t>
        </is>
      </c>
      <c r="C466" s="8" t="inlineStr">
        <is>
          <t>2024-04-09</t>
        </is>
      </c>
      <c r="D466" s="12" t="n">
        <v>34.44</v>
      </c>
      <c r="E466" s="12" t="n">
        <v>38</v>
      </c>
      <c r="F466" s="12">
        <f>ROUND(D466-E466,2)</f>
        <v/>
      </c>
      <c r="G466" s="15">
        <f>IFERROR(ROUND(F466/E466,4),"")</f>
        <v/>
      </c>
      <c r="H466" s="16">
        <f>IF(D466=0,"NO DATA",IF(D466&gt;E466*1.5,"OVER",IF(D466&gt;E466*1.1,"HIGH",IF(D466&lt;E466*0.5,"LOW","OK"))))</f>
        <v/>
      </c>
    </row>
    <row r="467" ht="22" customHeight="1">
      <c r="B467" s="5" t="inlineStr">
        <is>
          <t>MTR-CTW-004</t>
        </is>
      </c>
      <c r="C467" s="5" t="inlineStr">
        <is>
          <t>2024-04-10</t>
        </is>
      </c>
      <c r="D467" s="11" t="n">
        <v>37.36</v>
      </c>
      <c r="E467" s="11" t="n">
        <v>38</v>
      </c>
      <c r="F467" s="11">
        <f>ROUND(D467-E467,2)</f>
        <v/>
      </c>
      <c r="G467" s="13">
        <f>IFERROR(ROUND(F467/E467,4),"")</f>
        <v/>
      </c>
      <c r="H467" s="14">
        <f>IF(D467=0,"NO DATA",IF(D467&gt;E467*1.5,"OVER",IF(D467&gt;E467*1.1,"HIGH",IF(D467&lt;E467*0.5,"LOW","OK"))))</f>
        <v/>
      </c>
    </row>
    <row r="468" ht="22" customHeight="1">
      <c r="B468" s="8" t="inlineStr">
        <is>
          <t>MTR-CTW-004</t>
        </is>
      </c>
      <c r="C468" s="8" t="inlineStr">
        <is>
          <t>2024-04-11</t>
        </is>
      </c>
      <c r="D468" s="12" t="n">
        <v>45.93</v>
      </c>
      <c r="E468" s="12" t="n">
        <v>38</v>
      </c>
      <c r="F468" s="12">
        <f>ROUND(D468-E468,2)</f>
        <v/>
      </c>
      <c r="G468" s="15">
        <f>IFERROR(ROUND(F468/E468,4),"")</f>
        <v/>
      </c>
      <c r="H468" s="16">
        <f>IF(D468=0,"NO DATA",IF(D468&gt;E468*1.5,"OVER",IF(D468&gt;E468*1.1,"HIGH",IF(D468&lt;E468*0.5,"LOW","OK"))))</f>
        <v/>
      </c>
    </row>
    <row r="469" ht="22" customHeight="1">
      <c r="B469" s="5" t="inlineStr">
        <is>
          <t>MTR-CTW-004</t>
        </is>
      </c>
      <c r="C469" s="5" t="inlineStr">
        <is>
          <t>2024-04-12</t>
        </is>
      </c>
      <c r="D469" s="11" t="n">
        <v>34.08</v>
      </c>
      <c r="E469" s="11" t="n">
        <v>38</v>
      </c>
      <c r="F469" s="11">
        <f>ROUND(D469-E469,2)</f>
        <v/>
      </c>
      <c r="G469" s="13">
        <f>IFERROR(ROUND(F469/E469,4),"")</f>
        <v/>
      </c>
      <c r="H469" s="14">
        <f>IF(D469=0,"NO DATA",IF(D469&gt;E469*1.5,"OVER",IF(D469&gt;E469*1.1,"HIGH",IF(D469&lt;E469*0.5,"LOW","OK"))))</f>
        <v/>
      </c>
    </row>
    <row r="470" ht="22" customHeight="1">
      <c r="B470" s="8" t="inlineStr">
        <is>
          <t>MTR-CTW-004</t>
        </is>
      </c>
      <c r="C470" s="8" t="inlineStr">
        <is>
          <t>2024-04-13</t>
        </is>
      </c>
      <c r="D470" s="12" t="n">
        <v>33.29</v>
      </c>
      <c r="E470" s="12" t="n">
        <v>38</v>
      </c>
      <c r="F470" s="12">
        <f>ROUND(D470-E470,2)</f>
        <v/>
      </c>
      <c r="G470" s="15">
        <f>IFERROR(ROUND(F470/E470,4),"")</f>
        <v/>
      </c>
      <c r="H470" s="16">
        <f>IF(D470=0,"NO DATA",IF(D470&gt;E470*1.5,"OVER",IF(D470&gt;E470*1.1,"HIGH",IF(D470&lt;E470*0.5,"LOW","OK"))))</f>
        <v/>
      </c>
    </row>
    <row r="471" ht="22" customHeight="1">
      <c r="B471" s="5" t="inlineStr">
        <is>
          <t>MTR-CTW-004</t>
        </is>
      </c>
      <c r="C471" s="5" t="inlineStr">
        <is>
          <t>2024-04-14</t>
        </is>
      </c>
      <c r="D471" s="11" t="n">
        <v>21.57</v>
      </c>
      <c r="E471" s="11" t="n">
        <v>38</v>
      </c>
      <c r="F471" s="11">
        <f>ROUND(D471-E471,2)</f>
        <v/>
      </c>
      <c r="G471" s="13">
        <f>IFERROR(ROUND(F471/E471,4),"")</f>
        <v/>
      </c>
      <c r="H471" s="14">
        <f>IF(D471=0,"NO DATA",IF(D471&gt;E471*1.5,"OVER",IF(D471&gt;E471*1.1,"HIGH",IF(D471&lt;E471*0.5,"LOW","OK"))))</f>
        <v/>
      </c>
    </row>
    <row r="472" ht="22" customHeight="1">
      <c r="B472" s="8" t="inlineStr">
        <is>
          <t>MTR-CTW-004</t>
        </is>
      </c>
      <c r="C472" s="8" t="inlineStr">
        <is>
          <t>2024-04-15</t>
        </is>
      </c>
      <c r="D472" s="12" t="n">
        <v>44.23</v>
      </c>
      <c r="E472" s="12" t="n">
        <v>38</v>
      </c>
      <c r="F472" s="12">
        <f>ROUND(D472-E472,2)</f>
        <v/>
      </c>
      <c r="G472" s="15">
        <f>IFERROR(ROUND(F472/E472,4),"")</f>
        <v/>
      </c>
      <c r="H472" s="16">
        <f>IF(D472=0,"NO DATA",IF(D472&gt;E472*1.5,"OVER",IF(D472&gt;E472*1.1,"HIGH",IF(D472&lt;E472*0.5,"LOW","OK"))))</f>
        <v/>
      </c>
    </row>
    <row r="473" ht="22" customHeight="1">
      <c r="B473" s="5" t="inlineStr">
        <is>
          <t>MTR-CTW-004</t>
        </is>
      </c>
      <c r="C473" s="5" t="inlineStr">
        <is>
          <t>2024-04-16</t>
        </is>
      </c>
      <c r="D473" s="11" t="n">
        <v>41.55</v>
      </c>
      <c r="E473" s="11" t="n">
        <v>38</v>
      </c>
      <c r="F473" s="11">
        <f>ROUND(D473-E473,2)</f>
        <v/>
      </c>
      <c r="G473" s="13">
        <f>IFERROR(ROUND(F473/E473,4),"")</f>
        <v/>
      </c>
      <c r="H473" s="14">
        <f>IF(D473=0,"NO DATA",IF(D473&gt;E473*1.5,"OVER",IF(D473&gt;E473*1.1,"HIGH",IF(D473&lt;E473*0.5,"LOW","OK"))))</f>
        <v/>
      </c>
    </row>
    <row r="474" ht="22" customHeight="1">
      <c r="B474" s="8" t="inlineStr">
        <is>
          <t>MTR-CTW-004</t>
        </is>
      </c>
      <c r="C474" s="8" t="inlineStr">
        <is>
          <t>2024-04-17</t>
        </is>
      </c>
      <c r="D474" s="12" t="n">
        <v>35.42</v>
      </c>
      <c r="E474" s="12" t="n">
        <v>38</v>
      </c>
      <c r="F474" s="12">
        <f>ROUND(D474-E474,2)</f>
        <v/>
      </c>
      <c r="G474" s="15">
        <f>IFERROR(ROUND(F474/E474,4),"")</f>
        <v/>
      </c>
      <c r="H474" s="16">
        <f>IF(D474=0,"NO DATA",IF(D474&gt;E474*1.5,"OVER",IF(D474&gt;E474*1.1,"HIGH",IF(D474&lt;E474*0.5,"LOW","OK"))))</f>
        <v/>
      </c>
    </row>
    <row r="475" ht="22" customHeight="1">
      <c r="B475" s="5" t="inlineStr">
        <is>
          <t>MTR-CTW-004</t>
        </is>
      </c>
      <c r="C475" s="5" t="inlineStr">
        <is>
          <t>2024-04-18</t>
        </is>
      </c>
      <c r="D475" s="11" t="n">
        <v>35.19</v>
      </c>
      <c r="E475" s="11" t="n">
        <v>38</v>
      </c>
      <c r="F475" s="11">
        <f>ROUND(D475-E475,2)</f>
        <v/>
      </c>
      <c r="G475" s="13">
        <f>IFERROR(ROUND(F475/E475,4),"")</f>
        <v/>
      </c>
      <c r="H475" s="14">
        <f>IF(D475=0,"NO DATA",IF(D475&gt;E475*1.5,"OVER",IF(D475&gt;E475*1.1,"HIGH",IF(D475&lt;E475*0.5,"LOW","OK"))))</f>
        <v/>
      </c>
    </row>
    <row r="476" ht="22" customHeight="1">
      <c r="B476" s="8" t="inlineStr">
        <is>
          <t>MTR-CTW-004</t>
        </is>
      </c>
      <c r="C476" s="8" t="inlineStr">
        <is>
          <t>2024-04-19</t>
        </is>
      </c>
      <c r="D476" s="12" t="n">
        <v>43</v>
      </c>
      <c r="E476" s="12" t="n">
        <v>38</v>
      </c>
      <c r="F476" s="12">
        <f>ROUND(D476-E476,2)</f>
        <v/>
      </c>
      <c r="G476" s="15">
        <f>IFERROR(ROUND(F476/E476,4),"")</f>
        <v/>
      </c>
      <c r="H476" s="16">
        <f>IF(D476=0,"NO DATA",IF(D476&gt;E476*1.5,"OVER",IF(D476&gt;E476*1.1,"HIGH",IF(D476&lt;E476*0.5,"LOW","OK"))))</f>
        <v/>
      </c>
    </row>
    <row r="477" ht="22" customHeight="1">
      <c r="B477" s="5" t="inlineStr">
        <is>
          <t>MTR-CTW-004</t>
        </is>
      </c>
      <c r="C477" s="5" t="inlineStr">
        <is>
          <t>2024-04-20</t>
        </is>
      </c>
      <c r="D477" s="11" t="n">
        <v>36.01</v>
      </c>
      <c r="E477" s="11" t="n">
        <v>38</v>
      </c>
      <c r="F477" s="11">
        <f>ROUND(D477-E477,2)</f>
        <v/>
      </c>
      <c r="G477" s="13">
        <f>IFERROR(ROUND(F477/E477,4),"")</f>
        <v/>
      </c>
      <c r="H477" s="14">
        <f>IF(D477=0,"NO DATA",IF(D477&gt;E477*1.5,"OVER",IF(D477&gt;E477*1.1,"HIGH",IF(D477&lt;E477*0.5,"LOW","OK"))))</f>
        <v/>
      </c>
    </row>
    <row r="478" ht="22" customHeight="1">
      <c r="B478" s="8" t="inlineStr">
        <is>
          <t>MTR-CTW-004</t>
        </is>
      </c>
      <c r="C478" s="8" t="inlineStr">
        <is>
          <t>2024-04-21</t>
        </is>
      </c>
      <c r="D478" s="12" t="n">
        <v>20.04</v>
      </c>
      <c r="E478" s="12" t="n">
        <v>38</v>
      </c>
      <c r="F478" s="12">
        <f>ROUND(D478-E478,2)</f>
        <v/>
      </c>
      <c r="G478" s="15">
        <f>IFERROR(ROUND(F478/E478,4),"")</f>
        <v/>
      </c>
      <c r="H478" s="16">
        <f>IF(D478=0,"NO DATA",IF(D478&gt;E478*1.5,"OVER",IF(D478&gt;E478*1.1,"HIGH",IF(D478&lt;E478*0.5,"LOW","OK"))))</f>
        <v/>
      </c>
    </row>
    <row r="479" ht="22" customHeight="1">
      <c r="B479" s="5" t="inlineStr">
        <is>
          <t>MTR-CTW-004</t>
        </is>
      </c>
      <c r="C479" s="5" t="inlineStr">
        <is>
          <t>2024-04-22</t>
        </is>
      </c>
      <c r="D479" s="11" t="n">
        <v>45.21</v>
      </c>
      <c r="E479" s="11" t="n">
        <v>38</v>
      </c>
      <c r="F479" s="11">
        <f>ROUND(D479-E479,2)</f>
        <v/>
      </c>
      <c r="G479" s="13">
        <f>IFERROR(ROUND(F479/E479,4),"")</f>
        <v/>
      </c>
      <c r="H479" s="14">
        <f>IF(D479=0,"NO DATA",IF(D479&gt;E479*1.5,"OVER",IF(D479&gt;E479*1.1,"HIGH",IF(D479&lt;E479*0.5,"LOW","OK"))))</f>
        <v/>
      </c>
    </row>
    <row r="480" ht="22" customHeight="1">
      <c r="B480" s="8" t="inlineStr">
        <is>
          <t>MTR-CTW-004</t>
        </is>
      </c>
      <c r="C480" s="8" t="inlineStr">
        <is>
          <t>2024-04-23</t>
        </is>
      </c>
      <c r="D480" s="12" t="n">
        <v>34.89</v>
      </c>
      <c r="E480" s="12" t="n">
        <v>38</v>
      </c>
      <c r="F480" s="12">
        <f>ROUND(D480-E480,2)</f>
        <v/>
      </c>
      <c r="G480" s="15">
        <f>IFERROR(ROUND(F480/E480,4),"")</f>
        <v/>
      </c>
      <c r="H480" s="16">
        <f>IF(D480=0,"NO DATA",IF(D480&gt;E480*1.5,"OVER",IF(D480&gt;E480*1.1,"HIGH",IF(D480&lt;E480*0.5,"LOW","OK"))))</f>
        <v/>
      </c>
    </row>
    <row r="481" ht="22" customHeight="1">
      <c r="B481" s="5" t="inlineStr">
        <is>
          <t>MTR-CTW-004</t>
        </is>
      </c>
      <c r="C481" s="5" t="inlineStr">
        <is>
          <t>2024-04-24</t>
        </is>
      </c>
      <c r="D481" s="11" t="n">
        <v>37.95</v>
      </c>
      <c r="E481" s="11" t="n">
        <v>38</v>
      </c>
      <c r="F481" s="11">
        <f>ROUND(D481-E481,2)</f>
        <v/>
      </c>
      <c r="G481" s="13">
        <f>IFERROR(ROUND(F481/E481,4),"")</f>
        <v/>
      </c>
      <c r="H481" s="14">
        <f>IF(D481=0,"NO DATA",IF(D481&gt;E481*1.5,"OVER",IF(D481&gt;E481*1.1,"HIGH",IF(D481&lt;E481*0.5,"LOW","OK"))))</f>
        <v/>
      </c>
    </row>
    <row r="482" ht="22" customHeight="1">
      <c r="B482" s="8" t="inlineStr">
        <is>
          <t>MTR-CTW-004</t>
        </is>
      </c>
      <c r="C482" s="8" t="inlineStr">
        <is>
          <t>2024-04-25</t>
        </is>
      </c>
      <c r="D482" s="12" t="n">
        <v>39.36</v>
      </c>
      <c r="E482" s="12" t="n">
        <v>38</v>
      </c>
      <c r="F482" s="12">
        <f>ROUND(D482-E482,2)</f>
        <v/>
      </c>
      <c r="G482" s="15">
        <f>IFERROR(ROUND(F482/E482,4),"")</f>
        <v/>
      </c>
      <c r="H482" s="16">
        <f>IF(D482=0,"NO DATA",IF(D482&gt;E482*1.5,"OVER",IF(D482&gt;E482*1.1,"HIGH",IF(D482&lt;E482*0.5,"LOW","OK"))))</f>
        <v/>
      </c>
    </row>
    <row r="483" ht="22" customHeight="1">
      <c r="B483" s="5" t="inlineStr">
        <is>
          <t>MTR-CTW-004</t>
        </is>
      </c>
      <c r="C483" s="5" t="inlineStr">
        <is>
          <t>2024-04-26</t>
        </is>
      </c>
      <c r="D483" s="11" t="n">
        <v>34.59</v>
      </c>
      <c r="E483" s="11" t="n">
        <v>38</v>
      </c>
      <c r="F483" s="11">
        <f>ROUND(D483-E483,2)</f>
        <v/>
      </c>
      <c r="G483" s="13">
        <f>IFERROR(ROUND(F483/E483,4),"")</f>
        <v/>
      </c>
      <c r="H483" s="14">
        <f>IF(D483=0,"NO DATA",IF(D483&gt;E483*1.5,"OVER",IF(D483&gt;E483*1.1,"HIGH",IF(D483&lt;E483*0.5,"LOW","OK"))))</f>
        <v/>
      </c>
    </row>
    <row r="484" ht="22" customHeight="1">
      <c r="B484" s="8" t="inlineStr">
        <is>
          <t>MTR-CTW-004</t>
        </is>
      </c>
      <c r="C484" s="8" t="inlineStr">
        <is>
          <t>2024-04-27</t>
        </is>
      </c>
      <c r="D484" s="12" t="n">
        <v>32.4</v>
      </c>
      <c r="E484" s="12" t="n">
        <v>38</v>
      </c>
      <c r="F484" s="12">
        <f>ROUND(D484-E484,2)</f>
        <v/>
      </c>
      <c r="G484" s="15">
        <f>IFERROR(ROUND(F484/E484,4),"")</f>
        <v/>
      </c>
      <c r="H484" s="16">
        <f>IF(D484=0,"NO DATA",IF(D484&gt;E484*1.5,"OVER",IF(D484&gt;E484*1.1,"HIGH",IF(D484&lt;E484*0.5,"LOW","OK"))))</f>
        <v/>
      </c>
    </row>
    <row r="485" ht="22" customHeight="1">
      <c r="B485" s="5" t="inlineStr">
        <is>
          <t>MTR-CTW-004</t>
        </is>
      </c>
      <c r="C485" s="5" t="inlineStr">
        <is>
          <t>2024-04-28</t>
        </is>
      </c>
      <c r="D485" s="11" t="n">
        <v>18.1</v>
      </c>
      <c r="E485" s="11" t="n">
        <v>38</v>
      </c>
      <c r="F485" s="11">
        <f>ROUND(D485-E485,2)</f>
        <v/>
      </c>
      <c r="G485" s="13">
        <f>IFERROR(ROUND(F485/E485,4),"")</f>
        <v/>
      </c>
      <c r="H485" s="14">
        <f>IF(D485=0,"NO DATA",IF(D485&gt;E485*1.5,"OVER",IF(D485&gt;E485*1.1,"HIGH",IF(D485&lt;E485*0.5,"LOW","OK"))))</f>
        <v/>
      </c>
    </row>
    <row r="486" ht="22" customHeight="1">
      <c r="B486" s="8" t="inlineStr">
        <is>
          <t>MTR-CTW-004</t>
        </is>
      </c>
      <c r="C486" s="8" t="inlineStr">
        <is>
          <t>2024-04-29</t>
        </is>
      </c>
      <c r="D486" s="12" t="n">
        <v>34.3</v>
      </c>
      <c r="E486" s="12" t="n">
        <v>38</v>
      </c>
      <c r="F486" s="12">
        <f>ROUND(D486-E486,2)</f>
        <v/>
      </c>
      <c r="G486" s="15">
        <f>IFERROR(ROUND(F486/E486,4),"")</f>
        <v/>
      </c>
      <c r="H486" s="16">
        <f>IF(D486=0,"NO DATA",IF(D486&gt;E486*1.5,"OVER",IF(D486&gt;E486*1.1,"HIGH",IF(D486&lt;E486*0.5,"LOW","OK"))))</f>
        <v/>
      </c>
    </row>
    <row r="487" ht="22" customHeight="1">
      <c r="B487" s="5" t="inlineStr">
        <is>
          <t>MTR-CTW-004</t>
        </is>
      </c>
      <c r="C487" s="5" t="inlineStr">
        <is>
          <t>2024-04-30</t>
        </is>
      </c>
      <c r="D487" s="11" t="n">
        <v>38.86</v>
      </c>
      <c r="E487" s="11" t="n">
        <v>38</v>
      </c>
      <c r="F487" s="11">
        <f>ROUND(D487-E487,2)</f>
        <v/>
      </c>
      <c r="G487" s="13">
        <f>IFERROR(ROUND(F487/E487,4),"")</f>
        <v/>
      </c>
      <c r="H487" s="14">
        <f>IF(D487=0,"NO DATA",IF(D487&gt;E487*1.5,"OVER",IF(D487&gt;E487*1.1,"HIGH",IF(D487&lt;E487*0.5,"LOW","OK"))))</f>
        <v/>
      </c>
    </row>
    <row r="488" ht="22" customHeight="1">
      <c r="B488" s="8" t="inlineStr">
        <is>
          <t>MTR-CTW-004</t>
        </is>
      </c>
      <c r="C488" s="8" t="inlineStr">
        <is>
          <t>2024-05-01</t>
        </is>
      </c>
      <c r="D488" s="12" t="n">
        <v>37.38</v>
      </c>
      <c r="E488" s="12" t="n">
        <v>38</v>
      </c>
      <c r="F488" s="12">
        <f>ROUND(D488-E488,2)</f>
        <v/>
      </c>
      <c r="G488" s="15">
        <f>IFERROR(ROUND(F488/E488,4),"")</f>
        <v/>
      </c>
      <c r="H488" s="16">
        <f>IF(D488=0,"NO DATA",IF(D488&gt;E488*1.5,"OVER",IF(D488&gt;E488*1.1,"HIGH",IF(D488&lt;E488*0.5,"LOW","OK"))))</f>
        <v/>
      </c>
    </row>
    <row r="489" ht="22" customHeight="1">
      <c r="B489" s="5" t="inlineStr">
        <is>
          <t>MTR-CTW-004</t>
        </is>
      </c>
      <c r="C489" s="5" t="inlineStr">
        <is>
          <t>2024-05-02</t>
        </is>
      </c>
      <c r="D489" s="11" t="n">
        <v>35.92</v>
      </c>
      <c r="E489" s="11" t="n">
        <v>38</v>
      </c>
      <c r="F489" s="11">
        <f>ROUND(D489-E489,2)</f>
        <v/>
      </c>
      <c r="G489" s="13">
        <f>IFERROR(ROUND(F489/E489,4),"")</f>
        <v/>
      </c>
      <c r="H489" s="14">
        <f>IF(D489=0,"NO DATA",IF(D489&gt;E489*1.5,"OVER",IF(D489&gt;E489*1.1,"HIGH",IF(D489&lt;E489*0.5,"LOW","OK"))))</f>
        <v/>
      </c>
    </row>
    <row r="490" ht="22" customHeight="1">
      <c r="B490" s="8" t="inlineStr">
        <is>
          <t>MTR-CTW-004</t>
        </is>
      </c>
      <c r="C490" s="8" t="inlineStr">
        <is>
          <t>2024-05-03</t>
        </is>
      </c>
      <c r="D490" s="12" t="n">
        <v>38.89</v>
      </c>
      <c r="E490" s="12" t="n">
        <v>38</v>
      </c>
      <c r="F490" s="12">
        <f>ROUND(D490-E490,2)</f>
        <v/>
      </c>
      <c r="G490" s="15">
        <f>IFERROR(ROUND(F490/E490,4),"")</f>
        <v/>
      </c>
      <c r="H490" s="16">
        <f>IF(D490=0,"NO DATA",IF(D490&gt;E490*1.5,"OVER",IF(D490&gt;E490*1.1,"HIGH",IF(D490&lt;E490*0.5,"LOW","OK"))))</f>
        <v/>
      </c>
    </row>
    <row r="491" ht="22" customHeight="1">
      <c r="B491" s="5" t="inlineStr">
        <is>
          <t>MTR-CTW-004</t>
        </is>
      </c>
      <c r="C491" s="5" t="inlineStr">
        <is>
          <t>2024-05-04</t>
        </is>
      </c>
      <c r="D491" s="11" t="n">
        <v>28.89</v>
      </c>
      <c r="E491" s="11" t="n">
        <v>38</v>
      </c>
      <c r="F491" s="11">
        <f>ROUND(D491-E491,2)</f>
        <v/>
      </c>
      <c r="G491" s="13">
        <f>IFERROR(ROUND(F491/E491,4),"")</f>
        <v/>
      </c>
      <c r="H491" s="14">
        <f>IF(D491=0,"NO DATA",IF(D491&gt;E491*1.5,"OVER",IF(D491&gt;E491*1.1,"HIGH",IF(D491&lt;E491*0.5,"LOW","OK"))))</f>
        <v/>
      </c>
    </row>
    <row r="492" ht="22" customHeight="1">
      <c r="B492" s="8" t="inlineStr">
        <is>
          <t>MTR-CTW-004</t>
        </is>
      </c>
      <c r="C492" s="8" t="inlineStr">
        <is>
          <t>2024-05-05</t>
        </is>
      </c>
      <c r="D492" s="12" t="n">
        <v>24.21</v>
      </c>
      <c r="E492" s="12" t="n">
        <v>38</v>
      </c>
      <c r="F492" s="12">
        <f>ROUND(D492-E492,2)</f>
        <v/>
      </c>
      <c r="G492" s="15">
        <f>IFERROR(ROUND(F492/E492,4),"")</f>
        <v/>
      </c>
      <c r="H492" s="16">
        <f>IF(D492=0,"NO DATA",IF(D492&gt;E492*1.5,"OVER",IF(D492&gt;E492*1.1,"HIGH",IF(D492&lt;E492*0.5,"LOW","OK"))))</f>
        <v/>
      </c>
    </row>
    <row r="493" ht="22" customHeight="1">
      <c r="B493" s="5" t="inlineStr">
        <is>
          <t>MTR-CTW-004</t>
        </is>
      </c>
      <c r="C493" s="5" t="inlineStr">
        <is>
          <t>2024-05-06</t>
        </is>
      </c>
      <c r="D493" s="11" t="n">
        <v>41.22</v>
      </c>
      <c r="E493" s="11" t="n">
        <v>38</v>
      </c>
      <c r="F493" s="11">
        <f>ROUND(D493-E493,2)</f>
        <v/>
      </c>
      <c r="G493" s="13">
        <f>IFERROR(ROUND(F493/E493,4),"")</f>
        <v/>
      </c>
      <c r="H493" s="14">
        <f>IF(D493=0,"NO DATA",IF(D493&gt;E493*1.5,"OVER",IF(D493&gt;E493*1.1,"HIGH",IF(D493&lt;E493*0.5,"LOW","OK"))))</f>
        <v/>
      </c>
    </row>
    <row r="494" ht="22" customHeight="1">
      <c r="B494" s="8" t="inlineStr">
        <is>
          <t>MTR-CTW-004</t>
        </is>
      </c>
      <c r="C494" s="8" t="inlineStr">
        <is>
          <t>2024-05-07</t>
        </is>
      </c>
      <c r="D494" s="12" t="n">
        <v>40.03</v>
      </c>
      <c r="E494" s="12" t="n">
        <v>38</v>
      </c>
      <c r="F494" s="12">
        <f>ROUND(D494-E494,2)</f>
        <v/>
      </c>
      <c r="G494" s="15">
        <f>IFERROR(ROUND(F494/E494,4),"")</f>
        <v/>
      </c>
      <c r="H494" s="16">
        <f>IF(D494=0,"NO DATA",IF(D494&gt;E494*1.5,"OVER",IF(D494&gt;E494*1.1,"HIGH",IF(D494&lt;E494*0.5,"LOW","OK"))))</f>
        <v/>
      </c>
    </row>
    <row r="495" ht="22" customHeight="1">
      <c r="B495" s="5" t="inlineStr">
        <is>
          <t>MTR-CTW-004</t>
        </is>
      </c>
      <c r="C495" s="5" t="inlineStr">
        <is>
          <t>2024-05-08</t>
        </is>
      </c>
      <c r="D495" s="11" t="n">
        <v>43.92</v>
      </c>
      <c r="E495" s="11" t="n">
        <v>38</v>
      </c>
      <c r="F495" s="11">
        <f>ROUND(D495-E495,2)</f>
        <v/>
      </c>
      <c r="G495" s="13">
        <f>IFERROR(ROUND(F495/E495,4),"")</f>
        <v/>
      </c>
      <c r="H495" s="14">
        <f>IF(D495=0,"NO DATA",IF(D495&gt;E495*1.5,"OVER",IF(D495&gt;E495*1.1,"HIGH",IF(D495&lt;E495*0.5,"LOW","OK"))))</f>
        <v/>
      </c>
    </row>
    <row r="496" ht="22" customHeight="1">
      <c r="B496" s="8" t="inlineStr">
        <is>
          <t>MTR-CTW-004</t>
        </is>
      </c>
      <c r="C496" s="8" t="inlineStr">
        <is>
          <t>2024-05-09</t>
        </is>
      </c>
      <c r="D496" s="12" t="n">
        <v>43.61</v>
      </c>
      <c r="E496" s="12" t="n">
        <v>38</v>
      </c>
      <c r="F496" s="12">
        <f>ROUND(D496-E496,2)</f>
        <v/>
      </c>
      <c r="G496" s="15">
        <f>IFERROR(ROUND(F496/E496,4),"")</f>
        <v/>
      </c>
      <c r="H496" s="16">
        <f>IF(D496=0,"NO DATA",IF(D496&gt;E496*1.5,"OVER",IF(D496&gt;E496*1.1,"HIGH",IF(D496&lt;E496*0.5,"LOW","OK"))))</f>
        <v/>
      </c>
    </row>
    <row r="497" ht="22" customHeight="1">
      <c r="B497" s="5" t="inlineStr">
        <is>
          <t>MTR-CTW-004</t>
        </is>
      </c>
      <c r="C497" s="5" t="inlineStr">
        <is>
          <t>2024-05-10</t>
        </is>
      </c>
      <c r="D497" s="11" t="n">
        <v>47.3</v>
      </c>
      <c r="E497" s="11" t="n">
        <v>38</v>
      </c>
      <c r="F497" s="11">
        <f>ROUND(D497-E497,2)</f>
        <v/>
      </c>
      <c r="G497" s="13">
        <f>IFERROR(ROUND(F497/E497,4),"")</f>
        <v/>
      </c>
      <c r="H497" s="14">
        <f>IF(D497=0,"NO DATA",IF(D497&gt;E497*1.5,"OVER",IF(D497&gt;E497*1.1,"HIGH",IF(D497&lt;E497*0.5,"LOW","OK"))))</f>
        <v/>
      </c>
    </row>
    <row r="498" ht="22" customHeight="1">
      <c r="B498" s="8" t="inlineStr">
        <is>
          <t>MTR-CTW-004</t>
        </is>
      </c>
      <c r="C498" s="8" t="inlineStr">
        <is>
          <t>2024-05-11</t>
        </is>
      </c>
      <c r="D498" s="12" t="n">
        <v>30.24</v>
      </c>
      <c r="E498" s="12" t="n">
        <v>38</v>
      </c>
      <c r="F498" s="12">
        <f>ROUND(D498-E498,2)</f>
        <v/>
      </c>
      <c r="G498" s="15">
        <f>IFERROR(ROUND(F498/E498,4),"")</f>
        <v/>
      </c>
      <c r="H498" s="16">
        <f>IF(D498=0,"NO DATA",IF(D498&gt;E498*1.5,"OVER",IF(D498&gt;E498*1.1,"HIGH",IF(D498&lt;E498*0.5,"LOW","OK"))))</f>
        <v/>
      </c>
    </row>
    <row r="499" ht="22" customHeight="1">
      <c r="B499" s="5" t="inlineStr">
        <is>
          <t>MTR-CTW-004</t>
        </is>
      </c>
      <c r="C499" s="5" t="inlineStr">
        <is>
          <t>2024-05-12</t>
        </is>
      </c>
      <c r="D499" s="11" t="n">
        <v>23.99</v>
      </c>
      <c r="E499" s="11" t="n">
        <v>38</v>
      </c>
      <c r="F499" s="11">
        <f>ROUND(D499-E499,2)</f>
        <v/>
      </c>
      <c r="G499" s="13">
        <f>IFERROR(ROUND(F499/E499,4),"")</f>
        <v/>
      </c>
      <c r="H499" s="14">
        <f>IF(D499=0,"NO DATA",IF(D499&gt;E499*1.5,"OVER",IF(D499&gt;E499*1.1,"HIGH",IF(D499&lt;E499*0.5,"LOW","OK"))))</f>
        <v/>
      </c>
    </row>
    <row r="500" ht="22" customHeight="1">
      <c r="B500" s="8" t="inlineStr">
        <is>
          <t>MTR-CTW-004</t>
        </is>
      </c>
      <c r="C500" s="8" t="inlineStr">
        <is>
          <t>2024-05-13</t>
        </is>
      </c>
      <c r="D500" s="12" t="n">
        <v>40.06</v>
      </c>
      <c r="E500" s="12" t="n">
        <v>38</v>
      </c>
      <c r="F500" s="12">
        <f>ROUND(D500-E500,2)</f>
        <v/>
      </c>
      <c r="G500" s="15">
        <f>IFERROR(ROUND(F500/E500,4),"")</f>
        <v/>
      </c>
      <c r="H500" s="16">
        <f>IF(D500=0,"NO DATA",IF(D500&gt;E500*1.5,"OVER",IF(D500&gt;E500*1.1,"HIGH",IF(D500&lt;E500*0.5,"LOW","OK"))))</f>
        <v/>
      </c>
    </row>
    <row r="501" ht="22" customHeight="1">
      <c r="B501" s="5" t="inlineStr">
        <is>
          <t>MTR-CTW-004</t>
        </is>
      </c>
      <c r="C501" s="5" t="inlineStr">
        <is>
          <t>2024-05-14</t>
        </is>
      </c>
      <c r="D501" s="11" t="n">
        <v>46.15</v>
      </c>
      <c r="E501" s="11" t="n">
        <v>38</v>
      </c>
      <c r="F501" s="11">
        <f>ROUND(D501-E501,2)</f>
        <v/>
      </c>
      <c r="G501" s="13">
        <f>IFERROR(ROUND(F501/E501,4),"")</f>
        <v/>
      </c>
      <c r="H501" s="14">
        <f>IF(D501=0,"NO DATA",IF(D501&gt;E501*1.5,"OVER",IF(D501&gt;E501*1.1,"HIGH",IF(D501&lt;E501*0.5,"LOW","OK"))))</f>
        <v/>
      </c>
    </row>
    <row r="502" ht="22" customHeight="1">
      <c r="B502" s="8" t="inlineStr">
        <is>
          <t>MTR-CTW-004</t>
        </is>
      </c>
      <c r="C502" s="8" t="inlineStr">
        <is>
          <t>2024-05-15</t>
        </is>
      </c>
      <c r="D502" s="12" t="n">
        <v>44.88</v>
      </c>
      <c r="E502" s="12" t="n">
        <v>38</v>
      </c>
      <c r="F502" s="12">
        <f>ROUND(D502-E502,2)</f>
        <v/>
      </c>
      <c r="G502" s="15">
        <f>IFERROR(ROUND(F502/E502,4),"")</f>
        <v/>
      </c>
      <c r="H502" s="16">
        <f>IF(D502=0,"NO DATA",IF(D502&gt;E502*1.5,"OVER",IF(D502&gt;E502*1.1,"HIGH",IF(D502&lt;E502*0.5,"LOW","OK"))))</f>
        <v/>
      </c>
    </row>
    <row r="503" ht="22" customHeight="1">
      <c r="B503" s="5" t="inlineStr">
        <is>
          <t>MTR-CTW-004</t>
        </is>
      </c>
      <c r="C503" s="5" t="inlineStr">
        <is>
          <t>2024-05-16</t>
        </is>
      </c>
      <c r="D503" s="11" t="n">
        <v>36.02</v>
      </c>
      <c r="E503" s="11" t="n">
        <v>38</v>
      </c>
      <c r="F503" s="11">
        <f>ROUND(D503-E503,2)</f>
        <v/>
      </c>
      <c r="G503" s="13">
        <f>IFERROR(ROUND(F503/E503,4),"")</f>
        <v/>
      </c>
      <c r="H503" s="14">
        <f>IF(D503=0,"NO DATA",IF(D503&gt;E503*1.5,"OVER",IF(D503&gt;E503*1.1,"HIGH",IF(D503&lt;E503*0.5,"LOW","OK"))))</f>
        <v/>
      </c>
    </row>
    <row r="504" ht="22" customHeight="1">
      <c r="B504" s="8" t="inlineStr">
        <is>
          <t>MTR-CTW-004</t>
        </is>
      </c>
      <c r="C504" s="8" t="inlineStr">
        <is>
          <t>2024-05-17</t>
        </is>
      </c>
      <c r="D504" s="12" t="n">
        <v>35.64</v>
      </c>
      <c r="E504" s="12" t="n">
        <v>38</v>
      </c>
      <c r="F504" s="12">
        <f>ROUND(D504-E504,2)</f>
        <v/>
      </c>
      <c r="G504" s="15">
        <f>IFERROR(ROUND(F504/E504,4),"")</f>
        <v/>
      </c>
      <c r="H504" s="16">
        <f>IF(D504=0,"NO DATA",IF(D504&gt;E504*1.5,"OVER",IF(D504&gt;E504*1.1,"HIGH",IF(D504&lt;E504*0.5,"LOW","OK"))))</f>
        <v/>
      </c>
    </row>
    <row r="505" ht="22" customHeight="1">
      <c r="B505" s="5" t="inlineStr">
        <is>
          <t>MTR-CTW-004</t>
        </is>
      </c>
      <c r="C505" s="5" t="inlineStr">
        <is>
          <t>2024-05-18</t>
        </is>
      </c>
      <c r="D505" s="11" t="n">
        <v>29.7</v>
      </c>
      <c r="E505" s="11" t="n">
        <v>38</v>
      </c>
      <c r="F505" s="11">
        <f>ROUND(D505-E505,2)</f>
        <v/>
      </c>
      <c r="G505" s="13">
        <f>IFERROR(ROUND(F505/E505,4),"")</f>
        <v/>
      </c>
      <c r="H505" s="14">
        <f>IF(D505=0,"NO DATA",IF(D505&gt;E505*1.5,"OVER",IF(D505&gt;E505*1.1,"HIGH",IF(D505&lt;E505*0.5,"LOW","OK"))))</f>
        <v/>
      </c>
    </row>
    <row r="506" ht="22" customHeight="1">
      <c r="B506" s="8" t="inlineStr">
        <is>
          <t>MTR-CTW-004</t>
        </is>
      </c>
      <c r="C506" s="8" t="inlineStr">
        <is>
          <t>2024-05-19</t>
        </is>
      </c>
      <c r="D506" s="12" t="n">
        <v>19.98</v>
      </c>
      <c r="E506" s="12" t="n">
        <v>38</v>
      </c>
      <c r="F506" s="12">
        <f>ROUND(D506-E506,2)</f>
        <v/>
      </c>
      <c r="G506" s="15">
        <f>IFERROR(ROUND(F506/E506,4),"")</f>
        <v/>
      </c>
      <c r="H506" s="16">
        <f>IF(D506=0,"NO DATA",IF(D506&gt;E506*1.5,"OVER",IF(D506&gt;E506*1.1,"HIGH",IF(D506&lt;E506*0.5,"LOW","OK"))))</f>
        <v/>
      </c>
    </row>
    <row r="507" ht="22" customHeight="1">
      <c r="B507" s="5" t="inlineStr">
        <is>
          <t>MTR-CTW-004</t>
        </is>
      </c>
      <c r="C507" s="5" t="inlineStr">
        <is>
          <t>2024-05-20</t>
        </is>
      </c>
      <c r="D507" s="11" t="n">
        <v>42.88</v>
      </c>
      <c r="E507" s="11" t="n">
        <v>38</v>
      </c>
      <c r="F507" s="11">
        <f>ROUND(D507-E507,2)</f>
        <v/>
      </c>
      <c r="G507" s="13">
        <f>IFERROR(ROUND(F507/E507,4),"")</f>
        <v/>
      </c>
      <c r="H507" s="14">
        <f>IF(D507=0,"NO DATA",IF(D507&gt;E507*1.5,"OVER",IF(D507&gt;E507*1.1,"HIGH",IF(D507&lt;E507*0.5,"LOW","OK"))))</f>
        <v/>
      </c>
    </row>
    <row r="508" ht="22" customHeight="1">
      <c r="B508" s="8" t="inlineStr">
        <is>
          <t>MTR-CTW-004</t>
        </is>
      </c>
      <c r="C508" s="8" t="inlineStr">
        <is>
          <t>2024-05-21</t>
        </is>
      </c>
      <c r="D508" s="12" t="n">
        <v>38.58</v>
      </c>
      <c r="E508" s="12" t="n">
        <v>38</v>
      </c>
      <c r="F508" s="12">
        <f>ROUND(D508-E508,2)</f>
        <v/>
      </c>
      <c r="G508" s="15">
        <f>IFERROR(ROUND(F508/E508,4),"")</f>
        <v/>
      </c>
      <c r="H508" s="16">
        <f>IF(D508=0,"NO DATA",IF(D508&gt;E508*1.5,"OVER",IF(D508&gt;E508*1.1,"HIGH",IF(D508&lt;E508*0.5,"LOW","OK"))))</f>
        <v/>
      </c>
    </row>
    <row r="509" ht="22" customHeight="1">
      <c r="B509" s="5" t="inlineStr">
        <is>
          <t>MTR-CTW-004</t>
        </is>
      </c>
      <c r="C509" s="5" t="inlineStr">
        <is>
          <t>2024-05-22</t>
        </is>
      </c>
      <c r="D509" s="11" t="n">
        <v>41.7</v>
      </c>
      <c r="E509" s="11" t="n">
        <v>38</v>
      </c>
      <c r="F509" s="11">
        <f>ROUND(D509-E509,2)</f>
        <v/>
      </c>
      <c r="G509" s="13">
        <f>IFERROR(ROUND(F509/E509,4),"")</f>
        <v/>
      </c>
      <c r="H509" s="14">
        <f>IF(D509=0,"NO DATA",IF(D509&gt;E509*1.5,"OVER",IF(D509&gt;E509*1.1,"HIGH",IF(D509&lt;E509*0.5,"LOW","OK"))))</f>
        <v/>
      </c>
    </row>
    <row r="510" ht="22" customHeight="1">
      <c r="B510" s="8" t="inlineStr">
        <is>
          <t>MTR-CTW-004</t>
        </is>
      </c>
      <c r="C510" s="8" t="inlineStr">
        <is>
          <t>2024-05-23</t>
        </is>
      </c>
      <c r="D510" s="12" t="n">
        <v>39.24</v>
      </c>
      <c r="E510" s="12" t="n">
        <v>38</v>
      </c>
      <c r="F510" s="12">
        <f>ROUND(D510-E510,2)</f>
        <v/>
      </c>
      <c r="G510" s="15">
        <f>IFERROR(ROUND(F510/E510,4),"")</f>
        <v/>
      </c>
      <c r="H510" s="16">
        <f>IF(D510=0,"NO DATA",IF(D510&gt;E510*1.5,"OVER",IF(D510&gt;E510*1.1,"HIGH",IF(D510&lt;E510*0.5,"LOW","OK"))))</f>
        <v/>
      </c>
    </row>
    <row r="511" ht="22" customHeight="1">
      <c r="B511" s="5" t="inlineStr">
        <is>
          <t>MTR-CTW-004</t>
        </is>
      </c>
      <c r="C511" s="5" t="inlineStr">
        <is>
          <t>2024-05-24</t>
        </is>
      </c>
      <c r="D511" s="11" t="n">
        <v>37.15</v>
      </c>
      <c r="E511" s="11" t="n">
        <v>38</v>
      </c>
      <c r="F511" s="11">
        <f>ROUND(D511-E511,2)</f>
        <v/>
      </c>
      <c r="G511" s="13">
        <f>IFERROR(ROUND(F511/E511,4),"")</f>
        <v/>
      </c>
      <c r="H511" s="14">
        <f>IF(D511=0,"NO DATA",IF(D511&gt;E511*1.5,"OVER",IF(D511&gt;E511*1.1,"HIGH",IF(D511&lt;E511*0.5,"LOW","OK"))))</f>
        <v/>
      </c>
    </row>
    <row r="512" ht="22" customHeight="1">
      <c r="B512" s="8" t="inlineStr">
        <is>
          <t>MTR-CTW-004</t>
        </is>
      </c>
      <c r="C512" s="8" t="inlineStr">
        <is>
          <t>2024-05-25</t>
        </is>
      </c>
      <c r="D512" s="12" t="n">
        <v>28.76</v>
      </c>
      <c r="E512" s="12" t="n">
        <v>38</v>
      </c>
      <c r="F512" s="12">
        <f>ROUND(D512-E512,2)</f>
        <v/>
      </c>
      <c r="G512" s="15">
        <f>IFERROR(ROUND(F512/E512,4),"")</f>
        <v/>
      </c>
      <c r="H512" s="16">
        <f>IF(D512=0,"NO DATA",IF(D512&gt;E512*1.5,"OVER",IF(D512&gt;E512*1.1,"HIGH",IF(D512&lt;E512*0.5,"LOW","OK"))))</f>
        <v/>
      </c>
    </row>
    <row r="513" ht="22" customHeight="1">
      <c r="B513" s="5" t="inlineStr">
        <is>
          <t>MTR-CTW-004</t>
        </is>
      </c>
      <c r="C513" s="5" t="inlineStr">
        <is>
          <t>2024-05-26</t>
        </is>
      </c>
      <c r="D513" s="11" t="n">
        <v>20.18</v>
      </c>
      <c r="E513" s="11" t="n">
        <v>38</v>
      </c>
      <c r="F513" s="11">
        <f>ROUND(D513-E513,2)</f>
        <v/>
      </c>
      <c r="G513" s="13">
        <f>IFERROR(ROUND(F513/E513,4),"")</f>
        <v/>
      </c>
      <c r="H513" s="14">
        <f>IF(D513=0,"NO DATA",IF(D513&gt;E513*1.5,"OVER",IF(D513&gt;E513*1.1,"HIGH",IF(D513&lt;E513*0.5,"LOW","OK"))))</f>
        <v/>
      </c>
    </row>
    <row r="514" ht="22" customHeight="1">
      <c r="B514" s="8" t="inlineStr">
        <is>
          <t>MTR-CTW-004</t>
        </is>
      </c>
      <c r="C514" s="8" t="inlineStr">
        <is>
          <t>2024-05-27</t>
        </is>
      </c>
      <c r="D514" s="12" t="n">
        <v>41.11</v>
      </c>
      <c r="E514" s="12" t="n">
        <v>38</v>
      </c>
      <c r="F514" s="12">
        <f>ROUND(D514-E514,2)</f>
        <v/>
      </c>
      <c r="G514" s="15">
        <f>IFERROR(ROUND(F514/E514,4),"")</f>
        <v/>
      </c>
      <c r="H514" s="16">
        <f>IF(D514=0,"NO DATA",IF(D514&gt;E514*1.5,"OVER",IF(D514&gt;E514*1.1,"HIGH",IF(D514&lt;E514*0.5,"LOW","OK"))))</f>
        <v/>
      </c>
    </row>
    <row r="515" ht="22" customHeight="1">
      <c r="B515" s="5" t="inlineStr">
        <is>
          <t>MTR-CTW-004</t>
        </is>
      </c>
      <c r="C515" s="5" t="inlineStr">
        <is>
          <t>2024-05-28</t>
        </is>
      </c>
      <c r="D515" s="11" t="n">
        <v>36.25</v>
      </c>
      <c r="E515" s="11" t="n">
        <v>38</v>
      </c>
      <c r="F515" s="11">
        <f>ROUND(D515-E515,2)</f>
        <v/>
      </c>
      <c r="G515" s="13">
        <f>IFERROR(ROUND(F515/E515,4),"")</f>
        <v/>
      </c>
      <c r="H515" s="14">
        <f>IF(D515=0,"NO DATA",IF(D515&gt;E515*1.5,"OVER",IF(D515&gt;E515*1.1,"HIGH",IF(D515&lt;E515*0.5,"LOW","OK"))))</f>
        <v/>
      </c>
    </row>
    <row r="516" ht="22" customHeight="1">
      <c r="B516" s="8" t="inlineStr">
        <is>
          <t>MTR-CTW-004</t>
        </is>
      </c>
      <c r="C516" s="8" t="inlineStr">
        <is>
          <t>2024-05-29</t>
        </is>
      </c>
      <c r="D516" s="12" t="n">
        <v>42.58</v>
      </c>
      <c r="E516" s="12" t="n">
        <v>38</v>
      </c>
      <c r="F516" s="12">
        <f>ROUND(D516-E516,2)</f>
        <v/>
      </c>
      <c r="G516" s="15">
        <f>IFERROR(ROUND(F516/E516,4),"")</f>
        <v/>
      </c>
      <c r="H516" s="16">
        <f>IF(D516=0,"NO DATA",IF(D516&gt;E516*1.5,"OVER",IF(D516&gt;E516*1.1,"HIGH",IF(D516&lt;E516*0.5,"LOW","OK"))))</f>
        <v/>
      </c>
    </row>
    <row r="517" ht="22" customHeight="1">
      <c r="B517" s="5" t="inlineStr">
        <is>
          <t>MTR-CTW-004</t>
        </is>
      </c>
      <c r="C517" s="5" t="inlineStr">
        <is>
          <t>2024-05-30</t>
        </is>
      </c>
      <c r="D517" s="11" t="n">
        <v>36.75</v>
      </c>
      <c r="E517" s="11" t="n">
        <v>38</v>
      </c>
      <c r="F517" s="11">
        <f>ROUND(D517-E517,2)</f>
        <v/>
      </c>
      <c r="G517" s="13">
        <f>IFERROR(ROUND(F517/E517,4),"")</f>
        <v/>
      </c>
      <c r="H517" s="14">
        <f>IF(D517=0,"NO DATA",IF(D517&gt;E517*1.5,"OVER",IF(D517&gt;E517*1.1,"HIGH",IF(D517&lt;E517*0.5,"LOW","OK"))))</f>
        <v/>
      </c>
    </row>
    <row r="518" ht="22" customHeight="1">
      <c r="B518" s="8" t="inlineStr">
        <is>
          <t>MTR-CTW-004</t>
        </is>
      </c>
      <c r="C518" s="8" t="inlineStr">
        <is>
          <t>2024-05-31</t>
        </is>
      </c>
      <c r="D518" s="12" t="n">
        <v>42.46</v>
      </c>
      <c r="E518" s="12" t="n">
        <v>38</v>
      </c>
      <c r="F518" s="12">
        <f>ROUND(D518-E518,2)</f>
        <v/>
      </c>
      <c r="G518" s="15">
        <f>IFERROR(ROUND(F518/E518,4),"")</f>
        <v/>
      </c>
      <c r="H518" s="16">
        <f>IF(D518=0,"NO DATA",IF(D518&gt;E518*1.5,"OVER",IF(D518&gt;E518*1.1,"HIGH",IF(D518&lt;E518*0.5,"LOW","OK"))))</f>
        <v/>
      </c>
    </row>
    <row r="519" ht="22" customHeight="1">
      <c r="B519" s="5" t="inlineStr">
        <is>
          <t>MTR-CTW-004</t>
        </is>
      </c>
      <c r="C519" s="5" t="inlineStr">
        <is>
          <t>2024-06-01</t>
        </is>
      </c>
      <c r="D519" s="11" t="n">
        <v>38.94</v>
      </c>
      <c r="E519" s="11" t="n">
        <v>38</v>
      </c>
      <c r="F519" s="11">
        <f>ROUND(D519-E519,2)</f>
        <v/>
      </c>
      <c r="G519" s="13">
        <f>IFERROR(ROUND(F519/E519,4),"")</f>
        <v/>
      </c>
      <c r="H519" s="14">
        <f>IF(D519=0,"NO DATA",IF(D519&gt;E519*1.5,"OVER",IF(D519&gt;E519*1.1,"HIGH",IF(D519&lt;E519*0.5,"LOW","OK"))))</f>
        <v/>
      </c>
    </row>
    <row r="520" ht="22" customHeight="1">
      <c r="B520" s="8" t="inlineStr">
        <is>
          <t>MTR-CTW-004</t>
        </is>
      </c>
      <c r="C520" s="8" t="inlineStr">
        <is>
          <t>2024-06-02</t>
        </is>
      </c>
      <c r="D520" s="12" t="n">
        <v>23.43</v>
      </c>
      <c r="E520" s="12" t="n">
        <v>38</v>
      </c>
      <c r="F520" s="12">
        <f>ROUND(D520-E520,2)</f>
        <v/>
      </c>
      <c r="G520" s="15">
        <f>IFERROR(ROUND(F520/E520,4),"")</f>
        <v/>
      </c>
      <c r="H520" s="16">
        <f>IF(D520=0,"NO DATA",IF(D520&gt;E520*1.5,"OVER",IF(D520&gt;E520*1.1,"HIGH",IF(D520&lt;E520*0.5,"LOW","OK"))))</f>
        <v/>
      </c>
    </row>
    <row r="521" ht="22" customHeight="1">
      <c r="B521" s="5" t="inlineStr">
        <is>
          <t>MTR-CTW-004</t>
        </is>
      </c>
      <c r="C521" s="5" t="inlineStr">
        <is>
          <t>2024-06-03</t>
        </is>
      </c>
      <c r="D521" s="11" t="n">
        <v>44.39</v>
      </c>
      <c r="E521" s="11" t="n">
        <v>38</v>
      </c>
      <c r="F521" s="11">
        <f>ROUND(D521-E521,2)</f>
        <v/>
      </c>
      <c r="G521" s="13">
        <f>IFERROR(ROUND(F521/E521,4),"")</f>
        <v/>
      </c>
      <c r="H521" s="14">
        <f>IF(D521=0,"NO DATA",IF(D521&gt;E521*1.5,"OVER",IF(D521&gt;E521*1.1,"HIGH",IF(D521&lt;E521*0.5,"LOW","OK"))))</f>
        <v/>
      </c>
    </row>
    <row r="522" ht="22" customHeight="1">
      <c r="B522" s="8" t="inlineStr">
        <is>
          <t>MTR-CTW-004</t>
        </is>
      </c>
      <c r="C522" s="8" t="inlineStr">
        <is>
          <t>2024-06-04</t>
        </is>
      </c>
      <c r="D522" s="12" t="n">
        <v>42.37</v>
      </c>
      <c r="E522" s="12" t="n">
        <v>38</v>
      </c>
      <c r="F522" s="12">
        <f>ROUND(D522-E522,2)</f>
        <v/>
      </c>
      <c r="G522" s="15">
        <f>IFERROR(ROUND(F522/E522,4),"")</f>
        <v/>
      </c>
      <c r="H522" s="16">
        <f>IF(D522=0,"NO DATA",IF(D522&gt;E522*1.5,"OVER",IF(D522&gt;E522*1.1,"HIGH",IF(D522&lt;E522*0.5,"LOW","OK"))))</f>
        <v/>
      </c>
    </row>
    <row r="523" ht="22" customHeight="1">
      <c r="B523" s="5" t="inlineStr">
        <is>
          <t>MTR-CTW-004</t>
        </is>
      </c>
      <c r="C523" s="5" t="inlineStr">
        <is>
          <t>2024-06-05</t>
        </is>
      </c>
      <c r="D523" s="11" t="n">
        <v>37.57</v>
      </c>
      <c r="E523" s="11" t="n">
        <v>38</v>
      </c>
      <c r="F523" s="11">
        <f>ROUND(D523-E523,2)</f>
        <v/>
      </c>
      <c r="G523" s="13">
        <f>IFERROR(ROUND(F523/E523,4),"")</f>
        <v/>
      </c>
      <c r="H523" s="14">
        <f>IF(D523=0,"NO DATA",IF(D523&gt;E523*1.5,"OVER",IF(D523&gt;E523*1.1,"HIGH",IF(D523&lt;E523*0.5,"LOW","OK"))))</f>
        <v/>
      </c>
    </row>
    <row r="524" ht="22" customHeight="1">
      <c r="B524" s="8" t="inlineStr">
        <is>
          <t>MTR-CTW-004</t>
        </is>
      </c>
      <c r="C524" s="8" t="inlineStr">
        <is>
          <t>2024-06-06</t>
        </is>
      </c>
      <c r="D524" s="12" t="n">
        <v>44.07</v>
      </c>
      <c r="E524" s="12" t="n">
        <v>38</v>
      </c>
      <c r="F524" s="12">
        <f>ROUND(D524-E524,2)</f>
        <v/>
      </c>
      <c r="G524" s="15">
        <f>IFERROR(ROUND(F524/E524,4),"")</f>
        <v/>
      </c>
      <c r="H524" s="16">
        <f>IF(D524=0,"NO DATA",IF(D524&gt;E524*1.5,"OVER",IF(D524&gt;E524*1.1,"HIGH",IF(D524&lt;E524*0.5,"LOW","OK"))))</f>
        <v/>
      </c>
    </row>
    <row r="525" ht="22" customHeight="1">
      <c r="B525" s="5" t="inlineStr">
        <is>
          <t>MTR-CTW-004</t>
        </is>
      </c>
      <c r="C525" s="5" t="inlineStr">
        <is>
          <t>2024-06-07</t>
        </is>
      </c>
      <c r="D525" s="11" t="n">
        <v>46.46</v>
      </c>
      <c r="E525" s="11" t="n">
        <v>38</v>
      </c>
      <c r="F525" s="11">
        <f>ROUND(D525-E525,2)</f>
        <v/>
      </c>
      <c r="G525" s="13">
        <f>IFERROR(ROUND(F525/E525,4),"")</f>
        <v/>
      </c>
      <c r="H525" s="14">
        <f>IF(D525=0,"NO DATA",IF(D525&gt;E525*1.5,"OVER",IF(D525&gt;E525*1.1,"HIGH",IF(D525&lt;E525*0.5,"LOW","OK"))))</f>
        <v/>
      </c>
    </row>
    <row r="526" ht="22" customHeight="1">
      <c r="B526" s="8" t="inlineStr">
        <is>
          <t>MTR-CTW-004</t>
        </is>
      </c>
      <c r="C526" s="8" t="inlineStr">
        <is>
          <t>2024-06-08</t>
        </is>
      </c>
      <c r="D526" s="12" t="n">
        <v>38.9</v>
      </c>
      <c r="E526" s="12" t="n">
        <v>38</v>
      </c>
      <c r="F526" s="12">
        <f>ROUND(D526-E526,2)</f>
        <v/>
      </c>
      <c r="G526" s="15">
        <f>IFERROR(ROUND(F526/E526,4),"")</f>
        <v/>
      </c>
      <c r="H526" s="16">
        <f>IF(D526=0,"NO DATA",IF(D526&gt;E526*1.5,"OVER",IF(D526&gt;E526*1.1,"HIGH",IF(D526&lt;E526*0.5,"LOW","OK"))))</f>
        <v/>
      </c>
    </row>
    <row r="527" ht="22" customHeight="1">
      <c r="B527" s="5" t="inlineStr">
        <is>
          <t>MTR-CTW-004</t>
        </is>
      </c>
      <c r="C527" s="5" t="inlineStr">
        <is>
          <t>2024-06-09</t>
        </is>
      </c>
      <c r="D527" s="11" t="n">
        <v>22.96</v>
      </c>
      <c r="E527" s="11" t="n">
        <v>38</v>
      </c>
      <c r="F527" s="11">
        <f>ROUND(D527-E527,2)</f>
        <v/>
      </c>
      <c r="G527" s="13">
        <f>IFERROR(ROUND(F527/E527,4),"")</f>
        <v/>
      </c>
      <c r="H527" s="14">
        <f>IF(D527=0,"NO DATA",IF(D527&gt;E527*1.5,"OVER",IF(D527&gt;E527*1.1,"HIGH",IF(D527&lt;E527*0.5,"LOW","OK"))))</f>
        <v/>
      </c>
    </row>
    <row r="528" ht="22" customHeight="1">
      <c r="B528" s="8" t="inlineStr">
        <is>
          <t>MTR-CTW-004</t>
        </is>
      </c>
      <c r="C528" s="8" t="inlineStr">
        <is>
          <t>2024-06-10</t>
        </is>
      </c>
      <c r="D528" s="12" t="n">
        <v>41.2</v>
      </c>
      <c r="E528" s="12" t="n">
        <v>38</v>
      </c>
      <c r="F528" s="12">
        <f>ROUND(D528-E528,2)</f>
        <v/>
      </c>
      <c r="G528" s="15">
        <f>IFERROR(ROUND(F528/E528,4),"")</f>
        <v/>
      </c>
      <c r="H528" s="16">
        <f>IF(D528=0,"NO DATA",IF(D528&gt;E528*1.5,"OVER",IF(D528&gt;E528*1.1,"HIGH",IF(D528&lt;E528*0.5,"LOW","OK"))))</f>
        <v/>
      </c>
    </row>
    <row r="529" ht="22" customHeight="1">
      <c r="B529" s="5" t="inlineStr">
        <is>
          <t>MTR-CTW-004</t>
        </is>
      </c>
      <c r="C529" s="5" t="inlineStr">
        <is>
          <t>2024-06-11</t>
        </is>
      </c>
      <c r="D529" s="11" t="n">
        <v>36.85</v>
      </c>
      <c r="E529" s="11" t="n">
        <v>38</v>
      </c>
      <c r="F529" s="11">
        <f>ROUND(D529-E529,2)</f>
        <v/>
      </c>
      <c r="G529" s="13">
        <f>IFERROR(ROUND(F529/E529,4),"")</f>
        <v/>
      </c>
      <c r="H529" s="14">
        <f>IF(D529=0,"NO DATA",IF(D529&gt;E529*1.5,"OVER",IF(D529&gt;E529*1.1,"HIGH",IF(D529&lt;E529*0.5,"LOW","OK"))))</f>
        <v/>
      </c>
    </row>
    <row r="530" ht="22" customHeight="1">
      <c r="B530" s="8" t="inlineStr">
        <is>
          <t>MTR-CTW-004</t>
        </is>
      </c>
      <c r="C530" s="8" t="inlineStr">
        <is>
          <t>2024-06-12</t>
        </is>
      </c>
      <c r="D530" s="12" t="n">
        <v>48.29</v>
      </c>
      <c r="E530" s="12" t="n">
        <v>38</v>
      </c>
      <c r="F530" s="12">
        <f>ROUND(D530-E530,2)</f>
        <v/>
      </c>
      <c r="G530" s="15">
        <f>IFERROR(ROUND(F530/E530,4),"")</f>
        <v/>
      </c>
      <c r="H530" s="16">
        <f>IF(D530=0,"NO DATA",IF(D530&gt;E530*1.5,"OVER",IF(D530&gt;E530*1.1,"HIGH",IF(D530&lt;E530*0.5,"LOW","OK"))))</f>
        <v/>
      </c>
    </row>
    <row r="531" ht="22" customHeight="1">
      <c r="B531" s="5" t="inlineStr">
        <is>
          <t>MTR-CTW-004</t>
        </is>
      </c>
      <c r="C531" s="5" t="inlineStr">
        <is>
          <t>2024-06-13</t>
        </is>
      </c>
      <c r="D531" s="11" t="n">
        <v>39.6</v>
      </c>
      <c r="E531" s="11" t="n">
        <v>38</v>
      </c>
      <c r="F531" s="11">
        <f>ROUND(D531-E531,2)</f>
        <v/>
      </c>
      <c r="G531" s="13">
        <f>IFERROR(ROUND(F531/E531,4),"")</f>
        <v/>
      </c>
      <c r="H531" s="14">
        <f>IF(D531=0,"NO DATA",IF(D531&gt;E531*1.5,"OVER",IF(D531&gt;E531*1.1,"HIGH",IF(D531&lt;E531*0.5,"LOW","OK"))))</f>
        <v/>
      </c>
    </row>
    <row r="532" ht="22" customHeight="1">
      <c r="B532" s="8" t="inlineStr">
        <is>
          <t>MTR-CTW-004</t>
        </is>
      </c>
      <c r="C532" s="8" t="inlineStr">
        <is>
          <t>2024-06-14</t>
        </is>
      </c>
      <c r="D532" s="12" t="n">
        <v>48.55</v>
      </c>
      <c r="E532" s="12" t="n">
        <v>38</v>
      </c>
      <c r="F532" s="12">
        <f>ROUND(D532-E532,2)</f>
        <v/>
      </c>
      <c r="G532" s="15">
        <f>IFERROR(ROUND(F532/E532,4),"")</f>
        <v/>
      </c>
      <c r="H532" s="16">
        <f>IF(D532=0,"NO DATA",IF(D532&gt;E532*1.5,"OVER",IF(D532&gt;E532*1.1,"HIGH",IF(D532&lt;E532*0.5,"LOW","OK"))))</f>
        <v/>
      </c>
    </row>
    <row r="533" ht="22" customHeight="1">
      <c r="B533" s="5" t="inlineStr">
        <is>
          <t>MTR-CTW-004</t>
        </is>
      </c>
      <c r="C533" s="5" t="inlineStr">
        <is>
          <t>2024-06-15</t>
        </is>
      </c>
      <c r="D533" s="11" t="n">
        <v>29.58</v>
      </c>
      <c r="E533" s="11" t="n">
        <v>38</v>
      </c>
      <c r="F533" s="11">
        <f>ROUND(D533-E533,2)</f>
        <v/>
      </c>
      <c r="G533" s="13">
        <f>IFERROR(ROUND(F533/E533,4),"")</f>
        <v/>
      </c>
      <c r="H533" s="14">
        <f>IF(D533=0,"NO DATA",IF(D533&gt;E533*1.5,"OVER",IF(D533&gt;E533*1.1,"HIGH",IF(D533&lt;E533*0.5,"LOW","OK"))))</f>
        <v/>
      </c>
    </row>
    <row r="534" ht="22" customHeight="1">
      <c r="B534" s="8" t="inlineStr">
        <is>
          <t>MTR-CTW-004</t>
        </is>
      </c>
      <c r="C534" s="8" t="inlineStr">
        <is>
          <t>2024-06-16</t>
        </is>
      </c>
      <c r="D534" s="12" t="n">
        <v>21.25</v>
      </c>
      <c r="E534" s="12" t="n">
        <v>38</v>
      </c>
      <c r="F534" s="12">
        <f>ROUND(D534-E534,2)</f>
        <v/>
      </c>
      <c r="G534" s="15">
        <f>IFERROR(ROUND(F534/E534,4),"")</f>
        <v/>
      </c>
      <c r="H534" s="16">
        <f>IF(D534=0,"NO DATA",IF(D534&gt;E534*1.5,"OVER",IF(D534&gt;E534*1.1,"HIGH",IF(D534&lt;E534*0.5,"LOW","OK"))))</f>
        <v/>
      </c>
    </row>
    <row r="535" ht="22" customHeight="1">
      <c r="B535" s="5" t="inlineStr">
        <is>
          <t>MTR-CTW-004</t>
        </is>
      </c>
      <c r="C535" s="5" t="inlineStr">
        <is>
          <t>2024-06-17</t>
        </is>
      </c>
      <c r="D535" s="11" t="n">
        <v>44.55</v>
      </c>
      <c r="E535" s="11" t="n">
        <v>38</v>
      </c>
      <c r="F535" s="11">
        <f>ROUND(D535-E535,2)</f>
        <v/>
      </c>
      <c r="G535" s="13">
        <f>IFERROR(ROUND(F535/E535,4),"")</f>
        <v/>
      </c>
      <c r="H535" s="14">
        <f>IF(D535=0,"NO DATA",IF(D535&gt;E535*1.5,"OVER",IF(D535&gt;E535*1.1,"HIGH",IF(D535&lt;E535*0.5,"LOW","OK"))))</f>
        <v/>
      </c>
    </row>
    <row r="536" ht="22" customHeight="1">
      <c r="B536" s="8" t="inlineStr">
        <is>
          <t>MTR-CTW-004</t>
        </is>
      </c>
      <c r="C536" s="8" t="inlineStr">
        <is>
          <t>2024-06-18</t>
        </is>
      </c>
      <c r="D536" s="12" t="n">
        <v>42.26</v>
      </c>
      <c r="E536" s="12" t="n">
        <v>38</v>
      </c>
      <c r="F536" s="12">
        <f>ROUND(D536-E536,2)</f>
        <v/>
      </c>
      <c r="G536" s="15">
        <f>IFERROR(ROUND(F536/E536,4),"")</f>
        <v/>
      </c>
      <c r="H536" s="16">
        <f>IF(D536=0,"NO DATA",IF(D536&gt;E536*1.5,"OVER",IF(D536&gt;E536*1.1,"HIGH",IF(D536&lt;E536*0.5,"LOW","OK"))))</f>
        <v/>
      </c>
    </row>
    <row r="537" ht="22" customHeight="1">
      <c r="B537" s="5" t="inlineStr">
        <is>
          <t>MTR-CTW-004</t>
        </is>
      </c>
      <c r="C537" s="5" t="inlineStr">
        <is>
          <t>2024-06-19</t>
        </is>
      </c>
      <c r="D537" s="11" t="n">
        <v>39.96</v>
      </c>
      <c r="E537" s="11" t="n">
        <v>38</v>
      </c>
      <c r="F537" s="11">
        <f>ROUND(D537-E537,2)</f>
        <v/>
      </c>
      <c r="G537" s="13">
        <f>IFERROR(ROUND(F537/E537,4),"")</f>
        <v/>
      </c>
      <c r="H537" s="14">
        <f>IF(D537=0,"NO DATA",IF(D537&gt;E537*1.5,"OVER",IF(D537&gt;E537*1.1,"HIGH",IF(D537&lt;E537*0.5,"LOW","OK"))))</f>
        <v/>
      </c>
    </row>
    <row r="538" ht="22" customHeight="1">
      <c r="B538" s="8" t="inlineStr">
        <is>
          <t>MTR-CTW-004</t>
        </is>
      </c>
      <c r="C538" s="8" t="inlineStr">
        <is>
          <t>2024-06-20</t>
        </is>
      </c>
      <c r="D538" s="12" t="n">
        <v>46.27</v>
      </c>
      <c r="E538" s="12" t="n">
        <v>38</v>
      </c>
      <c r="F538" s="12">
        <f>ROUND(D538-E538,2)</f>
        <v/>
      </c>
      <c r="G538" s="15">
        <f>IFERROR(ROUND(F538/E538,4),"")</f>
        <v/>
      </c>
      <c r="H538" s="16">
        <f>IF(D538=0,"NO DATA",IF(D538&gt;E538*1.5,"OVER",IF(D538&gt;E538*1.1,"HIGH",IF(D538&lt;E538*0.5,"LOW","OK"))))</f>
        <v/>
      </c>
    </row>
    <row r="539" ht="22" customHeight="1">
      <c r="B539" s="5" t="inlineStr">
        <is>
          <t>MTR-CTW-004</t>
        </is>
      </c>
      <c r="C539" s="5" t="inlineStr">
        <is>
          <t>2024-06-21</t>
        </is>
      </c>
      <c r="D539" s="11" t="n">
        <v>39.29</v>
      </c>
      <c r="E539" s="11" t="n">
        <v>38</v>
      </c>
      <c r="F539" s="11">
        <f>ROUND(D539-E539,2)</f>
        <v/>
      </c>
      <c r="G539" s="13">
        <f>IFERROR(ROUND(F539/E539,4),"")</f>
        <v/>
      </c>
      <c r="H539" s="14">
        <f>IF(D539=0,"NO DATA",IF(D539&gt;E539*1.5,"OVER",IF(D539&gt;E539*1.1,"HIGH",IF(D539&lt;E539*0.5,"LOW","OK"))))</f>
        <v/>
      </c>
    </row>
    <row r="540" ht="22" customHeight="1">
      <c r="B540" s="8" t="inlineStr">
        <is>
          <t>MTR-CTW-004</t>
        </is>
      </c>
      <c r="C540" s="8" t="inlineStr">
        <is>
          <t>2024-06-22</t>
        </is>
      </c>
      <c r="D540" s="12" t="n">
        <v>30.6</v>
      </c>
      <c r="E540" s="12" t="n">
        <v>38</v>
      </c>
      <c r="F540" s="12">
        <f>ROUND(D540-E540,2)</f>
        <v/>
      </c>
      <c r="G540" s="15">
        <f>IFERROR(ROUND(F540/E540,4),"")</f>
        <v/>
      </c>
      <c r="H540" s="16">
        <f>IF(D540=0,"NO DATA",IF(D540&gt;E540*1.5,"OVER",IF(D540&gt;E540*1.1,"HIGH",IF(D540&lt;E540*0.5,"LOW","OK"))))</f>
        <v/>
      </c>
    </row>
    <row r="541" ht="22" customHeight="1">
      <c r="B541" s="5" t="inlineStr">
        <is>
          <t>MTR-CTW-004</t>
        </is>
      </c>
      <c r="C541" s="5" t="inlineStr">
        <is>
          <t>2024-06-23</t>
        </is>
      </c>
      <c r="D541" s="11" t="n">
        <v>21.54</v>
      </c>
      <c r="E541" s="11" t="n">
        <v>38</v>
      </c>
      <c r="F541" s="11">
        <f>ROUND(D541-E541,2)</f>
        <v/>
      </c>
      <c r="G541" s="13">
        <f>IFERROR(ROUND(F541/E541,4),"")</f>
        <v/>
      </c>
      <c r="H541" s="14">
        <f>IF(D541=0,"NO DATA",IF(D541&gt;E541*1.5,"OVER",IF(D541&gt;E541*1.1,"HIGH",IF(D541&lt;E541*0.5,"LOW","OK"))))</f>
        <v/>
      </c>
    </row>
    <row r="542" ht="22" customHeight="1">
      <c r="B542" s="8" t="inlineStr">
        <is>
          <t>MTR-CTW-004</t>
        </is>
      </c>
      <c r="C542" s="8" t="inlineStr">
        <is>
          <t>2024-06-24</t>
        </is>
      </c>
      <c r="D542" s="12" t="n">
        <v>39.9</v>
      </c>
      <c r="E542" s="12" t="n">
        <v>38</v>
      </c>
      <c r="F542" s="12">
        <f>ROUND(D542-E542,2)</f>
        <v/>
      </c>
      <c r="G542" s="15">
        <f>IFERROR(ROUND(F542/E542,4),"")</f>
        <v/>
      </c>
      <c r="H542" s="16">
        <f>IF(D542=0,"NO DATA",IF(D542&gt;E542*1.5,"OVER",IF(D542&gt;E542*1.1,"HIGH",IF(D542&lt;E542*0.5,"LOW","OK"))))</f>
        <v/>
      </c>
    </row>
    <row r="543" ht="22" customHeight="1">
      <c r="B543" s="5" t="inlineStr">
        <is>
          <t>MTR-CTW-004</t>
        </is>
      </c>
      <c r="C543" s="5" t="inlineStr">
        <is>
          <t>2024-06-25</t>
        </is>
      </c>
      <c r="D543" s="11" t="n">
        <v>38.36</v>
      </c>
      <c r="E543" s="11" t="n">
        <v>38</v>
      </c>
      <c r="F543" s="11">
        <f>ROUND(D543-E543,2)</f>
        <v/>
      </c>
      <c r="G543" s="13">
        <f>IFERROR(ROUND(F543/E543,4),"")</f>
        <v/>
      </c>
      <c r="H543" s="14">
        <f>IF(D543=0,"NO DATA",IF(D543&gt;E543*1.5,"OVER",IF(D543&gt;E543*1.1,"HIGH",IF(D543&lt;E543*0.5,"LOW","OK"))))</f>
        <v/>
      </c>
    </row>
    <row r="544" ht="22" customHeight="1">
      <c r="B544" s="8" t="inlineStr">
        <is>
          <t>MTR-CTW-004</t>
        </is>
      </c>
      <c r="C544" s="8" t="inlineStr">
        <is>
          <t>2024-06-26</t>
        </is>
      </c>
      <c r="D544" s="12" t="n">
        <v>40.35</v>
      </c>
      <c r="E544" s="12" t="n">
        <v>38</v>
      </c>
      <c r="F544" s="12">
        <f>ROUND(D544-E544,2)</f>
        <v/>
      </c>
      <c r="G544" s="15">
        <f>IFERROR(ROUND(F544/E544,4),"")</f>
        <v/>
      </c>
      <c r="H544" s="16">
        <f>IF(D544=0,"NO DATA",IF(D544&gt;E544*1.5,"OVER",IF(D544&gt;E544*1.1,"HIGH",IF(D544&lt;E544*0.5,"LOW","OK"))))</f>
        <v/>
      </c>
    </row>
    <row r="545" ht="22" customHeight="1">
      <c r="B545" s="5" t="inlineStr">
        <is>
          <t>MTR-CTW-004</t>
        </is>
      </c>
      <c r="C545" s="5" t="inlineStr">
        <is>
          <t>2024-06-27</t>
        </is>
      </c>
      <c r="D545" s="11" t="n">
        <v>48.04</v>
      </c>
      <c r="E545" s="11" t="n">
        <v>38</v>
      </c>
      <c r="F545" s="11">
        <f>ROUND(D545-E545,2)</f>
        <v/>
      </c>
      <c r="G545" s="13">
        <f>IFERROR(ROUND(F545/E545,4),"")</f>
        <v/>
      </c>
      <c r="H545" s="14">
        <f>IF(D545=0,"NO DATA",IF(D545&gt;E545*1.5,"OVER",IF(D545&gt;E545*1.1,"HIGH",IF(D545&lt;E545*0.5,"LOW","OK"))))</f>
        <v/>
      </c>
    </row>
    <row r="546" ht="22" customHeight="1">
      <c r="B546" s="8" t="inlineStr">
        <is>
          <t>MTR-CTW-004</t>
        </is>
      </c>
      <c r="C546" s="8" t="inlineStr">
        <is>
          <t>2024-06-28</t>
        </is>
      </c>
      <c r="D546" s="12" t="n">
        <v>39.37</v>
      </c>
      <c r="E546" s="12" t="n">
        <v>38</v>
      </c>
      <c r="F546" s="12">
        <f>ROUND(D546-E546,2)</f>
        <v/>
      </c>
      <c r="G546" s="15">
        <f>IFERROR(ROUND(F546/E546,4),"")</f>
        <v/>
      </c>
      <c r="H546" s="16">
        <f>IF(D546=0,"NO DATA",IF(D546&gt;E546*1.5,"OVER",IF(D546&gt;E546*1.1,"HIGH",IF(D546&lt;E546*0.5,"LOW","OK"))))</f>
        <v/>
      </c>
    </row>
    <row r="547" ht="22" customHeight="1">
      <c r="B547" s="5" t="inlineStr">
        <is>
          <t>MTR-CTW-004</t>
        </is>
      </c>
      <c r="C547" s="5" t="inlineStr">
        <is>
          <t>2024-06-29</t>
        </is>
      </c>
      <c r="D547" s="11" t="n">
        <v>32.47</v>
      </c>
      <c r="E547" s="11" t="n">
        <v>38</v>
      </c>
      <c r="F547" s="11">
        <f>ROUND(D547-E547,2)</f>
        <v/>
      </c>
      <c r="G547" s="13">
        <f>IFERROR(ROUND(F547/E547,4),"")</f>
        <v/>
      </c>
      <c r="H547" s="14">
        <f>IF(D547=0,"NO DATA",IF(D547&gt;E547*1.5,"OVER",IF(D547&gt;E547*1.1,"HIGH",IF(D547&lt;E547*0.5,"LOW","OK"))))</f>
        <v/>
      </c>
    </row>
    <row r="548" ht="22" customHeight="1">
      <c r="B548" s="8" t="inlineStr">
        <is>
          <t>MTR-CTW-004</t>
        </is>
      </c>
      <c r="C548" s="8" t="inlineStr">
        <is>
          <t>2024-06-30</t>
        </is>
      </c>
      <c r="D548" s="12" t="n">
        <v>23.84</v>
      </c>
      <c r="E548" s="12" t="n">
        <v>38</v>
      </c>
      <c r="F548" s="12">
        <f>ROUND(D548-E548,2)</f>
        <v/>
      </c>
      <c r="G548" s="15">
        <f>IFERROR(ROUND(F548/E548,4),"")</f>
        <v/>
      </c>
      <c r="H548" s="16">
        <f>IF(D548=0,"NO DATA",IF(D548&gt;E548*1.5,"OVER",IF(D548&gt;E548*1.1,"HIGH",IF(D548&lt;E548*0.5,"LOW","OK"))))</f>
        <v/>
      </c>
    </row>
    <row r="549" ht="22" customHeight="1">
      <c r="B549" s="5" t="inlineStr">
        <is>
          <t>MTR-CTW-004</t>
        </is>
      </c>
      <c r="C549" s="5" t="inlineStr">
        <is>
          <t>2024-07-01</t>
        </is>
      </c>
      <c r="D549" s="11" t="n">
        <v>48.74</v>
      </c>
      <c r="E549" s="11" t="n">
        <v>38</v>
      </c>
      <c r="F549" s="11">
        <f>ROUND(D549-E549,2)</f>
        <v/>
      </c>
      <c r="G549" s="13">
        <f>IFERROR(ROUND(F549/E549,4),"")</f>
        <v/>
      </c>
      <c r="H549" s="14">
        <f>IF(D549=0,"NO DATA",IF(D549&gt;E549*1.5,"OVER",IF(D549&gt;E549*1.1,"HIGH",IF(D549&lt;E549*0.5,"LOW","OK"))))</f>
        <v/>
      </c>
    </row>
    <row r="550" ht="22" customHeight="1">
      <c r="B550" s="8" t="inlineStr">
        <is>
          <t>MTR-CTW-004</t>
        </is>
      </c>
      <c r="C550" s="8" t="inlineStr">
        <is>
          <t>2024-07-02</t>
        </is>
      </c>
      <c r="D550" s="12" t="n">
        <v>48.27</v>
      </c>
      <c r="E550" s="12" t="n">
        <v>38</v>
      </c>
      <c r="F550" s="12">
        <f>ROUND(D550-E550,2)</f>
        <v/>
      </c>
      <c r="G550" s="15">
        <f>IFERROR(ROUND(F550/E550,4),"")</f>
        <v/>
      </c>
      <c r="H550" s="16">
        <f>IF(D550=0,"NO DATA",IF(D550&gt;E550*1.5,"OVER",IF(D550&gt;E550*1.1,"HIGH",IF(D550&lt;E550*0.5,"LOW","OK"))))</f>
        <v/>
      </c>
    </row>
    <row r="551" ht="22" customHeight="1">
      <c r="B551" s="5" t="inlineStr">
        <is>
          <t>MTR-CTW-004</t>
        </is>
      </c>
      <c r="C551" s="5" t="inlineStr">
        <is>
          <t>2024-07-03</t>
        </is>
      </c>
      <c r="D551" s="11" t="n">
        <v>47.93</v>
      </c>
      <c r="E551" s="11" t="n">
        <v>38</v>
      </c>
      <c r="F551" s="11">
        <f>ROUND(D551-E551,2)</f>
        <v/>
      </c>
      <c r="G551" s="13">
        <f>IFERROR(ROUND(F551/E551,4),"")</f>
        <v/>
      </c>
      <c r="H551" s="14">
        <f>IF(D551=0,"NO DATA",IF(D551&gt;E551*1.5,"OVER",IF(D551&gt;E551*1.1,"HIGH",IF(D551&lt;E551*0.5,"LOW","OK"))))</f>
        <v/>
      </c>
    </row>
    <row r="552" ht="22" customHeight="1">
      <c r="B552" s="8" t="inlineStr">
        <is>
          <t>MTR-CTW-004</t>
        </is>
      </c>
      <c r="C552" s="8" t="inlineStr">
        <is>
          <t>2024-07-04</t>
        </is>
      </c>
      <c r="D552" s="12" t="n">
        <v>44.25</v>
      </c>
      <c r="E552" s="12" t="n">
        <v>38</v>
      </c>
      <c r="F552" s="12">
        <f>ROUND(D552-E552,2)</f>
        <v/>
      </c>
      <c r="G552" s="15">
        <f>IFERROR(ROUND(F552/E552,4),"")</f>
        <v/>
      </c>
      <c r="H552" s="16">
        <f>IF(D552=0,"NO DATA",IF(D552&gt;E552*1.5,"OVER",IF(D552&gt;E552*1.1,"HIGH",IF(D552&lt;E552*0.5,"LOW","OK"))))</f>
        <v/>
      </c>
    </row>
    <row r="553" ht="22" customHeight="1">
      <c r="B553" s="5" t="inlineStr">
        <is>
          <t>MTR-CTW-004</t>
        </is>
      </c>
      <c r="C553" s="5" t="inlineStr">
        <is>
          <t>2024-07-05</t>
        </is>
      </c>
      <c r="D553" s="11" t="n">
        <v>43.07</v>
      </c>
      <c r="E553" s="11" t="n">
        <v>38</v>
      </c>
      <c r="F553" s="11">
        <f>ROUND(D553-E553,2)</f>
        <v/>
      </c>
      <c r="G553" s="13">
        <f>IFERROR(ROUND(F553/E553,4),"")</f>
        <v/>
      </c>
      <c r="H553" s="14">
        <f>IF(D553=0,"NO DATA",IF(D553&gt;E553*1.5,"OVER",IF(D553&gt;E553*1.1,"HIGH",IF(D553&lt;E553*0.5,"LOW","OK"))))</f>
        <v/>
      </c>
    </row>
    <row r="554" ht="22" customHeight="1">
      <c r="B554" s="8" t="inlineStr">
        <is>
          <t>MTR-CTW-004</t>
        </is>
      </c>
      <c r="C554" s="8" t="inlineStr">
        <is>
          <t>2024-07-06</t>
        </is>
      </c>
      <c r="D554" s="12" t="n">
        <v>33.63</v>
      </c>
      <c r="E554" s="12" t="n">
        <v>38</v>
      </c>
      <c r="F554" s="12">
        <f>ROUND(D554-E554,2)</f>
        <v/>
      </c>
      <c r="G554" s="15">
        <f>IFERROR(ROUND(F554/E554,4),"")</f>
        <v/>
      </c>
      <c r="H554" s="16">
        <f>IF(D554=0,"NO DATA",IF(D554&gt;E554*1.5,"OVER",IF(D554&gt;E554*1.1,"HIGH",IF(D554&lt;E554*0.5,"LOW","OK"))))</f>
        <v/>
      </c>
    </row>
    <row r="555" ht="22" customHeight="1">
      <c r="B555" s="5" t="inlineStr">
        <is>
          <t>MTR-CTW-004</t>
        </is>
      </c>
      <c r="C555" s="5" t="inlineStr">
        <is>
          <t>2024-07-07</t>
        </is>
      </c>
      <c r="D555" s="11" t="n">
        <v>20.11</v>
      </c>
      <c r="E555" s="11" t="n">
        <v>38</v>
      </c>
      <c r="F555" s="11">
        <f>ROUND(D555-E555,2)</f>
        <v/>
      </c>
      <c r="G555" s="13">
        <f>IFERROR(ROUND(F555/E555,4),"")</f>
        <v/>
      </c>
      <c r="H555" s="14">
        <f>IF(D555=0,"NO DATA",IF(D555&gt;E555*1.5,"OVER",IF(D555&gt;E555*1.1,"HIGH",IF(D555&lt;E555*0.5,"LOW","OK"))))</f>
        <v/>
      </c>
    </row>
    <row r="556" ht="22" customHeight="1">
      <c r="B556" s="8" t="inlineStr">
        <is>
          <t>MTR-CTW-004</t>
        </is>
      </c>
      <c r="C556" s="8" t="inlineStr">
        <is>
          <t>2024-07-08</t>
        </is>
      </c>
      <c r="D556" s="12" t="n">
        <v>44.01</v>
      </c>
      <c r="E556" s="12" t="n">
        <v>38</v>
      </c>
      <c r="F556" s="12">
        <f>ROUND(D556-E556,2)</f>
        <v/>
      </c>
      <c r="G556" s="15">
        <f>IFERROR(ROUND(F556/E556,4),"")</f>
        <v/>
      </c>
      <c r="H556" s="16">
        <f>IF(D556=0,"NO DATA",IF(D556&gt;E556*1.5,"OVER",IF(D556&gt;E556*1.1,"HIGH",IF(D556&lt;E556*0.5,"LOW","OK"))))</f>
        <v/>
      </c>
    </row>
    <row r="557" ht="22" customHeight="1">
      <c r="B557" s="5" t="inlineStr">
        <is>
          <t>MTR-CTW-004</t>
        </is>
      </c>
      <c r="C557" s="5" t="inlineStr">
        <is>
          <t>2024-07-09</t>
        </is>
      </c>
      <c r="D557" s="11" t="n">
        <v>46.02</v>
      </c>
      <c r="E557" s="11" t="n">
        <v>38</v>
      </c>
      <c r="F557" s="11">
        <f>ROUND(D557-E557,2)</f>
        <v/>
      </c>
      <c r="G557" s="13">
        <f>IFERROR(ROUND(F557/E557,4),"")</f>
        <v/>
      </c>
      <c r="H557" s="14">
        <f>IF(D557=0,"NO DATA",IF(D557&gt;E557*1.5,"OVER",IF(D557&gt;E557*1.1,"HIGH",IF(D557&lt;E557*0.5,"LOW","OK"))))</f>
        <v/>
      </c>
    </row>
    <row r="558" ht="22" customHeight="1">
      <c r="B558" s="8" t="inlineStr">
        <is>
          <t>MTR-CTW-004</t>
        </is>
      </c>
      <c r="C558" s="8" t="inlineStr">
        <is>
          <t>2024-07-10</t>
        </is>
      </c>
      <c r="D558" s="12" t="n">
        <v>42.61</v>
      </c>
      <c r="E558" s="12" t="n">
        <v>38</v>
      </c>
      <c r="F558" s="12">
        <f>ROUND(D558-E558,2)</f>
        <v/>
      </c>
      <c r="G558" s="15">
        <f>IFERROR(ROUND(F558/E558,4),"")</f>
        <v/>
      </c>
      <c r="H558" s="16">
        <f>IF(D558=0,"NO DATA",IF(D558&gt;E558*1.5,"OVER",IF(D558&gt;E558*1.1,"HIGH",IF(D558&lt;E558*0.5,"LOW","OK"))))</f>
        <v/>
      </c>
    </row>
    <row r="559" ht="22" customHeight="1">
      <c r="B559" s="5" t="inlineStr">
        <is>
          <t>MTR-CTW-004</t>
        </is>
      </c>
      <c r="C559" s="5" t="inlineStr">
        <is>
          <t>2024-07-11</t>
        </is>
      </c>
      <c r="D559" s="11" t="n">
        <v>37.61</v>
      </c>
      <c r="E559" s="11" t="n">
        <v>38</v>
      </c>
      <c r="F559" s="11">
        <f>ROUND(D559-E559,2)</f>
        <v/>
      </c>
      <c r="G559" s="13">
        <f>IFERROR(ROUND(F559/E559,4),"")</f>
        <v/>
      </c>
      <c r="H559" s="14">
        <f>IF(D559=0,"NO DATA",IF(D559&gt;E559*1.5,"OVER",IF(D559&gt;E559*1.1,"HIGH",IF(D559&lt;E559*0.5,"LOW","OK"))))</f>
        <v/>
      </c>
    </row>
    <row r="560" ht="22" customHeight="1">
      <c r="B560" s="8" t="inlineStr">
        <is>
          <t>MTR-CTW-004</t>
        </is>
      </c>
      <c r="C560" s="8" t="inlineStr">
        <is>
          <t>2024-07-12</t>
        </is>
      </c>
      <c r="D560" s="12" t="n">
        <v>41.34</v>
      </c>
      <c r="E560" s="12" t="n">
        <v>38</v>
      </c>
      <c r="F560" s="12">
        <f>ROUND(D560-E560,2)</f>
        <v/>
      </c>
      <c r="G560" s="15">
        <f>IFERROR(ROUND(F560/E560,4),"")</f>
        <v/>
      </c>
      <c r="H560" s="16">
        <f>IF(D560=0,"NO DATA",IF(D560&gt;E560*1.5,"OVER",IF(D560&gt;E560*1.1,"HIGH",IF(D560&lt;E560*0.5,"LOW","OK"))))</f>
        <v/>
      </c>
    </row>
    <row r="561" ht="22" customHeight="1">
      <c r="B561" s="5" t="inlineStr">
        <is>
          <t>MTR-CTW-004</t>
        </is>
      </c>
      <c r="C561" s="5" t="inlineStr">
        <is>
          <t>2024-07-13</t>
        </is>
      </c>
      <c r="D561" s="11" t="n">
        <v>37.9</v>
      </c>
      <c r="E561" s="11" t="n">
        <v>38</v>
      </c>
      <c r="F561" s="11">
        <f>ROUND(D561-E561,2)</f>
        <v/>
      </c>
      <c r="G561" s="13">
        <f>IFERROR(ROUND(F561/E561,4),"")</f>
        <v/>
      </c>
      <c r="H561" s="14">
        <f>IF(D561=0,"NO DATA",IF(D561&gt;E561*1.5,"OVER",IF(D561&gt;E561*1.1,"HIGH",IF(D561&lt;E561*0.5,"LOW","OK"))))</f>
        <v/>
      </c>
    </row>
    <row r="562" ht="22" customHeight="1">
      <c r="B562" s="8" t="inlineStr">
        <is>
          <t>MTR-CTW-004</t>
        </is>
      </c>
      <c r="C562" s="8" t="inlineStr">
        <is>
          <t>2024-07-14</t>
        </is>
      </c>
      <c r="D562" s="12" t="n">
        <v>20.21</v>
      </c>
      <c r="E562" s="12" t="n">
        <v>38</v>
      </c>
      <c r="F562" s="12">
        <f>ROUND(D562-E562,2)</f>
        <v/>
      </c>
      <c r="G562" s="15">
        <f>IFERROR(ROUND(F562/E562,4),"")</f>
        <v/>
      </c>
      <c r="H562" s="16">
        <f>IF(D562=0,"NO DATA",IF(D562&gt;E562*1.5,"OVER",IF(D562&gt;E562*1.1,"HIGH",IF(D562&lt;E562*0.5,"LOW","OK"))))</f>
        <v/>
      </c>
    </row>
    <row r="563" ht="22" customHeight="1">
      <c r="B563" s="5" t="inlineStr">
        <is>
          <t>MTR-CTW-004</t>
        </is>
      </c>
      <c r="C563" s="5" t="inlineStr">
        <is>
          <t>2024-07-15</t>
        </is>
      </c>
      <c r="D563" s="11" t="n">
        <v>45.62</v>
      </c>
      <c r="E563" s="11" t="n">
        <v>38</v>
      </c>
      <c r="F563" s="11">
        <f>ROUND(D563-E563,2)</f>
        <v/>
      </c>
      <c r="G563" s="13">
        <f>IFERROR(ROUND(F563/E563,4),"")</f>
        <v/>
      </c>
      <c r="H563" s="14">
        <f>IF(D563=0,"NO DATA",IF(D563&gt;E563*1.5,"OVER",IF(D563&gt;E563*1.1,"HIGH",IF(D563&lt;E563*0.5,"LOW","OK"))))</f>
        <v/>
      </c>
    </row>
    <row r="564" ht="22" customHeight="1">
      <c r="B564" s="8" t="inlineStr">
        <is>
          <t>MTR-CTW-004</t>
        </is>
      </c>
      <c r="C564" s="8" t="inlineStr">
        <is>
          <t>2024-07-16</t>
        </is>
      </c>
      <c r="D564" s="12" t="n">
        <v>47.39</v>
      </c>
      <c r="E564" s="12" t="n">
        <v>38</v>
      </c>
      <c r="F564" s="12">
        <f>ROUND(D564-E564,2)</f>
        <v/>
      </c>
      <c r="G564" s="15">
        <f>IFERROR(ROUND(F564/E564,4),"")</f>
        <v/>
      </c>
      <c r="H564" s="16">
        <f>IF(D564=0,"NO DATA",IF(D564&gt;E564*1.5,"OVER",IF(D564&gt;E564*1.1,"HIGH",IF(D564&lt;E564*0.5,"LOW","OK"))))</f>
        <v/>
      </c>
    </row>
    <row r="565" ht="22" customHeight="1">
      <c r="B565" s="5" t="inlineStr">
        <is>
          <t>MTR-CTW-004</t>
        </is>
      </c>
      <c r="C565" s="5" t="inlineStr">
        <is>
          <t>2024-07-17</t>
        </is>
      </c>
      <c r="D565" s="11" t="n">
        <v>40.04</v>
      </c>
      <c r="E565" s="11" t="n">
        <v>38</v>
      </c>
      <c r="F565" s="11">
        <f>ROUND(D565-E565,2)</f>
        <v/>
      </c>
      <c r="G565" s="13">
        <f>IFERROR(ROUND(F565/E565,4),"")</f>
        <v/>
      </c>
      <c r="H565" s="14">
        <f>IF(D565=0,"NO DATA",IF(D565&gt;E565*1.5,"OVER",IF(D565&gt;E565*1.1,"HIGH",IF(D565&lt;E565*0.5,"LOW","OK"))))</f>
        <v/>
      </c>
    </row>
    <row r="566" ht="22" customHeight="1">
      <c r="B566" s="8" t="inlineStr">
        <is>
          <t>MTR-CTW-004</t>
        </is>
      </c>
      <c r="C566" s="8" t="inlineStr">
        <is>
          <t>2024-07-18</t>
        </is>
      </c>
      <c r="D566" s="12" t="n">
        <v>44.64</v>
      </c>
      <c r="E566" s="12" t="n">
        <v>38</v>
      </c>
      <c r="F566" s="12">
        <f>ROUND(D566-E566,2)</f>
        <v/>
      </c>
      <c r="G566" s="15">
        <f>IFERROR(ROUND(F566/E566,4),"")</f>
        <v/>
      </c>
      <c r="H566" s="16">
        <f>IF(D566=0,"NO DATA",IF(D566&gt;E566*1.5,"OVER",IF(D566&gt;E566*1.1,"HIGH",IF(D566&lt;E566*0.5,"LOW","OK"))))</f>
        <v/>
      </c>
    </row>
    <row r="567" ht="22" customHeight="1">
      <c r="B567" s="5" t="inlineStr">
        <is>
          <t>MTR-CTW-004</t>
        </is>
      </c>
      <c r="C567" s="5" t="inlineStr">
        <is>
          <t>2024-07-19</t>
        </is>
      </c>
      <c r="D567" s="11" t="n">
        <v>49.2</v>
      </c>
      <c r="E567" s="11" t="n">
        <v>38</v>
      </c>
      <c r="F567" s="11">
        <f>ROUND(D567-E567,2)</f>
        <v/>
      </c>
      <c r="G567" s="13">
        <f>IFERROR(ROUND(F567/E567,4),"")</f>
        <v/>
      </c>
      <c r="H567" s="14">
        <f>IF(D567=0,"NO DATA",IF(D567&gt;E567*1.5,"OVER",IF(D567&gt;E567*1.1,"HIGH",IF(D567&lt;E567*0.5,"LOW","OK"))))</f>
        <v/>
      </c>
    </row>
    <row r="568" ht="22" customHeight="1">
      <c r="B568" s="8" t="inlineStr">
        <is>
          <t>MTR-CTW-004</t>
        </is>
      </c>
      <c r="C568" s="8" t="inlineStr">
        <is>
          <t>2024-07-20</t>
        </is>
      </c>
      <c r="D568" s="12" t="n">
        <v>33.2</v>
      </c>
      <c r="E568" s="12" t="n">
        <v>38</v>
      </c>
      <c r="F568" s="12">
        <f>ROUND(D568-E568,2)</f>
        <v/>
      </c>
      <c r="G568" s="15">
        <f>IFERROR(ROUND(F568/E568,4),"")</f>
        <v/>
      </c>
      <c r="H568" s="16">
        <f>IF(D568=0,"NO DATA",IF(D568&gt;E568*1.5,"OVER",IF(D568&gt;E568*1.1,"HIGH",IF(D568&lt;E568*0.5,"LOW","OK"))))</f>
        <v/>
      </c>
    </row>
    <row r="569" ht="22" customHeight="1">
      <c r="B569" s="5" t="inlineStr">
        <is>
          <t>MTR-CTW-004</t>
        </is>
      </c>
      <c r="C569" s="5" t="inlineStr">
        <is>
          <t>2024-07-21</t>
        </is>
      </c>
      <c r="D569" s="11" t="n">
        <v>25.54</v>
      </c>
      <c r="E569" s="11" t="n">
        <v>38</v>
      </c>
      <c r="F569" s="11">
        <f>ROUND(D569-E569,2)</f>
        <v/>
      </c>
      <c r="G569" s="13">
        <f>IFERROR(ROUND(F569/E569,4),"")</f>
        <v/>
      </c>
      <c r="H569" s="14">
        <f>IF(D569=0,"NO DATA",IF(D569&gt;E569*1.5,"OVER",IF(D569&gt;E569*1.1,"HIGH",IF(D569&lt;E569*0.5,"LOW","OK"))))</f>
        <v/>
      </c>
    </row>
    <row r="570" ht="22" customHeight="1">
      <c r="B570" s="8" t="inlineStr">
        <is>
          <t>MTR-CTW-004</t>
        </is>
      </c>
      <c r="C570" s="8" t="inlineStr">
        <is>
          <t>2024-07-22</t>
        </is>
      </c>
      <c r="D570" s="12" t="n">
        <v>47.88</v>
      </c>
      <c r="E570" s="12" t="n">
        <v>38</v>
      </c>
      <c r="F570" s="12">
        <f>ROUND(D570-E570,2)</f>
        <v/>
      </c>
      <c r="G570" s="15">
        <f>IFERROR(ROUND(F570/E570,4),"")</f>
        <v/>
      </c>
      <c r="H570" s="16">
        <f>IF(D570=0,"NO DATA",IF(D570&gt;E570*1.5,"OVER",IF(D570&gt;E570*1.1,"HIGH",IF(D570&lt;E570*0.5,"LOW","OK"))))</f>
        <v/>
      </c>
    </row>
    <row r="571" ht="22" customHeight="1">
      <c r="B571" s="5" t="inlineStr">
        <is>
          <t>MTR-CTW-004</t>
        </is>
      </c>
      <c r="C571" s="5" t="inlineStr">
        <is>
          <t>2024-07-23</t>
        </is>
      </c>
      <c r="D571" s="11" t="n">
        <v>46.28</v>
      </c>
      <c r="E571" s="11" t="n">
        <v>38</v>
      </c>
      <c r="F571" s="11">
        <f>ROUND(D571-E571,2)</f>
        <v/>
      </c>
      <c r="G571" s="13">
        <f>IFERROR(ROUND(F571/E571,4),"")</f>
        <v/>
      </c>
      <c r="H571" s="14">
        <f>IF(D571=0,"NO DATA",IF(D571&gt;E571*1.5,"OVER",IF(D571&gt;E571*1.1,"HIGH",IF(D571&lt;E571*0.5,"LOW","OK"))))</f>
        <v/>
      </c>
    </row>
    <row r="572" ht="22" customHeight="1">
      <c r="B572" s="8" t="inlineStr">
        <is>
          <t>MTR-CTW-004</t>
        </is>
      </c>
      <c r="C572" s="8" t="inlineStr">
        <is>
          <t>2024-07-24</t>
        </is>
      </c>
      <c r="D572" s="12" t="n">
        <v>46.58</v>
      </c>
      <c r="E572" s="12" t="n">
        <v>38</v>
      </c>
      <c r="F572" s="12">
        <f>ROUND(D572-E572,2)</f>
        <v/>
      </c>
      <c r="G572" s="15">
        <f>IFERROR(ROUND(F572/E572,4),"")</f>
        <v/>
      </c>
      <c r="H572" s="16">
        <f>IF(D572=0,"NO DATA",IF(D572&gt;E572*1.5,"OVER",IF(D572&gt;E572*1.1,"HIGH",IF(D572&lt;E572*0.5,"LOW","OK"))))</f>
        <v/>
      </c>
    </row>
    <row r="573" ht="22" customHeight="1">
      <c r="B573" s="5" t="inlineStr">
        <is>
          <t>MTR-CTW-004</t>
        </is>
      </c>
      <c r="C573" s="5" t="inlineStr">
        <is>
          <t>2024-07-25</t>
        </is>
      </c>
      <c r="D573" s="11" t="n">
        <v>45.3</v>
      </c>
      <c r="E573" s="11" t="n">
        <v>38</v>
      </c>
      <c r="F573" s="11">
        <f>ROUND(D573-E573,2)</f>
        <v/>
      </c>
      <c r="G573" s="13">
        <f>IFERROR(ROUND(F573/E573,4),"")</f>
        <v/>
      </c>
      <c r="H573" s="14">
        <f>IF(D573=0,"NO DATA",IF(D573&gt;E573*1.5,"OVER",IF(D573&gt;E573*1.1,"HIGH",IF(D573&lt;E573*0.5,"LOW","OK"))))</f>
        <v/>
      </c>
    </row>
    <row r="574" ht="22" customHeight="1">
      <c r="B574" s="8" t="inlineStr">
        <is>
          <t>MTR-CTW-004</t>
        </is>
      </c>
      <c r="C574" s="8" t="inlineStr">
        <is>
          <t>2024-07-26</t>
        </is>
      </c>
      <c r="D574" s="12" t="n">
        <v>40.93</v>
      </c>
      <c r="E574" s="12" t="n">
        <v>38</v>
      </c>
      <c r="F574" s="12">
        <f>ROUND(D574-E574,2)</f>
        <v/>
      </c>
      <c r="G574" s="15">
        <f>IFERROR(ROUND(F574/E574,4),"")</f>
        <v/>
      </c>
      <c r="H574" s="16">
        <f>IF(D574=0,"NO DATA",IF(D574&gt;E574*1.5,"OVER",IF(D574&gt;E574*1.1,"HIGH",IF(D574&lt;E574*0.5,"LOW","OK"))))</f>
        <v/>
      </c>
    </row>
    <row r="575" ht="22" customHeight="1">
      <c r="B575" s="5" t="inlineStr">
        <is>
          <t>MTR-CTW-004</t>
        </is>
      </c>
      <c r="C575" s="5" t="inlineStr">
        <is>
          <t>2024-07-27</t>
        </is>
      </c>
      <c r="D575" s="11" t="n">
        <v>33.31</v>
      </c>
      <c r="E575" s="11" t="n">
        <v>38</v>
      </c>
      <c r="F575" s="11">
        <f>ROUND(D575-E575,2)</f>
        <v/>
      </c>
      <c r="G575" s="13">
        <f>IFERROR(ROUND(F575/E575,4),"")</f>
        <v/>
      </c>
      <c r="H575" s="14">
        <f>IF(D575=0,"NO DATA",IF(D575&gt;E575*1.5,"OVER",IF(D575&gt;E575*1.1,"HIGH",IF(D575&lt;E575*0.5,"LOW","OK"))))</f>
        <v/>
      </c>
    </row>
    <row r="576" ht="22" customHeight="1">
      <c r="B576" s="8" t="inlineStr">
        <is>
          <t>MTR-CTW-004</t>
        </is>
      </c>
      <c r="C576" s="8" t="inlineStr">
        <is>
          <t>2024-07-28</t>
        </is>
      </c>
      <c r="D576" s="12" t="n">
        <v>24.35</v>
      </c>
      <c r="E576" s="12" t="n">
        <v>38</v>
      </c>
      <c r="F576" s="12">
        <f>ROUND(D576-E576,2)</f>
        <v/>
      </c>
      <c r="G576" s="15">
        <f>IFERROR(ROUND(F576/E576,4),"")</f>
        <v/>
      </c>
      <c r="H576" s="16">
        <f>IF(D576=0,"NO DATA",IF(D576&gt;E576*1.5,"OVER",IF(D576&gt;E576*1.1,"HIGH",IF(D576&lt;E576*0.5,"LOW","OK"))))</f>
        <v/>
      </c>
    </row>
    <row r="577" ht="22" customHeight="1">
      <c r="B577" s="5" t="inlineStr">
        <is>
          <t>MTR-CTW-004</t>
        </is>
      </c>
      <c r="C577" s="5" t="inlineStr">
        <is>
          <t>2024-07-29</t>
        </is>
      </c>
      <c r="D577" s="11" t="n">
        <v>43.68</v>
      </c>
      <c r="E577" s="11" t="n">
        <v>38</v>
      </c>
      <c r="F577" s="11">
        <f>ROUND(D577-E577,2)</f>
        <v/>
      </c>
      <c r="G577" s="13">
        <f>IFERROR(ROUND(F577/E577,4),"")</f>
        <v/>
      </c>
      <c r="H577" s="14">
        <f>IF(D577=0,"NO DATA",IF(D577&gt;E577*1.5,"OVER",IF(D577&gt;E577*1.1,"HIGH",IF(D577&lt;E577*0.5,"LOW","OK"))))</f>
        <v/>
      </c>
    </row>
    <row r="578" ht="22" customHeight="1">
      <c r="B578" s="8" t="inlineStr">
        <is>
          <t>MTR-CTW-004</t>
        </is>
      </c>
      <c r="C578" s="8" t="inlineStr">
        <is>
          <t>2024-07-30</t>
        </is>
      </c>
      <c r="D578" s="12" t="n">
        <v>43.44</v>
      </c>
      <c r="E578" s="12" t="n">
        <v>38</v>
      </c>
      <c r="F578" s="12">
        <f>ROUND(D578-E578,2)</f>
        <v/>
      </c>
      <c r="G578" s="15">
        <f>IFERROR(ROUND(F578/E578,4),"")</f>
        <v/>
      </c>
      <c r="H578" s="16">
        <f>IF(D578=0,"NO DATA",IF(D578&gt;E578*1.5,"OVER",IF(D578&gt;E578*1.1,"HIGH",IF(D578&lt;E578*0.5,"LOW","OK"))))</f>
        <v/>
      </c>
    </row>
    <row r="579" ht="22" customHeight="1">
      <c r="B579" s="5" t="inlineStr">
        <is>
          <t>MTR-CTW-004</t>
        </is>
      </c>
      <c r="C579" s="5" t="inlineStr">
        <is>
          <t>2024-07-31</t>
        </is>
      </c>
      <c r="D579" s="11" t="n">
        <v>37.01</v>
      </c>
      <c r="E579" s="11" t="n">
        <v>38</v>
      </c>
      <c r="F579" s="11">
        <f>ROUND(D579-E579,2)</f>
        <v/>
      </c>
      <c r="G579" s="13">
        <f>IFERROR(ROUND(F579/E579,4),"")</f>
        <v/>
      </c>
      <c r="H579" s="14">
        <f>IF(D579=0,"NO DATA",IF(D579&gt;E579*1.5,"OVER",IF(D579&gt;E579*1.1,"HIGH",IF(D579&lt;E579*0.5,"LOW","OK"))))</f>
        <v/>
      </c>
    </row>
    <row r="580" ht="22" customHeight="1">
      <c r="B580" s="8" t="inlineStr">
        <is>
          <t>MTR-CTW-004</t>
        </is>
      </c>
      <c r="C580" s="8" t="inlineStr">
        <is>
          <t>2024-08-01</t>
        </is>
      </c>
      <c r="D580" s="12" t="n">
        <v>42.57</v>
      </c>
      <c r="E580" s="12" t="n">
        <v>38</v>
      </c>
      <c r="F580" s="12">
        <f>ROUND(D580-E580,2)</f>
        <v/>
      </c>
      <c r="G580" s="15">
        <f>IFERROR(ROUND(F580/E580,4),"")</f>
        <v/>
      </c>
      <c r="H580" s="16">
        <f>IF(D580=0,"NO DATA",IF(D580&gt;E580*1.5,"OVER",IF(D580&gt;E580*1.1,"HIGH",IF(D580&lt;E580*0.5,"LOW","OK"))))</f>
        <v/>
      </c>
    </row>
    <row r="581" ht="22" customHeight="1">
      <c r="B581" s="5" t="inlineStr">
        <is>
          <t>MTR-CTW-004</t>
        </is>
      </c>
      <c r="C581" s="5" t="inlineStr">
        <is>
          <t>2024-08-02</t>
        </is>
      </c>
      <c r="D581" s="11" t="n">
        <v>48.48</v>
      </c>
      <c r="E581" s="11" t="n">
        <v>38</v>
      </c>
      <c r="F581" s="11">
        <f>ROUND(D581-E581,2)</f>
        <v/>
      </c>
      <c r="G581" s="13">
        <f>IFERROR(ROUND(F581/E581,4),"")</f>
        <v/>
      </c>
      <c r="H581" s="14">
        <f>IF(D581=0,"NO DATA",IF(D581&gt;E581*1.5,"OVER",IF(D581&gt;E581*1.1,"HIGH",IF(D581&lt;E581*0.5,"LOW","OK"))))</f>
        <v/>
      </c>
    </row>
    <row r="582" ht="22" customHeight="1">
      <c r="B582" s="8" t="inlineStr">
        <is>
          <t>MTR-CTW-004</t>
        </is>
      </c>
      <c r="C582" s="8" t="inlineStr">
        <is>
          <t>2024-08-03</t>
        </is>
      </c>
      <c r="D582" s="12" t="n">
        <v>35.62</v>
      </c>
      <c r="E582" s="12" t="n">
        <v>38</v>
      </c>
      <c r="F582" s="12">
        <f>ROUND(D582-E582,2)</f>
        <v/>
      </c>
      <c r="G582" s="15">
        <f>IFERROR(ROUND(F582/E582,4),"")</f>
        <v/>
      </c>
      <c r="H582" s="16">
        <f>IF(D582=0,"NO DATA",IF(D582&gt;E582*1.5,"OVER",IF(D582&gt;E582*1.1,"HIGH",IF(D582&lt;E582*0.5,"LOW","OK"))))</f>
        <v/>
      </c>
    </row>
    <row r="583" ht="22" customHeight="1">
      <c r="B583" s="5" t="inlineStr">
        <is>
          <t>MTR-CTW-004</t>
        </is>
      </c>
      <c r="C583" s="5" t="inlineStr">
        <is>
          <t>2024-08-04</t>
        </is>
      </c>
      <c r="D583" s="11" t="n">
        <v>20.34</v>
      </c>
      <c r="E583" s="11" t="n">
        <v>38</v>
      </c>
      <c r="F583" s="11">
        <f>ROUND(D583-E583,2)</f>
        <v/>
      </c>
      <c r="G583" s="13">
        <f>IFERROR(ROUND(F583/E583,4),"")</f>
        <v/>
      </c>
      <c r="H583" s="14">
        <f>IF(D583=0,"NO DATA",IF(D583&gt;E583*1.5,"OVER",IF(D583&gt;E583*1.1,"HIGH",IF(D583&lt;E583*0.5,"LOW","OK"))))</f>
        <v/>
      </c>
    </row>
    <row r="584" ht="22" customHeight="1">
      <c r="B584" s="8" t="inlineStr">
        <is>
          <t>MTR-CTW-004</t>
        </is>
      </c>
      <c r="C584" s="8" t="inlineStr">
        <is>
          <t>2024-08-05</t>
        </is>
      </c>
      <c r="D584" s="12" t="n">
        <v>47.7</v>
      </c>
      <c r="E584" s="12" t="n">
        <v>38</v>
      </c>
      <c r="F584" s="12">
        <f>ROUND(D584-E584,2)</f>
        <v/>
      </c>
      <c r="G584" s="15">
        <f>IFERROR(ROUND(F584/E584,4),"")</f>
        <v/>
      </c>
      <c r="H584" s="16">
        <f>IF(D584=0,"NO DATA",IF(D584&gt;E584*1.5,"OVER",IF(D584&gt;E584*1.1,"HIGH",IF(D584&lt;E584*0.5,"LOW","OK"))))</f>
        <v/>
      </c>
    </row>
    <row r="585" ht="22" customHeight="1">
      <c r="B585" s="5" t="inlineStr">
        <is>
          <t>MTR-CTW-004</t>
        </is>
      </c>
      <c r="C585" s="5" t="inlineStr">
        <is>
          <t>2024-08-06</t>
        </is>
      </c>
      <c r="D585" s="11" t="n">
        <v>44.51</v>
      </c>
      <c r="E585" s="11" t="n">
        <v>38</v>
      </c>
      <c r="F585" s="11">
        <f>ROUND(D585-E585,2)</f>
        <v/>
      </c>
      <c r="G585" s="13">
        <f>IFERROR(ROUND(F585/E585,4),"")</f>
        <v/>
      </c>
      <c r="H585" s="14">
        <f>IF(D585=0,"NO DATA",IF(D585&gt;E585*1.5,"OVER",IF(D585&gt;E585*1.1,"HIGH",IF(D585&lt;E585*0.5,"LOW","OK"))))</f>
        <v/>
      </c>
    </row>
    <row r="586" ht="22" customHeight="1">
      <c r="B586" s="8" t="inlineStr">
        <is>
          <t>MTR-CTW-004</t>
        </is>
      </c>
      <c r="C586" s="8" t="inlineStr">
        <is>
          <t>2024-08-07</t>
        </is>
      </c>
      <c r="D586" s="12" t="n">
        <v>38.87</v>
      </c>
      <c r="E586" s="12" t="n">
        <v>38</v>
      </c>
      <c r="F586" s="12">
        <f>ROUND(D586-E586,2)</f>
        <v/>
      </c>
      <c r="G586" s="15">
        <f>IFERROR(ROUND(F586/E586,4),"")</f>
        <v/>
      </c>
      <c r="H586" s="16">
        <f>IF(D586=0,"NO DATA",IF(D586&gt;E586*1.5,"OVER",IF(D586&gt;E586*1.1,"HIGH",IF(D586&lt;E586*0.5,"LOW","OK"))))</f>
        <v/>
      </c>
    </row>
    <row r="587" ht="22" customHeight="1">
      <c r="B587" s="5" t="inlineStr">
        <is>
          <t>MTR-CTW-004</t>
        </is>
      </c>
      <c r="C587" s="5" t="inlineStr">
        <is>
          <t>2024-08-08</t>
        </is>
      </c>
      <c r="D587" s="11" t="n">
        <v>42.14</v>
      </c>
      <c r="E587" s="11" t="n">
        <v>38</v>
      </c>
      <c r="F587" s="11">
        <f>ROUND(D587-E587,2)</f>
        <v/>
      </c>
      <c r="G587" s="13">
        <f>IFERROR(ROUND(F587/E587,4),"")</f>
        <v/>
      </c>
      <c r="H587" s="14">
        <f>IF(D587=0,"NO DATA",IF(D587&gt;E587*1.5,"OVER",IF(D587&gt;E587*1.1,"HIGH",IF(D587&lt;E587*0.5,"LOW","OK"))))</f>
        <v/>
      </c>
    </row>
    <row r="588" ht="22" customHeight="1">
      <c r="B588" s="8" t="inlineStr">
        <is>
          <t>MTR-CTW-004</t>
        </is>
      </c>
      <c r="C588" s="8" t="inlineStr">
        <is>
          <t>2024-08-09</t>
        </is>
      </c>
      <c r="D588" s="12" t="n">
        <v>44.96</v>
      </c>
      <c r="E588" s="12" t="n">
        <v>38</v>
      </c>
      <c r="F588" s="12">
        <f>ROUND(D588-E588,2)</f>
        <v/>
      </c>
      <c r="G588" s="15">
        <f>IFERROR(ROUND(F588/E588,4),"")</f>
        <v/>
      </c>
      <c r="H588" s="16">
        <f>IF(D588=0,"NO DATA",IF(D588&gt;E588*1.5,"OVER",IF(D588&gt;E588*1.1,"HIGH",IF(D588&lt;E588*0.5,"LOW","OK"))))</f>
        <v/>
      </c>
    </row>
    <row r="589" ht="22" customHeight="1">
      <c r="B589" s="5" t="inlineStr">
        <is>
          <t>MTR-CTW-004</t>
        </is>
      </c>
      <c r="C589" s="5" t="inlineStr">
        <is>
          <t>2024-08-11</t>
        </is>
      </c>
      <c r="D589" s="11" t="n">
        <v>19.43</v>
      </c>
      <c r="E589" s="11" t="n">
        <v>38</v>
      </c>
      <c r="F589" s="11">
        <f>ROUND(D589-E589,2)</f>
        <v/>
      </c>
      <c r="G589" s="13">
        <f>IFERROR(ROUND(F589/E589,4),"")</f>
        <v/>
      </c>
      <c r="H589" s="14">
        <f>IF(D589=0,"NO DATA",IF(D589&gt;E589*1.5,"OVER",IF(D589&gt;E589*1.1,"HIGH",IF(D589&lt;E589*0.5,"LOW","OK"))))</f>
        <v/>
      </c>
    </row>
    <row r="590" ht="22" customHeight="1">
      <c r="B590" s="8" t="inlineStr">
        <is>
          <t>MTR-CTW-004</t>
        </is>
      </c>
      <c r="C590" s="8" t="inlineStr">
        <is>
          <t>2024-08-12</t>
        </is>
      </c>
      <c r="D590" s="12" t="n">
        <v>43.17</v>
      </c>
      <c r="E590" s="12" t="n">
        <v>38</v>
      </c>
      <c r="F590" s="12">
        <f>ROUND(D590-E590,2)</f>
        <v/>
      </c>
      <c r="G590" s="15">
        <f>IFERROR(ROUND(F590/E590,4),"")</f>
        <v/>
      </c>
      <c r="H590" s="16">
        <f>IF(D590=0,"NO DATA",IF(D590&gt;E590*1.5,"OVER",IF(D590&gt;E590*1.1,"HIGH",IF(D590&lt;E590*0.5,"LOW","OK"))))</f>
        <v/>
      </c>
    </row>
    <row r="591" ht="22" customHeight="1">
      <c r="B591" s="5" t="inlineStr">
        <is>
          <t>MTR-CTW-004</t>
        </is>
      </c>
      <c r="C591" s="5" t="inlineStr">
        <is>
          <t>2024-08-13</t>
        </is>
      </c>
      <c r="D591" s="11" t="n">
        <v>42.06</v>
      </c>
      <c r="E591" s="11" t="n">
        <v>38</v>
      </c>
      <c r="F591" s="11">
        <f>ROUND(D591-E591,2)</f>
        <v/>
      </c>
      <c r="G591" s="13">
        <f>IFERROR(ROUND(F591/E591,4),"")</f>
        <v/>
      </c>
      <c r="H591" s="14">
        <f>IF(D591=0,"NO DATA",IF(D591&gt;E591*1.5,"OVER",IF(D591&gt;E591*1.1,"HIGH",IF(D591&lt;E591*0.5,"LOW","OK"))))</f>
        <v/>
      </c>
    </row>
    <row r="592" ht="22" customHeight="1">
      <c r="B592" s="8" t="inlineStr">
        <is>
          <t>MTR-CTW-004</t>
        </is>
      </c>
      <c r="C592" s="8" t="inlineStr">
        <is>
          <t>2024-08-14</t>
        </is>
      </c>
      <c r="D592" s="12" t="n">
        <v>40.14</v>
      </c>
      <c r="E592" s="12" t="n">
        <v>38</v>
      </c>
      <c r="F592" s="12">
        <f>ROUND(D592-E592,2)</f>
        <v/>
      </c>
      <c r="G592" s="15">
        <f>IFERROR(ROUND(F592/E592,4),"")</f>
        <v/>
      </c>
      <c r="H592" s="16">
        <f>IF(D592=0,"NO DATA",IF(D592&gt;E592*1.5,"OVER",IF(D592&gt;E592*1.1,"HIGH",IF(D592&lt;E592*0.5,"LOW","OK"))))</f>
        <v/>
      </c>
    </row>
    <row r="593" ht="22" customHeight="1">
      <c r="B593" s="5" t="inlineStr">
        <is>
          <t>MTR-CTW-004</t>
        </is>
      </c>
      <c r="C593" s="5" t="inlineStr">
        <is>
          <t>2024-08-15</t>
        </is>
      </c>
      <c r="D593" s="11" t="n">
        <v>47.93</v>
      </c>
      <c r="E593" s="11" t="n">
        <v>38</v>
      </c>
      <c r="F593" s="11">
        <f>ROUND(D593-E593,2)</f>
        <v/>
      </c>
      <c r="G593" s="13">
        <f>IFERROR(ROUND(F593/E593,4),"")</f>
        <v/>
      </c>
      <c r="H593" s="14">
        <f>IF(D593=0,"NO DATA",IF(D593&gt;E593*1.5,"OVER",IF(D593&gt;E593*1.1,"HIGH",IF(D593&lt;E593*0.5,"LOW","OK"))))</f>
        <v/>
      </c>
    </row>
    <row r="594" ht="22" customHeight="1">
      <c r="B594" s="8" t="inlineStr">
        <is>
          <t>MTR-CTW-004</t>
        </is>
      </c>
      <c r="C594" s="8" t="inlineStr">
        <is>
          <t>2024-08-16</t>
        </is>
      </c>
      <c r="D594" s="12" t="n">
        <v>40.69</v>
      </c>
      <c r="E594" s="12" t="n">
        <v>38</v>
      </c>
      <c r="F594" s="12">
        <f>ROUND(D594-E594,2)</f>
        <v/>
      </c>
      <c r="G594" s="15">
        <f>IFERROR(ROUND(F594/E594,4),"")</f>
        <v/>
      </c>
      <c r="H594" s="16">
        <f>IF(D594=0,"NO DATA",IF(D594&gt;E594*1.5,"OVER",IF(D594&gt;E594*1.1,"HIGH",IF(D594&lt;E594*0.5,"LOW","OK"))))</f>
        <v/>
      </c>
    </row>
    <row r="595" ht="22" customHeight="1">
      <c r="B595" s="5" t="inlineStr">
        <is>
          <t>MTR-CTW-004</t>
        </is>
      </c>
      <c r="C595" s="5" t="inlineStr">
        <is>
          <t>2024-08-17</t>
        </is>
      </c>
      <c r="D595" s="11" t="n">
        <v>31.23</v>
      </c>
      <c r="E595" s="11" t="n">
        <v>38</v>
      </c>
      <c r="F595" s="11">
        <f>ROUND(D595-E595,2)</f>
        <v/>
      </c>
      <c r="G595" s="13">
        <f>IFERROR(ROUND(F595/E595,4),"")</f>
        <v/>
      </c>
      <c r="H595" s="14">
        <f>IF(D595=0,"NO DATA",IF(D595&gt;E595*1.5,"OVER",IF(D595&gt;E595*1.1,"HIGH",IF(D595&lt;E595*0.5,"LOW","OK"))))</f>
        <v/>
      </c>
    </row>
    <row r="596" ht="22" customHeight="1">
      <c r="B596" s="8" t="inlineStr">
        <is>
          <t>MTR-CTW-004</t>
        </is>
      </c>
      <c r="C596" s="8" t="inlineStr">
        <is>
          <t>2024-08-18</t>
        </is>
      </c>
      <c r="D596" s="12" t="n">
        <v>23.57</v>
      </c>
      <c r="E596" s="12" t="n">
        <v>38</v>
      </c>
      <c r="F596" s="12">
        <f>ROUND(D596-E596,2)</f>
        <v/>
      </c>
      <c r="G596" s="15">
        <f>IFERROR(ROUND(F596/E596,4),"")</f>
        <v/>
      </c>
      <c r="H596" s="16">
        <f>IF(D596=0,"NO DATA",IF(D596&gt;E596*1.5,"OVER",IF(D596&gt;E596*1.1,"HIGH",IF(D596&lt;E596*0.5,"LOW","OK"))))</f>
        <v/>
      </c>
    </row>
    <row r="597" ht="22" customHeight="1">
      <c r="B597" s="5" t="inlineStr">
        <is>
          <t>MTR-CTW-004</t>
        </is>
      </c>
      <c r="C597" s="5" t="inlineStr">
        <is>
          <t>2024-08-19</t>
        </is>
      </c>
      <c r="D597" s="11" t="n">
        <v>44.82</v>
      </c>
      <c r="E597" s="11" t="n">
        <v>38</v>
      </c>
      <c r="F597" s="11">
        <f>ROUND(D597-E597,2)</f>
        <v/>
      </c>
      <c r="G597" s="13">
        <f>IFERROR(ROUND(F597/E597,4),"")</f>
        <v/>
      </c>
      <c r="H597" s="14">
        <f>IF(D597=0,"NO DATA",IF(D597&gt;E597*1.5,"OVER",IF(D597&gt;E597*1.1,"HIGH",IF(D597&lt;E597*0.5,"LOW","OK"))))</f>
        <v/>
      </c>
    </row>
    <row r="598" ht="22" customHeight="1">
      <c r="B598" s="8" t="inlineStr">
        <is>
          <t>MTR-CTW-004</t>
        </is>
      </c>
      <c r="C598" s="8" t="inlineStr">
        <is>
          <t>2024-08-20</t>
        </is>
      </c>
      <c r="D598" s="12" t="n">
        <v>44.51</v>
      </c>
      <c r="E598" s="12" t="n">
        <v>38</v>
      </c>
      <c r="F598" s="12">
        <f>ROUND(D598-E598,2)</f>
        <v/>
      </c>
      <c r="G598" s="15">
        <f>IFERROR(ROUND(F598/E598,4),"")</f>
        <v/>
      </c>
      <c r="H598" s="16">
        <f>IF(D598=0,"NO DATA",IF(D598&gt;E598*1.5,"OVER",IF(D598&gt;E598*1.1,"HIGH",IF(D598&lt;E598*0.5,"LOW","OK"))))</f>
        <v/>
      </c>
    </row>
    <row r="599" ht="22" customHeight="1">
      <c r="B599" s="5" t="inlineStr">
        <is>
          <t>MTR-CTW-004</t>
        </is>
      </c>
      <c r="C599" s="5" t="inlineStr">
        <is>
          <t>2024-08-21</t>
        </is>
      </c>
      <c r="D599" s="11" t="n">
        <v>43.28</v>
      </c>
      <c r="E599" s="11" t="n">
        <v>38</v>
      </c>
      <c r="F599" s="11">
        <f>ROUND(D599-E599,2)</f>
        <v/>
      </c>
      <c r="G599" s="13">
        <f>IFERROR(ROUND(F599/E599,4),"")</f>
        <v/>
      </c>
      <c r="H599" s="14">
        <f>IF(D599=0,"NO DATA",IF(D599&gt;E599*1.5,"OVER",IF(D599&gt;E599*1.1,"HIGH",IF(D599&lt;E599*0.5,"LOW","OK"))))</f>
        <v/>
      </c>
    </row>
    <row r="600" ht="22" customHeight="1">
      <c r="B600" s="8" t="inlineStr">
        <is>
          <t>MTR-CTW-004</t>
        </is>
      </c>
      <c r="C600" s="8" t="inlineStr">
        <is>
          <t>2024-08-22</t>
        </is>
      </c>
      <c r="D600" s="12" t="n">
        <v>41.2</v>
      </c>
      <c r="E600" s="12" t="n">
        <v>38</v>
      </c>
      <c r="F600" s="12">
        <f>ROUND(D600-E600,2)</f>
        <v/>
      </c>
      <c r="G600" s="15">
        <f>IFERROR(ROUND(F600/E600,4),"")</f>
        <v/>
      </c>
      <c r="H600" s="16">
        <f>IF(D600=0,"NO DATA",IF(D600&gt;E600*1.5,"OVER",IF(D600&gt;E600*1.1,"HIGH",IF(D600&lt;E600*0.5,"LOW","OK"))))</f>
        <v/>
      </c>
    </row>
    <row r="601" ht="22" customHeight="1">
      <c r="B601" s="5" t="inlineStr">
        <is>
          <t>MTR-CTW-004</t>
        </is>
      </c>
      <c r="C601" s="5" t="inlineStr">
        <is>
          <t>2024-08-23</t>
        </is>
      </c>
      <c r="D601" s="11" t="n">
        <v>45.08</v>
      </c>
      <c r="E601" s="11" t="n">
        <v>38</v>
      </c>
      <c r="F601" s="11">
        <f>ROUND(D601-E601,2)</f>
        <v/>
      </c>
      <c r="G601" s="13">
        <f>IFERROR(ROUND(F601/E601,4),"")</f>
        <v/>
      </c>
      <c r="H601" s="14">
        <f>IF(D601=0,"NO DATA",IF(D601&gt;E601*1.5,"OVER",IF(D601&gt;E601*1.1,"HIGH",IF(D601&lt;E601*0.5,"LOW","OK"))))</f>
        <v/>
      </c>
    </row>
    <row r="602" ht="22" customHeight="1">
      <c r="B602" s="8" t="inlineStr">
        <is>
          <t>MTR-CTW-004</t>
        </is>
      </c>
      <c r="C602" s="8" t="inlineStr">
        <is>
          <t>2024-08-24</t>
        </is>
      </c>
      <c r="D602" s="12" t="n">
        <v>31.58</v>
      </c>
      <c r="E602" s="12" t="n">
        <v>38</v>
      </c>
      <c r="F602" s="12">
        <f>ROUND(D602-E602,2)</f>
        <v/>
      </c>
      <c r="G602" s="15">
        <f>IFERROR(ROUND(F602/E602,4),"")</f>
        <v/>
      </c>
      <c r="H602" s="16">
        <f>IF(D602=0,"NO DATA",IF(D602&gt;E602*1.5,"OVER",IF(D602&gt;E602*1.1,"HIGH",IF(D602&lt;E602*0.5,"LOW","OK"))))</f>
        <v/>
      </c>
    </row>
    <row r="603" ht="22" customHeight="1">
      <c r="B603" s="5" t="inlineStr">
        <is>
          <t>MTR-CTW-004</t>
        </is>
      </c>
      <c r="C603" s="5" t="inlineStr">
        <is>
          <t>2024-08-25</t>
        </is>
      </c>
      <c r="D603" s="11" t="n">
        <v>21.44</v>
      </c>
      <c r="E603" s="11" t="n">
        <v>38</v>
      </c>
      <c r="F603" s="11">
        <f>ROUND(D603-E603,2)</f>
        <v/>
      </c>
      <c r="G603" s="13">
        <f>IFERROR(ROUND(F603/E603,4),"")</f>
        <v/>
      </c>
      <c r="H603" s="14">
        <f>IF(D603=0,"NO DATA",IF(D603&gt;E603*1.5,"OVER",IF(D603&gt;E603*1.1,"HIGH",IF(D603&lt;E603*0.5,"LOW","OK"))))</f>
        <v/>
      </c>
    </row>
    <row r="604" ht="22" customHeight="1">
      <c r="B604" s="8" t="inlineStr">
        <is>
          <t>MTR-CTW-004</t>
        </is>
      </c>
      <c r="C604" s="8" t="inlineStr">
        <is>
          <t>2024-08-26</t>
        </is>
      </c>
      <c r="D604" s="12" t="n">
        <v>43.24</v>
      </c>
      <c r="E604" s="12" t="n">
        <v>38</v>
      </c>
      <c r="F604" s="12">
        <f>ROUND(D604-E604,2)</f>
        <v/>
      </c>
      <c r="G604" s="15">
        <f>IFERROR(ROUND(F604/E604,4),"")</f>
        <v/>
      </c>
      <c r="H604" s="16">
        <f>IF(D604=0,"NO DATA",IF(D604&gt;E604*1.5,"OVER",IF(D604&gt;E604*1.1,"HIGH",IF(D604&lt;E604*0.5,"LOW","OK"))))</f>
        <v/>
      </c>
    </row>
    <row r="605" ht="22" customHeight="1">
      <c r="B605" s="5" t="inlineStr">
        <is>
          <t>MTR-CTW-004</t>
        </is>
      </c>
      <c r="C605" s="5" t="inlineStr">
        <is>
          <t>2024-08-27</t>
        </is>
      </c>
      <c r="D605" s="11" t="n">
        <v>43.67</v>
      </c>
      <c r="E605" s="11" t="n">
        <v>38</v>
      </c>
      <c r="F605" s="11">
        <f>ROUND(D605-E605,2)</f>
        <v/>
      </c>
      <c r="G605" s="13">
        <f>IFERROR(ROUND(F605/E605,4),"")</f>
        <v/>
      </c>
      <c r="H605" s="14">
        <f>IF(D605=0,"NO DATA",IF(D605&gt;E605*1.5,"OVER",IF(D605&gt;E605*1.1,"HIGH",IF(D605&lt;E605*0.5,"LOW","OK"))))</f>
        <v/>
      </c>
    </row>
    <row r="606" ht="22" customHeight="1">
      <c r="B606" s="8" t="inlineStr">
        <is>
          <t>MTR-CTW-004</t>
        </is>
      </c>
      <c r="C606" s="8" t="inlineStr">
        <is>
          <t>2024-08-28</t>
        </is>
      </c>
      <c r="D606" s="12" t="n">
        <v>37</v>
      </c>
      <c r="E606" s="12" t="n">
        <v>38</v>
      </c>
      <c r="F606" s="12">
        <f>ROUND(D606-E606,2)</f>
        <v/>
      </c>
      <c r="G606" s="15">
        <f>IFERROR(ROUND(F606/E606,4),"")</f>
        <v/>
      </c>
      <c r="H606" s="16">
        <f>IF(D606=0,"NO DATA",IF(D606&gt;E606*1.5,"OVER",IF(D606&gt;E606*1.1,"HIGH",IF(D606&lt;E606*0.5,"LOW","OK"))))</f>
        <v/>
      </c>
    </row>
    <row r="607" ht="22" customHeight="1">
      <c r="B607" s="5" t="inlineStr">
        <is>
          <t>MTR-CTW-004</t>
        </is>
      </c>
      <c r="C607" s="5" t="inlineStr">
        <is>
          <t>2024-08-29</t>
        </is>
      </c>
      <c r="D607" s="11" t="n">
        <v>40.79</v>
      </c>
      <c r="E607" s="11" t="n">
        <v>38</v>
      </c>
      <c r="F607" s="11">
        <f>ROUND(D607-E607,2)</f>
        <v/>
      </c>
      <c r="G607" s="13">
        <f>IFERROR(ROUND(F607/E607,4),"")</f>
        <v/>
      </c>
      <c r="H607" s="14">
        <f>IF(D607=0,"NO DATA",IF(D607&gt;E607*1.5,"OVER",IF(D607&gt;E607*1.1,"HIGH",IF(D607&lt;E607*0.5,"LOW","OK"))))</f>
        <v/>
      </c>
    </row>
    <row r="608" ht="22" customHeight="1">
      <c r="B608" s="8" t="inlineStr">
        <is>
          <t>MTR-CTW-004</t>
        </is>
      </c>
      <c r="C608" s="8" t="inlineStr">
        <is>
          <t>2024-08-30</t>
        </is>
      </c>
      <c r="D608" s="12" t="n">
        <v>39.91</v>
      </c>
      <c r="E608" s="12" t="n">
        <v>38</v>
      </c>
      <c r="F608" s="12">
        <f>ROUND(D608-E608,2)</f>
        <v/>
      </c>
      <c r="G608" s="15">
        <f>IFERROR(ROUND(F608/E608,4),"")</f>
        <v/>
      </c>
      <c r="H608" s="16">
        <f>IF(D608=0,"NO DATA",IF(D608&gt;E608*1.5,"OVER",IF(D608&gt;E608*1.1,"HIGH",IF(D608&lt;E608*0.5,"LOW","OK"))))</f>
        <v/>
      </c>
    </row>
    <row r="609" ht="22" customHeight="1">
      <c r="B609" s="5" t="inlineStr">
        <is>
          <t>MTR-CTW-004</t>
        </is>
      </c>
      <c r="C609" s="5" t="inlineStr">
        <is>
          <t>2024-08-31</t>
        </is>
      </c>
      <c r="D609" s="11" t="n">
        <v>36.11</v>
      </c>
      <c r="E609" s="11" t="n">
        <v>38</v>
      </c>
      <c r="F609" s="11">
        <f>ROUND(D609-E609,2)</f>
        <v/>
      </c>
      <c r="G609" s="13">
        <f>IFERROR(ROUND(F609/E609,4),"")</f>
        <v/>
      </c>
      <c r="H609" s="14">
        <f>IF(D609=0,"NO DATA",IF(D609&gt;E609*1.5,"OVER",IF(D609&gt;E609*1.1,"HIGH",IF(D609&lt;E609*0.5,"LOW","OK"))))</f>
        <v/>
      </c>
    </row>
    <row r="610" ht="22" customHeight="1">
      <c r="B610" s="8" t="inlineStr">
        <is>
          <t>MTR-CTW-004</t>
        </is>
      </c>
      <c r="C610" s="8" t="inlineStr">
        <is>
          <t>2024-09-01</t>
        </is>
      </c>
      <c r="D610" s="12" t="n">
        <v>19.41</v>
      </c>
      <c r="E610" s="12" t="n">
        <v>38</v>
      </c>
      <c r="F610" s="12">
        <f>ROUND(D610-E610,2)</f>
        <v/>
      </c>
      <c r="G610" s="15">
        <f>IFERROR(ROUND(F610/E610,4),"")</f>
        <v/>
      </c>
      <c r="H610" s="16">
        <f>IF(D610=0,"NO DATA",IF(D610&gt;E610*1.5,"OVER",IF(D610&gt;E610*1.1,"HIGH",IF(D610&lt;E610*0.5,"LOW","OK"))))</f>
        <v/>
      </c>
    </row>
    <row r="611" ht="22" customHeight="1">
      <c r="B611" s="5" t="inlineStr">
        <is>
          <t>MTR-CTW-004</t>
        </is>
      </c>
      <c r="C611" s="5" t="inlineStr">
        <is>
          <t>2024-09-02</t>
        </is>
      </c>
      <c r="D611" s="11" t="n">
        <v>44.37</v>
      </c>
      <c r="E611" s="11" t="n">
        <v>38</v>
      </c>
      <c r="F611" s="11">
        <f>ROUND(D611-E611,2)</f>
        <v/>
      </c>
      <c r="G611" s="13">
        <f>IFERROR(ROUND(F611/E611,4),"")</f>
        <v/>
      </c>
      <c r="H611" s="14">
        <f>IF(D611=0,"NO DATA",IF(D611&gt;E611*1.5,"OVER",IF(D611&gt;E611*1.1,"HIGH",IF(D611&lt;E611*0.5,"LOW","OK"))))</f>
        <v/>
      </c>
    </row>
    <row r="612" ht="22" customHeight="1">
      <c r="B612" s="8" t="inlineStr">
        <is>
          <t>MTR-CTW-004</t>
        </is>
      </c>
      <c r="C612" s="8" t="inlineStr">
        <is>
          <t>2024-09-03</t>
        </is>
      </c>
      <c r="D612" s="12" t="n">
        <v>45.63</v>
      </c>
      <c r="E612" s="12" t="n">
        <v>38</v>
      </c>
      <c r="F612" s="12">
        <f>ROUND(D612-E612,2)</f>
        <v/>
      </c>
      <c r="G612" s="15">
        <f>IFERROR(ROUND(F612/E612,4),"")</f>
        <v/>
      </c>
      <c r="H612" s="16">
        <f>IF(D612=0,"NO DATA",IF(D612&gt;E612*1.5,"OVER",IF(D612&gt;E612*1.1,"HIGH",IF(D612&lt;E612*0.5,"LOW","OK"))))</f>
        <v/>
      </c>
    </row>
    <row r="613" ht="22" customHeight="1">
      <c r="B613" s="5" t="inlineStr">
        <is>
          <t>MTR-CTW-004</t>
        </is>
      </c>
      <c r="C613" s="5" t="inlineStr">
        <is>
          <t>2024-09-04</t>
        </is>
      </c>
      <c r="D613" s="11" t="n">
        <v>42.8</v>
      </c>
      <c r="E613" s="11" t="n">
        <v>38</v>
      </c>
      <c r="F613" s="11">
        <f>ROUND(D613-E613,2)</f>
        <v/>
      </c>
      <c r="G613" s="13">
        <f>IFERROR(ROUND(F613/E613,4),"")</f>
        <v/>
      </c>
      <c r="H613" s="14">
        <f>IF(D613=0,"NO DATA",IF(D613&gt;E613*1.5,"OVER",IF(D613&gt;E613*1.1,"HIGH",IF(D613&lt;E613*0.5,"LOW","OK"))))</f>
        <v/>
      </c>
    </row>
    <row r="614" ht="22" customHeight="1">
      <c r="B614" s="8" t="inlineStr">
        <is>
          <t>MTR-CTW-004</t>
        </is>
      </c>
      <c r="C614" s="8" t="inlineStr">
        <is>
          <t>2024-09-05</t>
        </is>
      </c>
      <c r="D614" s="12" t="n">
        <v>38.6</v>
      </c>
      <c r="E614" s="12" t="n">
        <v>38</v>
      </c>
      <c r="F614" s="12">
        <f>ROUND(D614-E614,2)</f>
        <v/>
      </c>
      <c r="G614" s="15">
        <f>IFERROR(ROUND(F614/E614,4),"")</f>
        <v/>
      </c>
      <c r="H614" s="16">
        <f>IF(D614=0,"NO DATA",IF(D614&gt;E614*1.5,"OVER",IF(D614&gt;E614*1.1,"HIGH",IF(D614&lt;E614*0.5,"LOW","OK"))))</f>
        <v/>
      </c>
    </row>
    <row r="615" ht="22" customHeight="1">
      <c r="B615" s="5" t="inlineStr">
        <is>
          <t>MTR-CTW-004</t>
        </is>
      </c>
      <c r="C615" s="5" t="inlineStr">
        <is>
          <t>2024-09-06</t>
        </is>
      </c>
      <c r="D615" s="11" t="n">
        <v>45.69</v>
      </c>
      <c r="E615" s="11" t="n">
        <v>38</v>
      </c>
      <c r="F615" s="11">
        <f>ROUND(D615-E615,2)</f>
        <v/>
      </c>
      <c r="G615" s="13">
        <f>IFERROR(ROUND(F615/E615,4),"")</f>
        <v/>
      </c>
      <c r="H615" s="14">
        <f>IF(D615=0,"NO DATA",IF(D615&gt;E615*1.5,"OVER",IF(D615&gt;E615*1.1,"HIGH",IF(D615&lt;E615*0.5,"LOW","OK"))))</f>
        <v/>
      </c>
    </row>
    <row r="616" ht="22" customHeight="1">
      <c r="B616" s="8" t="inlineStr">
        <is>
          <t>MTR-CTW-004</t>
        </is>
      </c>
      <c r="C616" s="8" t="inlineStr">
        <is>
          <t>2024-09-07</t>
        </is>
      </c>
      <c r="D616" s="12" t="n">
        <v>34.09</v>
      </c>
      <c r="E616" s="12" t="n">
        <v>38</v>
      </c>
      <c r="F616" s="12">
        <f>ROUND(D616-E616,2)</f>
        <v/>
      </c>
      <c r="G616" s="15">
        <f>IFERROR(ROUND(F616/E616,4),"")</f>
        <v/>
      </c>
      <c r="H616" s="16">
        <f>IF(D616=0,"NO DATA",IF(D616&gt;E616*1.5,"OVER",IF(D616&gt;E616*1.1,"HIGH",IF(D616&lt;E616*0.5,"LOW","OK"))))</f>
        <v/>
      </c>
    </row>
    <row r="617" ht="22" customHeight="1">
      <c r="B617" s="5" t="inlineStr">
        <is>
          <t>MTR-CTW-004</t>
        </is>
      </c>
      <c r="C617" s="5" t="inlineStr">
        <is>
          <t>2024-09-08</t>
        </is>
      </c>
      <c r="D617" s="11" t="n">
        <v>21.27</v>
      </c>
      <c r="E617" s="11" t="n">
        <v>38</v>
      </c>
      <c r="F617" s="11">
        <f>ROUND(D617-E617,2)</f>
        <v/>
      </c>
      <c r="G617" s="13">
        <f>IFERROR(ROUND(F617/E617,4),"")</f>
        <v/>
      </c>
      <c r="H617" s="14">
        <f>IF(D617=0,"NO DATA",IF(D617&gt;E617*1.5,"OVER",IF(D617&gt;E617*1.1,"HIGH",IF(D617&lt;E617*0.5,"LOW","OK"))))</f>
        <v/>
      </c>
    </row>
    <row r="618" ht="22" customHeight="1">
      <c r="B618" s="8" t="inlineStr">
        <is>
          <t>MTR-CTW-004</t>
        </is>
      </c>
      <c r="C618" s="8" t="inlineStr">
        <is>
          <t>2024-09-09</t>
        </is>
      </c>
      <c r="D618" s="12" t="n">
        <v>44.81</v>
      </c>
      <c r="E618" s="12" t="n">
        <v>38</v>
      </c>
      <c r="F618" s="12">
        <f>ROUND(D618-E618,2)</f>
        <v/>
      </c>
      <c r="G618" s="15">
        <f>IFERROR(ROUND(F618/E618,4),"")</f>
        <v/>
      </c>
      <c r="H618" s="16">
        <f>IF(D618=0,"NO DATA",IF(D618&gt;E618*1.5,"OVER",IF(D618&gt;E618*1.1,"HIGH",IF(D618&lt;E618*0.5,"LOW","OK"))))</f>
        <v/>
      </c>
    </row>
    <row r="619" ht="22" customHeight="1">
      <c r="B619" s="5" t="inlineStr">
        <is>
          <t>MTR-CTW-004</t>
        </is>
      </c>
      <c r="C619" s="5" t="inlineStr">
        <is>
          <t>2024-09-10</t>
        </is>
      </c>
      <c r="D619" s="11" t="n">
        <v>44.72</v>
      </c>
      <c r="E619" s="11" t="n">
        <v>38</v>
      </c>
      <c r="F619" s="11">
        <f>ROUND(D619-E619,2)</f>
        <v/>
      </c>
      <c r="G619" s="13">
        <f>IFERROR(ROUND(F619/E619,4),"")</f>
        <v/>
      </c>
      <c r="H619" s="14">
        <f>IF(D619=0,"NO DATA",IF(D619&gt;E619*1.5,"OVER",IF(D619&gt;E619*1.1,"HIGH",IF(D619&lt;E619*0.5,"LOW","OK"))))</f>
        <v/>
      </c>
    </row>
    <row r="620" ht="22" customHeight="1">
      <c r="B620" s="8" t="inlineStr">
        <is>
          <t>MTR-CTW-004</t>
        </is>
      </c>
      <c r="C620" s="8" t="inlineStr">
        <is>
          <t>2024-09-11</t>
        </is>
      </c>
      <c r="D620" s="12" t="n">
        <v>37.48</v>
      </c>
      <c r="E620" s="12" t="n">
        <v>38</v>
      </c>
      <c r="F620" s="12">
        <f>ROUND(D620-E620,2)</f>
        <v/>
      </c>
      <c r="G620" s="15">
        <f>IFERROR(ROUND(F620/E620,4),"")</f>
        <v/>
      </c>
      <c r="H620" s="16">
        <f>IF(D620=0,"NO DATA",IF(D620&gt;E620*1.5,"OVER",IF(D620&gt;E620*1.1,"HIGH",IF(D620&lt;E620*0.5,"LOW","OK"))))</f>
        <v/>
      </c>
    </row>
    <row r="621" ht="22" customHeight="1">
      <c r="B621" s="5" t="inlineStr">
        <is>
          <t>MTR-CTW-004</t>
        </is>
      </c>
      <c r="C621" s="5" t="inlineStr">
        <is>
          <t>2024-09-12</t>
        </is>
      </c>
      <c r="D621" s="11" t="n">
        <v>37.03</v>
      </c>
      <c r="E621" s="11" t="n">
        <v>38</v>
      </c>
      <c r="F621" s="11">
        <f>ROUND(D621-E621,2)</f>
        <v/>
      </c>
      <c r="G621" s="13">
        <f>IFERROR(ROUND(F621/E621,4),"")</f>
        <v/>
      </c>
      <c r="H621" s="14">
        <f>IF(D621=0,"NO DATA",IF(D621&gt;E621*1.5,"OVER",IF(D621&gt;E621*1.1,"HIGH",IF(D621&lt;E621*0.5,"LOW","OK"))))</f>
        <v/>
      </c>
    </row>
    <row r="622" ht="22" customHeight="1">
      <c r="B622" s="8" t="inlineStr">
        <is>
          <t>MTR-CTW-004</t>
        </is>
      </c>
      <c r="C622" s="8" t="inlineStr">
        <is>
          <t>2024-09-13</t>
        </is>
      </c>
      <c r="D622" s="12" t="n">
        <v>36.62</v>
      </c>
      <c r="E622" s="12" t="n">
        <v>38</v>
      </c>
      <c r="F622" s="12">
        <f>ROUND(D622-E622,2)</f>
        <v/>
      </c>
      <c r="G622" s="15">
        <f>IFERROR(ROUND(F622/E622,4),"")</f>
        <v/>
      </c>
      <c r="H622" s="16">
        <f>IF(D622=0,"NO DATA",IF(D622&gt;E622*1.5,"OVER",IF(D622&gt;E622*1.1,"HIGH",IF(D622&lt;E622*0.5,"LOW","OK"))))</f>
        <v/>
      </c>
    </row>
    <row r="623" ht="22" customHeight="1">
      <c r="B623" s="5" t="inlineStr">
        <is>
          <t>MTR-CTW-004</t>
        </is>
      </c>
      <c r="C623" s="5" t="inlineStr">
        <is>
          <t>2024-09-14</t>
        </is>
      </c>
      <c r="D623" s="11" t="n">
        <v>29.03</v>
      </c>
      <c r="E623" s="11" t="n">
        <v>38</v>
      </c>
      <c r="F623" s="11">
        <f>ROUND(D623-E623,2)</f>
        <v/>
      </c>
      <c r="G623" s="13">
        <f>IFERROR(ROUND(F623/E623,4),"")</f>
        <v/>
      </c>
      <c r="H623" s="14">
        <f>IF(D623=0,"NO DATA",IF(D623&gt;E623*1.5,"OVER",IF(D623&gt;E623*1.1,"HIGH",IF(D623&lt;E623*0.5,"LOW","OK"))))</f>
        <v/>
      </c>
    </row>
    <row r="624" ht="22" customHeight="1">
      <c r="B624" s="8" t="inlineStr">
        <is>
          <t>MTR-CTW-004</t>
        </is>
      </c>
      <c r="C624" s="8" t="inlineStr">
        <is>
          <t>2024-09-15</t>
        </is>
      </c>
      <c r="D624" s="12" t="n">
        <v>19.25</v>
      </c>
      <c r="E624" s="12" t="n">
        <v>38</v>
      </c>
      <c r="F624" s="12">
        <f>ROUND(D624-E624,2)</f>
        <v/>
      </c>
      <c r="G624" s="15">
        <f>IFERROR(ROUND(F624/E624,4),"")</f>
        <v/>
      </c>
      <c r="H624" s="16">
        <f>IF(D624=0,"NO DATA",IF(D624&gt;E624*1.5,"OVER",IF(D624&gt;E624*1.1,"HIGH",IF(D624&lt;E624*0.5,"LOW","OK"))))</f>
        <v/>
      </c>
    </row>
    <row r="625" ht="22" customHeight="1">
      <c r="B625" s="5" t="inlineStr">
        <is>
          <t>MTR-CTW-004</t>
        </is>
      </c>
      <c r="C625" s="5" t="inlineStr">
        <is>
          <t>2024-09-16</t>
        </is>
      </c>
      <c r="D625" s="11" t="n">
        <v>43.46</v>
      </c>
      <c r="E625" s="11" t="n">
        <v>38</v>
      </c>
      <c r="F625" s="11">
        <f>ROUND(D625-E625,2)</f>
        <v/>
      </c>
      <c r="G625" s="13">
        <f>IFERROR(ROUND(F625/E625,4),"")</f>
        <v/>
      </c>
      <c r="H625" s="14">
        <f>IF(D625=0,"NO DATA",IF(D625&gt;E625*1.5,"OVER",IF(D625&gt;E625*1.1,"HIGH",IF(D625&lt;E625*0.5,"LOW","OK"))))</f>
        <v/>
      </c>
    </row>
    <row r="626" ht="22" customHeight="1">
      <c r="B626" s="8" t="inlineStr">
        <is>
          <t>MTR-CTW-004</t>
        </is>
      </c>
      <c r="C626" s="8" t="inlineStr">
        <is>
          <t>2024-09-17</t>
        </is>
      </c>
      <c r="D626" s="12" t="n">
        <v>38.05</v>
      </c>
      <c r="E626" s="12" t="n">
        <v>38</v>
      </c>
      <c r="F626" s="12">
        <f>ROUND(D626-E626,2)</f>
        <v/>
      </c>
      <c r="G626" s="15">
        <f>IFERROR(ROUND(F626/E626,4),"")</f>
        <v/>
      </c>
      <c r="H626" s="16">
        <f>IF(D626=0,"NO DATA",IF(D626&gt;E626*1.5,"OVER",IF(D626&gt;E626*1.1,"HIGH",IF(D626&lt;E626*0.5,"LOW","OK"))))</f>
        <v/>
      </c>
    </row>
    <row r="627" ht="22" customHeight="1">
      <c r="B627" s="5" t="inlineStr">
        <is>
          <t>MTR-CTW-004</t>
        </is>
      </c>
      <c r="C627" s="5" t="inlineStr">
        <is>
          <t>2024-09-18</t>
        </is>
      </c>
      <c r="D627" s="11" t="n">
        <v>41.38</v>
      </c>
      <c r="E627" s="11" t="n">
        <v>38</v>
      </c>
      <c r="F627" s="11">
        <f>ROUND(D627-E627,2)</f>
        <v/>
      </c>
      <c r="G627" s="13">
        <f>IFERROR(ROUND(F627/E627,4),"")</f>
        <v/>
      </c>
      <c r="H627" s="14">
        <f>IF(D627=0,"NO DATA",IF(D627&gt;E627*1.5,"OVER",IF(D627&gt;E627*1.1,"HIGH",IF(D627&lt;E627*0.5,"LOW","OK"))))</f>
        <v/>
      </c>
    </row>
    <row r="628" ht="22" customHeight="1">
      <c r="B628" s="8" t="inlineStr">
        <is>
          <t>MTR-CTW-004</t>
        </is>
      </c>
      <c r="C628" s="8" t="inlineStr">
        <is>
          <t>2024-09-19</t>
        </is>
      </c>
      <c r="D628" s="12" t="n">
        <v>42.32</v>
      </c>
      <c r="E628" s="12" t="n">
        <v>38</v>
      </c>
      <c r="F628" s="12">
        <f>ROUND(D628-E628,2)</f>
        <v/>
      </c>
      <c r="G628" s="15">
        <f>IFERROR(ROUND(F628/E628,4),"")</f>
        <v/>
      </c>
      <c r="H628" s="16">
        <f>IF(D628=0,"NO DATA",IF(D628&gt;E628*1.5,"OVER",IF(D628&gt;E628*1.1,"HIGH",IF(D628&lt;E628*0.5,"LOW","OK"))))</f>
        <v/>
      </c>
    </row>
    <row r="629" ht="22" customHeight="1">
      <c r="B629" s="5" t="inlineStr">
        <is>
          <t>MTR-CTW-004</t>
        </is>
      </c>
      <c r="C629" s="5" t="inlineStr">
        <is>
          <t>2024-09-20</t>
        </is>
      </c>
      <c r="D629" s="11" t="n">
        <v>46.77</v>
      </c>
      <c r="E629" s="11" t="n">
        <v>38</v>
      </c>
      <c r="F629" s="11">
        <f>ROUND(D629-E629,2)</f>
        <v/>
      </c>
      <c r="G629" s="13">
        <f>IFERROR(ROUND(F629/E629,4),"")</f>
        <v/>
      </c>
      <c r="H629" s="14">
        <f>IF(D629=0,"NO DATA",IF(D629&gt;E629*1.5,"OVER",IF(D629&gt;E629*1.1,"HIGH",IF(D629&lt;E629*0.5,"LOW","OK"))))</f>
        <v/>
      </c>
    </row>
    <row r="630" ht="22" customHeight="1">
      <c r="B630" s="8" t="inlineStr">
        <is>
          <t>MTR-CTW-004</t>
        </is>
      </c>
      <c r="C630" s="8" t="inlineStr">
        <is>
          <t>2024-09-21</t>
        </is>
      </c>
      <c r="D630" s="12" t="n">
        <v>35.45</v>
      </c>
      <c r="E630" s="12" t="n">
        <v>38</v>
      </c>
      <c r="F630" s="12">
        <f>ROUND(D630-E630,2)</f>
        <v/>
      </c>
      <c r="G630" s="15">
        <f>IFERROR(ROUND(F630/E630,4),"")</f>
        <v/>
      </c>
      <c r="H630" s="16">
        <f>IF(D630=0,"NO DATA",IF(D630&gt;E630*1.5,"OVER",IF(D630&gt;E630*1.1,"HIGH",IF(D630&lt;E630*0.5,"LOW","OK"))))</f>
        <v/>
      </c>
    </row>
    <row r="631" ht="22" customHeight="1">
      <c r="B631" s="5" t="inlineStr">
        <is>
          <t>MTR-CTW-004</t>
        </is>
      </c>
      <c r="C631" s="5" t="inlineStr">
        <is>
          <t>2024-09-22</t>
        </is>
      </c>
      <c r="D631" s="11" t="n">
        <v>24.63</v>
      </c>
      <c r="E631" s="11" t="n">
        <v>38</v>
      </c>
      <c r="F631" s="11">
        <f>ROUND(D631-E631,2)</f>
        <v/>
      </c>
      <c r="G631" s="13">
        <f>IFERROR(ROUND(F631/E631,4),"")</f>
        <v/>
      </c>
      <c r="H631" s="14">
        <f>IF(D631=0,"NO DATA",IF(D631&gt;E631*1.5,"OVER",IF(D631&gt;E631*1.1,"HIGH",IF(D631&lt;E631*0.5,"LOW","OK"))))</f>
        <v/>
      </c>
    </row>
    <row r="632" ht="22" customHeight="1">
      <c r="B632" s="8" t="inlineStr">
        <is>
          <t>MTR-CTW-004</t>
        </is>
      </c>
      <c r="C632" s="8" t="inlineStr">
        <is>
          <t>2024-09-23</t>
        </is>
      </c>
      <c r="D632" s="12" t="n">
        <v>35.7</v>
      </c>
      <c r="E632" s="12" t="n">
        <v>38</v>
      </c>
      <c r="F632" s="12">
        <f>ROUND(D632-E632,2)</f>
        <v/>
      </c>
      <c r="G632" s="15">
        <f>IFERROR(ROUND(F632/E632,4),"")</f>
        <v/>
      </c>
      <c r="H632" s="16">
        <f>IF(D632=0,"NO DATA",IF(D632&gt;E632*1.5,"OVER",IF(D632&gt;E632*1.1,"HIGH",IF(D632&lt;E632*0.5,"LOW","OK"))))</f>
        <v/>
      </c>
    </row>
    <row r="633" ht="22" customHeight="1">
      <c r="B633" s="5" t="inlineStr">
        <is>
          <t>MTR-CTW-004</t>
        </is>
      </c>
      <c r="C633" s="5" t="inlineStr">
        <is>
          <t>2024-09-24</t>
        </is>
      </c>
      <c r="D633" s="11" t="n">
        <v>43.73</v>
      </c>
      <c r="E633" s="11" t="n">
        <v>38</v>
      </c>
      <c r="F633" s="11">
        <f>ROUND(D633-E633,2)</f>
        <v/>
      </c>
      <c r="G633" s="13">
        <f>IFERROR(ROUND(F633/E633,4),"")</f>
        <v/>
      </c>
      <c r="H633" s="14">
        <f>IF(D633=0,"NO DATA",IF(D633&gt;E633*1.5,"OVER",IF(D633&gt;E633*1.1,"HIGH",IF(D633&lt;E633*0.5,"LOW","OK"))))</f>
        <v/>
      </c>
    </row>
    <row r="634" ht="22" customHeight="1">
      <c r="B634" s="8" t="inlineStr">
        <is>
          <t>MTR-CTW-004</t>
        </is>
      </c>
      <c r="C634" s="8" t="inlineStr">
        <is>
          <t>2024-09-25</t>
        </is>
      </c>
      <c r="D634" s="12" t="n">
        <v>44.04</v>
      </c>
      <c r="E634" s="12" t="n">
        <v>38</v>
      </c>
      <c r="F634" s="12">
        <f>ROUND(D634-E634,2)</f>
        <v/>
      </c>
      <c r="G634" s="15">
        <f>IFERROR(ROUND(F634/E634,4),"")</f>
        <v/>
      </c>
      <c r="H634" s="16">
        <f>IF(D634=0,"NO DATA",IF(D634&gt;E634*1.5,"OVER",IF(D634&gt;E634*1.1,"HIGH",IF(D634&lt;E634*0.5,"LOW","OK"))))</f>
        <v/>
      </c>
    </row>
    <row r="635" ht="22" customHeight="1">
      <c r="B635" s="5" t="inlineStr">
        <is>
          <t>MTR-CTW-004</t>
        </is>
      </c>
      <c r="C635" s="5" t="inlineStr">
        <is>
          <t>2024-09-26</t>
        </is>
      </c>
      <c r="D635" s="11" t="n">
        <v>40.61</v>
      </c>
      <c r="E635" s="11" t="n">
        <v>38</v>
      </c>
      <c r="F635" s="11">
        <f>ROUND(D635-E635,2)</f>
        <v/>
      </c>
      <c r="G635" s="13">
        <f>IFERROR(ROUND(F635/E635,4),"")</f>
        <v/>
      </c>
      <c r="H635" s="14">
        <f>IF(D635=0,"NO DATA",IF(D635&gt;E635*1.5,"OVER",IF(D635&gt;E635*1.1,"HIGH",IF(D635&lt;E635*0.5,"LOW","OK"))))</f>
        <v/>
      </c>
    </row>
    <row r="636" ht="22" customHeight="1">
      <c r="B636" s="8" t="inlineStr">
        <is>
          <t>MTR-CTW-004</t>
        </is>
      </c>
      <c r="C636" s="8" t="inlineStr">
        <is>
          <t>2024-09-27</t>
        </is>
      </c>
      <c r="D636" s="12" t="n">
        <v>44.13</v>
      </c>
      <c r="E636" s="12" t="n">
        <v>38</v>
      </c>
      <c r="F636" s="12">
        <f>ROUND(D636-E636,2)</f>
        <v/>
      </c>
      <c r="G636" s="15">
        <f>IFERROR(ROUND(F636/E636,4),"")</f>
        <v/>
      </c>
      <c r="H636" s="16">
        <f>IF(D636=0,"NO DATA",IF(D636&gt;E636*1.5,"OVER",IF(D636&gt;E636*1.1,"HIGH",IF(D636&lt;E636*0.5,"LOW","OK"))))</f>
        <v/>
      </c>
    </row>
    <row r="637" ht="22" customHeight="1">
      <c r="B637" s="5" t="inlineStr">
        <is>
          <t>MTR-CTW-004</t>
        </is>
      </c>
      <c r="C637" s="5" t="inlineStr">
        <is>
          <t>2024-09-28</t>
        </is>
      </c>
      <c r="D637" s="11" t="n">
        <v>35.73</v>
      </c>
      <c r="E637" s="11" t="n">
        <v>38</v>
      </c>
      <c r="F637" s="11">
        <f>ROUND(D637-E637,2)</f>
        <v/>
      </c>
      <c r="G637" s="13">
        <f>IFERROR(ROUND(F637/E637,4),"")</f>
        <v/>
      </c>
      <c r="H637" s="14">
        <f>IF(D637=0,"NO DATA",IF(D637&gt;E637*1.5,"OVER",IF(D637&gt;E637*1.1,"HIGH",IF(D637&lt;E637*0.5,"LOW","OK"))))</f>
        <v/>
      </c>
    </row>
    <row r="638" ht="22" customHeight="1">
      <c r="B638" s="8" t="inlineStr">
        <is>
          <t>MTR-CTW-004</t>
        </is>
      </c>
      <c r="C638" s="8" t="inlineStr">
        <is>
          <t>2024-09-29</t>
        </is>
      </c>
      <c r="D638" s="12" t="n">
        <v>19.49</v>
      </c>
      <c r="E638" s="12" t="n">
        <v>38</v>
      </c>
      <c r="F638" s="12">
        <f>ROUND(D638-E638,2)</f>
        <v/>
      </c>
      <c r="G638" s="15">
        <f>IFERROR(ROUND(F638/E638,4),"")</f>
        <v/>
      </c>
      <c r="H638" s="16">
        <f>IF(D638=0,"NO DATA",IF(D638&gt;E638*1.5,"OVER",IF(D638&gt;E638*1.1,"HIGH",IF(D638&lt;E638*0.5,"LOW","OK"))))</f>
        <v/>
      </c>
    </row>
    <row r="639" ht="22" customHeight="1">
      <c r="B639" s="5" t="inlineStr">
        <is>
          <t>MTR-CTW-004</t>
        </is>
      </c>
      <c r="C639" s="5" t="inlineStr">
        <is>
          <t>2024-09-30</t>
        </is>
      </c>
      <c r="D639" s="11" t="n">
        <v>37.46</v>
      </c>
      <c r="E639" s="11" t="n">
        <v>38</v>
      </c>
      <c r="F639" s="11">
        <f>ROUND(D639-E639,2)</f>
        <v/>
      </c>
      <c r="G639" s="13">
        <f>IFERROR(ROUND(F639/E639,4),"")</f>
        <v/>
      </c>
      <c r="H639" s="14">
        <f>IF(D639=0,"NO DATA",IF(D639&gt;E639*1.5,"OVER",IF(D639&gt;E639*1.1,"HIGH",IF(D639&lt;E639*0.5,"LOW","OK"))))</f>
        <v/>
      </c>
    </row>
    <row r="640" ht="22" customHeight="1">
      <c r="B640" s="8" t="inlineStr">
        <is>
          <t>MTR-CTW-004</t>
        </is>
      </c>
      <c r="C640" s="8" t="inlineStr">
        <is>
          <t>2024-10-01</t>
        </is>
      </c>
      <c r="D640" s="12" t="n">
        <v>43.19</v>
      </c>
      <c r="E640" s="12" t="n">
        <v>38</v>
      </c>
      <c r="F640" s="12">
        <f>ROUND(D640-E640,2)</f>
        <v/>
      </c>
      <c r="G640" s="15">
        <f>IFERROR(ROUND(F640/E640,4),"")</f>
        <v/>
      </c>
      <c r="H640" s="16">
        <f>IF(D640=0,"NO DATA",IF(D640&gt;E640*1.5,"OVER",IF(D640&gt;E640*1.1,"HIGH",IF(D640&lt;E640*0.5,"LOW","OK"))))</f>
        <v/>
      </c>
    </row>
    <row r="641" ht="22" customHeight="1">
      <c r="B641" s="5" t="inlineStr">
        <is>
          <t>MTR-CTW-004</t>
        </is>
      </c>
      <c r="C641" s="5" t="inlineStr">
        <is>
          <t>2024-10-02</t>
        </is>
      </c>
      <c r="D641" s="11" t="n">
        <v>38.57</v>
      </c>
      <c r="E641" s="11" t="n">
        <v>38</v>
      </c>
      <c r="F641" s="11">
        <f>ROUND(D641-E641,2)</f>
        <v/>
      </c>
      <c r="G641" s="13">
        <f>IFERROR(ROUND(F641/E641,4),"")</f>
        <v/>
      </c>
      <c r="H641" s="14">
        <f>IF(D641=0,"NO DATA",IF(D641&gt;E641*1.5,"OVER",IF(D641&gt;E641*1.1,"HIGH",IF(D641&lt;E641*0.5,"LOW","OK"))))</f>
        <v/>
      </c>
    </row>
    <row r="642" ht="22" customHeight="1">
      <c r="B642" s="8" t="inlineStr">
        <is>
          <t>MTR-CTW-004</t>
        </is>
      </c>
      <c r="C642" s="8" t="inlineStr">
        <is>
          <t>2024-10-03</t>
        </is>
      </c>
      <c r="D642" s="12" t="n">
        <v>34.58</v>
      </c>
      <c r="E642" s="12" t="n">
        <v>38</v>
      </c>
      <c r="F642" s="12">
        <f>ROUND(D642-E642,2)</f>
        <v/>
      </c>
      <c r="G642" s="15">
        <f>IFERROR(ROUND(F642/E642,4),"")</f>
        <v/>
      </c>
      <c r="H642" s="16">
        <f>IF(D642=0,"NO DATA",IF(D642&gt;E642*1.5,"OVER",IF(D642&gt;E642*1.1,"HIGH",IF(D642&lt;E642*0.5,"LOW","OK"))))</f>
        <v/>
      </c>
    </row>
    <row r="643" ht="22" customHeight="1">
      <c r="B643" s="5" t="inlineStr">
        <is>
          <t>MTR-CTW-004</t>
        </is>
      </c>
      <c r="C643" s="5" t="inlineStr">
        <is>
          <t>2024-10-04</t>
        </is>
      </c>
      <c r="D643" s="11" t="n">
        <v>43.9</v>
      </c>
      <c r="E643" s="11" t="n">
        <v>38</v>
      </c>
      <c r="F643" s="11">
        <f>ROUND(D643-E643,2)</f>
        <v/>
      </c>
      <c r="G643" s="13">
        <f>IFERROR(ROUND(F643/E643,4),"")</f>
        <v/>
      </c>
      <c r="H643" s="14">
        <f>IF(D643=0,"NO DATA",IF(D643&gt;E643*1.5,"OVER",IF(D643&gt;E643*1.1,"HIGH",IF(D643&lt;E643*0.5,"LOW","OK"))))</f>
        <v/>
      </c>
    </row>
    <row r="644" ht="22" customHeight="1">
      <c r="B644" s="8" t="inlineStr">
        <is>
          <t>MTR-CTW-004</t>
        </is>
      </c>
      <c r="C644" s="8" t="inlineStr">
        <is>
          <t>2024-10-05</t>
        </is>
      </c>
      <c r="D644" s="12" t="n">
        <v>30.74</v>
      </c>
      <c r="E644" s="12" t="n">
        <v>38</v>
      </c>
      <c r="F644" s="12">
        <f>ROUND(D644-E644,2)</f>
        <v/>
      </c>
      <c r="G644" s="15">
        <f>IFERROR(ROUND(F644/E644,4),"")</f>
        <v/>
      </c>
      <c r="H644" s="16">
        <f>IF(D644=0,"NO DATA",IF(D644&gt;E644*1.5,"OVER",IF(D644&gt;E644*1.1,"HIGH",IF(D644&lt;E644*0.5,"LOW","OK"))))</f>
        <v/>
      </c>
    </row>
    <row r="645" ht="22" customHeight="1">
      <c r="B645" s="5" t="inlineStr">
        <is>
          <t>MTR-CTW-004</t>
        </is>
      </c>
      <c r="C645" s="5" t="inlineStr">
        <is>
          <t>2024-10-06</t>
        </is>
      </c>
      <c r="D645" s="11" t="n">
        <v>19.81</v>
      </c>
      <c r="E645" s="11" t="n">
        <v>38</v>
      </c>
      <c r="F645" s="11">
        <f>ROUND(D645-E645,2)</f>
        <v/>
      </c>
      <c r="G645" s="13">
        <f>IFERROR(ROUND(F645/E645,4),"")</f>
        <v/>
      </c>
      <c r="H645" s="14">
        <f>IF(D645=0,"NO DATA",IF(D645&gt;E645*1.5,"OVER",IF(D645&gt;E645*1.1,"HIGH",IF(D645&lt;E645*0.5,"LOW","OK"))))</f>
        <v/>
      </c>
    </row>
    <row r="646" ht="22" customHeight="1">
      <c r="B646" s="8" t="inlineStr">
        <is>
          <t>MTR-CTW-004</t>
        </is>
      </c>
      <c r="C646" s="8" t="inlineStr">
        <is>
          <t>2024-10-07</t>
        </is>
      </c>
      <c r="D646" s="12" t="n">
        <v>42.42</v>
      </c>
      <c r="E646" s="12" t="n">
        <v>38</v>
      </c>
      <c r="F646" s="12">
        <f>ROUND(D646-E646,2)</f>
        <v/>
      </c>
      <c r="G646" s="15">
        <f>IFERROR(ROUND(F646/E646,4),"")</f>
        <v/>
      </c>
      <c r="H646" s="16">
        <f>IF(D646=0,"NO DATA",IF(D646&gt;E646*1.5,"OVER",IF(D646&gt;E646*1.1,"HIGH",IF(D646&lt;E646*0.5,"LOW","OK"))))</f>
        <v/>
      </c>
    </row>
    <row r="647" ht="22" customHeight="1">
      <c r="B647" s="5" t="inlineStr">
        <is>
          <t>MTR-CTW-004</t>
        </is>
      </c>
      <c r="C647" s="5" t="inlineStr">
        <is>
          <t>2024-10-08</t>
        </is>
      </c>
      <c r="D647" s="11" t="n">
        <v>43.9</v>
      </c>
      <c r="E647" s="11" t="n">
        <v>38</v>
      </c>
      <c r="F647" s="11">
        <f>ROUND(D647-E647,2)</f>
        <v/>
      </c>
      <c r="G647" s="13">
        <f>IFERROR(ROUND(F647/E647,4),"")</f>
        <v/>
      </c>
      <c r="H647" s="14">
        <f>IF(D647=0,"NO DATA",IF(D647&gt;E647*1.5,"OVER",IF(D647&gt;E647*1.1,"HIGH",IF(D647&lt;E647*0.5,"LOW","OK"))))</f>
        <v/>
      </c>
    </row>
    <row r="648" ht="22" customHeight="1">
      <c r="B648" s="8" t="inlineStr">
        <is>
          <t>MTR-CTW-004</t>
        </is>
      </c>
      <c r="C648" s="8" t="inlineStr">
        <is>
          <t>2024-10-09</t>
        </is>
      </c>
      <c r="D648" s="12" t="n">
        <v>35.51</v>
      </c>
      <c r="E648" s="12" t="n">
        <v>38</v>
      </c>
      <c r="F648" s="12">
        <f>ROUND(D648-E648,2)</f>
        <v/>
      </c>
      <c r="G648" s="15">
        <f>IFERROR(ROUND(F648/E648,4),"")</f>
        <v/>
      </c>
      <c r="H648" s="16">
        <f>IF(D648=0,"NO DATA",IF(D648&gt;E648*1.5,"OVER",IF(D648&gt;E648*1.1,"HIGH",IF(D648&lt;E648*0.5,"LOW","OK"))))</f>
        <v/>
      </c>
    </row>
    <row r="649" ht="22" customHeight="1">
      <c r="B649" s="5" t="inlineStr">
        <is>
          <t>MTR-CTW-004</t>
        </is>
      </c>
      <c r="C649" s="5" t="inlineStr">
        <is>
          <t>2024-10-10</t>
        </is>
      </c>
      <c r="D649" s="11" t="n">
        <v>45.07</v>
      </c>
      <c r="E649" s="11" t="n">
        <v>38</v>
      </c>
      <c r="F649" s="11">
        <f>ROUND(D649-E649,2)</f>
        <v/>
      </c>
      <c r="G649" s="13">
        <f>IFERROR(ROUND(F649/E649,4),"")</f>
        <v/>
      </c>
      <c r="H649" s="14">
        <f>IF(D649=0,"NO DATA",IF(D649&gt;E649*1.5,"OVER",IF(D649&gt;E649*1.1,"HIGH",IF(D649&lt;E649*0.5,"LOW","OK"))))</f>
        <v/>
      </c>
    </row>
    <row r="650" ht="22" customHeight="1">
      <c r="B650" s="8" t="inlineStr">
        <is>
          <t>MTR-CTW-004</t>
        </is>
      </c>
      <c r="C650" s="8" t="inlineStr">
        <is>
          <t>2024-10-11</t>
        </is>
      </c>
      <c r="D650" s="12" t="n">
        <v>34.66</v>
      </c>
      <c r="E650" s="12" t="n">
        <v>38</v>
      </c>
      <c r="F650" s="12">
        <f>ROUND(D650-E650,2)</f>
        <v/>
      </c>
      <c r="G650" s="15">
        <f>IFERROR(ROUND(F650/E650,4),"")</f>
        <v/>
      </c>
      <c r="H650" s="16">
        <f>IF(D650=0,"NO DATA",IF(D650&gt;E650*1.5,"OVER",IF(D650&gt;E650*1.1,"HIGH",IF(D650&lt;E650*0.5,"LOW","OK"))))</f>
        <v/>
      </c>
    </row>
    <row r="651" ht="22" customHeight="1">
      <c r="B651" s="5" t="inlineStr">
        <is>
          <t>MTR-CTW-004</t>
        </is>
      </c>
      <c r="C651" s="5" t="inlineStr">
        <is>
          <t>2024-10-12</t>
        </is>
      </c>
      <c r="D651" s="11" t="n">
        <v>30.29</v>
      </c>
      <c r="E651" s="11" t="n">
        <v>38</v>
      </c>
      <c r="F651" s="11">
        <f>ROUND(D651-E651,2)</f>
        <v/>
      </c>
      <c r="G651" s="13">
        <f>IFERROR(ROUND(F651/E651,4),"")</f>
        <v/>
      </c>
      <c r="H651" s="14">
        <f>IF(D651=0,"NO DATA",IF(D651&gt;E651*1.5,"OVER",IF(D651&gt;E651*1.1,"HIGH",IF(D651&lt;E651*0.5,"LOW","OK"))))</f>
        <v/>
      </c>
    </row>
    <row r="652" ht="22" customHeight="1">
      <c r="B652" s="8" t="inlineStr">
        <is>
          <t>MTR-CTW-004</t>
        </is>
      </c>
      <c r="C652" s="8" t="inlineStr">
        <is>
          <t>2024-10-13</t>
        </is>
      </c>
      <c r="D652" s="12" t="n">
        <v>20.25</v>
      </c>
      <c r="E652" s="12" t="n">
        <v>38</v>
      </c>
      <c r="F652" s="12">
        <f>ROUND(D652-E652,2)</f>
        <v/>
      </c>
      <c r="G652" s="15">
        <f>IFERROR(ROUND(F652/E652,4),"")</f>
        <v/>
      </c>
      <c r="H652" s="16">
        <f>IF(D652=0,"NO DATA",IF(D652&gt;E652*1.5,"OVER",IF(D652&gt;E652*1.1,"HIGH",IF(D652&lt;E652*0.5,"LOW","OK"))))</f>
        <v/>
      </c>
    </row>
    <row r="653" ht="22" customHeight="1">
      <c r="B653" s="5" t="inlineStr">
        <is>
          <t>MTR-CTW-004</t>
        </is>
      </c>
      <c r="C653" s="5" t="inlineStr">
        <is>
          <t>2024-10-14</t>
        </is>
      </c>
      <c r="D653" s="11" t="n">
        <v>38.18</v>
      </c>
      <c r="E653" s="11" t="n">
        <v>38</v>
      </c>
      <c r="F653" s="11">
        <f>ROUND(D653-E653,2)</f>
        <v/>
      </c>
      <c r="G653" s="13">
        <f>IFERROR(ROUND(F653/E653,4),"")</f>
        <v/>
      </c>
      <c r="H653" s="14">
        <f>IF(D653=0,"NO DATA",IF(D653&gt;E653*1.5,"OVER",IF(D653&gt;E653*1.1,"HIGH",IF(D653&lt;E653*0.5,"LOW","OK"))))</f>
        <v/>
      </c>
    </row>
    <row r="654" ht="22" customHeight="1">
      <c r="B654" s="8" t="inlineStr">
        <is>
          <t>MTR-CTW-004</t>
        </is>
      </c>
      <c r="C654" s="8" t="inlineStr">
        <is>
          <t>2024-10-15</t>
        </is>
      </c>
      <c r="D654" s="12" t="n">
        <v>40.41</v>
      </c>
      <c r="E654" s="12" t="n">
        <v>38</v>
      </c>
      <c r="F654" s="12">
        <f>ROUND(D654-E654,2)</f>
        <v/>
      </c>
      <c r="G654" s="15">
        <f>IFERROR(ROUND(F654/E654,4),"")</f>
        <v/>
      </c>
      <c r="H654" s="16">
        <f>IF(D654=0,"NO DATA",IF(D654&gt;E654*1.5,"OVER",IF(D654&gt;E654*1.1,"HIGH",IF(D654&lt;E654*0.5,"LOW","OK"))))</f>
        <v/>
      </c>
    </row>
    <row r="655" ht="22" customHeight="1">
      <c r="B655" s="5" t="inlineStr">
        <is>
          <t>MTR-CTW-004</t>
        </is>
      </c>
      <c r="C655" s="5" t="inlineStr">
        <is>
          <t>2024-10-16</t>
        </is>
      </c>
      <c r="D655" s="11" t="n">
        <v>40.97</v>
      </c>
      <c r="E655" s="11" t="n">
        <v>38</v>
      </c>
      <c r="F655" s="11">
        <f>ROUND(D655-E655,2)</f>
        <v/>
      </c>
      <c r="G655" s="13">
        <f>IFERROR(ROUND(F655/E655,4),"")</f>
        <v/>
      </c>
      <c r="H655" s="14">
        <f>IF(D655=0,"NO DATA",IF(D655&gt;E655*1.5,"OVER",IF(D655&gt;E655*1.1,"HIGH",IF(D655&lt;E655*0.5,"LOW","OK"))))</f>
        <v/>
      </c>
    </row>
    <row r="656" ht="22" customHeight="1">
      <c r="B656" s="8" t="inlineStr">
        <is>
          <t>MTR-CTW-004</t>
        </is>
      </c>
      <c r="C656" s="8" t="inlineStr">
        <is>
          <t>2024-10-17</t>
        </is>
      </c>
      <c r="D656" s="12" t="n">
        <v>38.28</v>
      </c>
      <c r="E656" s="12" t="n">
        <v>38</v>
      </c>
      <c r="F656" s="12">
        <f>ROUND(D656-E656,2)</f>
        <v/>
      </c>
      <c r="G656" s="15">
        <f>IFERROR(ROUND(F656/E656,4),"")</f>
        <v/>
      </c>
      <c r="H656" s="16">
        <f>IF(D656=0,"NO DATA",IF(D656&gt;E656*1.5,"OVER",IF(D656&gt;E656*1.1,"HIGH",IF(D656&lt;E656*0.5,"LOW","OK"))))</f>
        <v/>
      </c>
    </row>
    <row r="657" ht="22" customHeight="1">
      <c r="B657" s="5" t="inlineStr">
        <is>
          <t>MTR-CTW-004</t>
        </is>
      </c>
      <c r="C657" s="5" t="inlineStr">
        <is>
          <t>2024-10-18</t>
        </is>
      </c>
      <c r="D657" s="11" t="n">
        <v>36.68</v>
      </c>
      <c r="E657" s="11" t="n">
        <v>38</v>
      </c>
      <c r="F657" s="11">
        <f>ROUND(D657-E657,2)</f>
        <v/>
      </c>
      <c r="G657" s="13">
        <f>IFERROR(ROUND(F657/E657,4),"")</f>
        <v/>
      </c>
      <c r="H657" s="14">
        <f>IF(D657=0,"NO DATA",IF(D657&gt;E657*1.5,"OVER",IF(D657&gt;E657*1.1,"HIGH",IF(D657&lt;E657*0.5,"LOW","OK"))))</f>
        <v/>
      </c>
    </row>
    <row r="658" ht="22" customHeight="1">
      <c r="B658" s="8" t="inlineStr">
        <is>
          <t>MTR-CTW-004</t>
        </is>
      </c>
      <c r="C658" s="8" t="inlineStr">
        <is>
          <t>2024-10-19</t>
        </is>
      </c>
      <c r="D658" s="12" t="n">
        <v>33.27</v>
      </c>
      <c r="E658" s="12" t="n">
        <v>38</v>
      </c>
      <c r="F658" s="12">
        <f>ROUND(D658-E658,2)</f>
        <v/>
      </c>
      <c r="G658" s="15">
        <f>IFERROR(ROUND(F658/E658,4),"")</f>
        <v/>
      </c>
      <c r="H658" s="16">
        <f>IF(D658=0,"NO DATA",IF(D658&gt;E658*1.5,"OVER",IF(D658&gt;E658*1.1,"HIGH",IF(D658&lt;E658*0.5,"LOW","OK"))))</f>
        <v/>
      </c>
    </row>
    <row r="659" ht="22" customHeight="1">
      <c r="B659" s="5" t="inlineStr">
        <is>
          <t>MTR-CTW-004</t>
        </is>
      </c>
      <c r="C659" s="5" t="inlineStr">
        <is>
          <t>2024-10-20</t>
        </is>
      </c>
      <c r="D659" s="11" t="n">
        <v>18.69</v>
      </c>
      <c r="E659" s="11" t="n">
        <v>38</v>
      </c>
      <c r="F659" s="11">
        <f>ROUND(D659-E659,2)</f>
        <v/>
      </c>
      <c r="G659" s="13">
        <f>IFERROR(ROUND(F659/E659,4),"")</f>
        <v/>
      </c>
      <c r="H659" s="14">
        <f>IF(D659=0,"NO DATA",IF(D659&gt;E659*1.5,"OVER",IF(D659&gt;E659*1.1,"HIGH",IF(D659&lt;E659*0.5,"LOW","OK"))))</f>
        <v/>
      </c>
    </row>
    <row r="660" ht="22" customHeight="1">
      <c r="B660" s="8" t="inlineStr">
        <is>
          <t>MTR-CTW-004</t>
        </is>
      </c>
      <c r="C660" s="8" t="inlineStr">
        <is>
          <t>2024-10-21</t>
        </is>
      </c>
      <c r="D660" s="12" t="n">
        <v>43.51</v>
      </c>
      <c r="E660" s="12" t="n">
        <v>38</v>
      </c>
      <c r="F660" s="12">
        <f>ROUND(D660-E660,2)</f>
        <v/>
      </c>
      <c r="G660" s="15">
        <f>IFERROR(ROUND(F660/E660,4),"")</f>
        <v/>
      </c>
      <c r="H660" s="16">
        <f>IF(D660=0,"NO DATA",IF(D660&gt;E660*1.5,"OVER",IF(D660&gt;E660*1.1,"HIGH",IF(D660&lt;E660*0.5,"LOW","OK"))))</f>
        <v/>
      </c>
    </row>
    <row r="661" ht="22" customHeight="1">
      <c r="B661" s="5" t="inlineStr">
        <is>
          <t>MTR-CTW-004</t>
        </is>
      </c>
      <c r="C661" s="5" t="inlineStr">
        <is>
          <t>2024-10-22</t>
        </is>
      </c>
      <c r="D661" s="11" t="n">
        <v>38.75</v>
      </c>
      <c r="E661" s="11" t="n">
        <v>38</v>
      </c>
      <c r="F661" s="11">
        <f>ROUND(D661-E661,2)</f>
        <v/>
      </c>
      <c r="G661" s="13">
        <f>IFERROR(ROUND(F661/E661,4),"")</f>
        <v/>
      </c>
      <c r="H661" s="14">
        <f>IF(D661=0,"NO DATA",IF(D661&gt;E661*1.5,"OVER",IF(D661&gt;E661*1.1,"HIGH",IF(D661&lt;E661*0.5,"LOW","OK"))))</f>
        <v/>
      </c>
    </row>
    <row r="662" ht="22" customHeight="1">
      <c r="B662" s="8" t="inlineStr">
        <is>
          <t>MTR-CTW-004</t>
        </is>
      </c>
      <c r="C662" s="8" t="inlineStr">
        <is>
          <t>2024-10-23</t>
        </is>
      </c>
      <c r="D662" s="12" t="n">
        <v>34.98</v>
      </c>
      <c r="E662" s="12" t="n">
        <v>38</v>
      </c>
      <c r="F662" s="12">
        <f>ROUND(D662-E662,2)</f>
        <v/>
      </c>
      <c r="G662" s="15">
        <f>IFERROR(ROUND(F662/E662,4),"")</f>
        <v/>
      </c>
      <c r="H662" s="16">
        <f>IF(D662=0,"NO DATA",IF(D662&gt;E662*1.5,"OVER",IF(D662&gt;E662*1.1,"HIGH",IF(D662&lt;E662*0.5,"LOW","OK"))))</f>
        <v/>
      </c>
    </row>
    <row r="663" ht="22" customHeight="1">
      <c r="B663" s="5" t="inlineStr">
        <is>
          <t>MTR-CTW-004</t>
        </is>
      </c>
      <c r="C663" s="5" t="inlineStr">
        <is>
          <t>2024-10-24</t>
        </is>
      </c>
      <c r="D663" s="11" t="n">
        <v>36.57</v>
      </c>
      <c r="E663" s="11" t="n">
        <v>38</v>
      </c>
      <c r="F663" s="11">
        <f>ROUND(D663-E663,2)</f>
        <v/>
      </c>
      <c r="G663" s="13">
        <f>IFERROR(ROUND(F663/E663,4),"")</f>
        <v/>
      </c>
      <c r="H663" s="14">
        <f>IF(D663=0,"NO DATA",IF(D663&gt;E663*1.5,"OVER",IF(D663&gt;E663*1.1,"HIGH",IF(D663&lt;E663*0.5,"LOW","OK"))))</f>
        <v/>
      </c>
    </row>
    <row r="664" ht="22" customHeight="1">
      <c r="B664" s="8" t="inlineStr">
        <is>
          <t>MTR-CTW-004</t>
        </is>
      </c>
      <c r="C664" s="8" t="inlineStr">
        <is>
          <t>2024-10-25</t>
        </is>
      </c>
      <c r="D664" s="12" t="n">
        <v>39.97</v>
      </c>
      <c r="E664" s="12" t="n">
        <v>38</v>
      </c>
      <c r="F664" s="12">
        <f>ROUND(D664-E664,2)</f>
        <v/>
      </c>
      <c r="G664" s="15">
        <f>IFERROR(ROUND(F664/E664,4),"")</f>
        <v/>
      </c>
      <c r="H664" s="16">
        <f>IF(D664=0,"NO DATA",IF(D664&gt;E664*1.5,"OVER",IF(D664&gt;E664*1.1,"HIGH",IF(D664&lt;E664*0.5,"LOW","OK"))))</f>
        <v/>
      </c>
    </row>
    <row r="665" ht="22" customHeight="1">
      <c r="B665" s="5" t="inlineStr">
        <is>
          <t>MTR-CTW-004</t>
        </is>
      </c>
      <c r="C665" s="5" t="inlineStr">
        <is>
          <t>2024-10-26</t>
        </is>
      </c>
      <c r="D665" s="11" t="n">
        <v>28.28</v>
      </c>
      <c r="E665" s="11" t="n">
        <v>38</v>
      </c>
      <c r="F665" s="11">
        <f>ROUND(D665-E665,2)</f>
        <v/>
      </c>
      <c r="G665" s="13">
        <f>IFERROR(ROUND(F665/E665,4),"")</f>
        <v/>
      </c>
      <c r="H665" s="14">
        <f>IF(D665=0,"NO DATA",IF(D665&gt;E665*1.5,"OVER",IF(D665&gt;E665*1.1,"HIGH",IF(D665&lt;E665*0.5,"LOW","OK"))))</f>
        <v/>
      </c>
    </row>
    <row r="666" ht="22" customHeight="1">
      <c r="B666" s="8" t="inlineStr">
        <is>
          <t>MTR-CTW-004</t>
        </is>
      </c>
      <c r="C666" s="8" t="inlineStr">
        <is>
          <t>2024-10-27</t>
        </is>
      </c>
      <c r="D666" s="12" t="n">
        <v>23.76</v>
      </c>
      <c r="E666" s="12" t="n">
        <v>38</v>
      </c>
      <c r="F666" s="12">
        <f>ROUND(D666-E666,2)</f>
        <v/>
      </c>
      <c r="G666" s="15">
        <f>IFERROR(ROUND(F666/E666,4),"")</f>
        <v/>
      </c>
      <c r="H666" s="16">
        <f>IF(D666=0,"NO DATA",IF(D666&gt;E666*1.5,"OVER",IF(D666&gt;E666*1.1,"HIGH",IF(D666&lt;E666*0.5,"LOW","OK"))))</f>
        <v/>
      </c>
    </row>
    <row r="667" ht="22" customHeight="1">
      <c r="B667" s="5" t="inlineStr">
        <is>
          <t>MTR-CTW-004</t>
        </is>
      </c>
      <c r="C667" s="5" t="inlineStr">
        <is>
          <t>2024-10-28</t>
        </is>
      </c>
      <c r="D667" s="11" t="n">
        <v>38.03</v>
      </c>
      <c r="E667" s="11" t="n">
        <v>38</v>
      </c>
      <c r="F667" s="11">
        <f>ROUND(D667-E667,2)</f>
        <v/>
      </c>
      <c r="G667" s="13">
        <f>IFERROR(ROUND(F667/E667,4),"")</f>
        <v/>
      </c>
      <c r="H667" s="14">
        <f>IF(D667=0,"NO DATA",IF(D667&gt;E667*1.5,"OVER",IF(D667&gt;E667*1.1,"HIGH",IF(D667&lt;E667*0.5,"LOW","OK"))))</f>
        <v/>
      </c>
    </row>
    <row r="668" ht="22" customHeight="1">
      <c r="B668" s="8" t="inlineStr">
        <is>
          <t>MTR-CTW-004</t>
        </is>
      </c>
      <c r="C668" s="8" t="inlineStr">
        <is>
          <t>2024-10-29</t>
        </is>
      </c>
      <c r="D668" s="12" t="n">
        <v>40.92</v>
      </c>
      <c r="E668" s="12" t="n">
        <v>38</v>
      </c>
      <c r="F668" s="12">
        <f>ROUND(D668-E668,2)</f>
        <v/>
      </c>
      <c r="G668" s="15">
        <f>IFERROR(ROUND(F668/E668,4),"")</f>
        <v/>
      </c>
      <c r="H668" s="16">
        <f>IF(D668=0,"NO DATA",IF(D668&gt;E668*1.5,"OVER",IF(D668&gt;E668*1.1,"HIGH",IF(D668&lt;E668*0.5,"LOW","OK"))))</f>
        <v/>
      </c>
    </row>
    <row r="669" ht="22" customHeight="1">
      <c r="B669" s="5" t="inlineStr">
        <is>
          <t>MTR-CTW-004</t>
        </is>
      </c>
      <c r="C669" s="5" t="inlineStr">
        <is>
          <t>2024-10-30</t>
        </is>
      </c>
      <c r="D669" s="11" t="n">
        <v>36.54</v>
      </c>
      <c r="E669" s="11" t="n">
        <v>38</v>
      </c>
      <c r="F669" s="11">
        <f>ROUND(D669-E669,2)</f>
        <v/>
      </c>
      <c r="G669" s="13">
        <f>IFERROR(ROUND(F669/E669,4),"")</f>
        <v/>
      </c>
      <c r="H669" s="14">
        <f>IF(D669=0,"NO DATA",IF(D669&gt;E669*1.5,"OVER",IF(D669&gt;E669*1.1,"HIGH",IF(D669&lt;E669*0.5,"LOW","OK"))))</f>
        <v/>
      </c>
    </row>
    <row r="670" ht="22" customHeight="1">
      <c r="B670" s="8" t="inlineStr">
        <is>
          <t>MTR-CTW-004</t>
        </is>
      </c>
      <c r="C670" s="8" t="inlineStr">
        <is>
          <t>2024-10-31</t>
        </is>
      </c>
      <c r="D670" s="12" t="n">
        <v>40.59</v>
      </c>
      <c r="E670" s="12" t="n">
        <v>38</v>
      </c>
      <c r="F670" s="12">
        <f>ROUND(D670-E670,2)</f>
        <v/>
      </c>
      <c r="G670" s="15">
        <f>IFERROR(ROUND(F670/E670,4),"")</f>
        <v/>
      </c>
      <c r="H670" s="16">
        <f>IF(D670=0,"NO DATA",IF(D670&gt;E670*1.5,"OVER",IF(D670&gt;E670*1.1,"HIGH",IF(D670&lt;E670*0.5,"LOW","OK"))))</f>
        <v/>
      </c>
    </row>
    <row r="671" ht="22" customHeight="1">
      <c r="B671" s="5" t="inlineStr">
        <is>
          <t>MTR-CTW-004</t>
        </is>
      </c>
      <c r="C671" s="5" t="inlineStr">
        <is>
          <t>2024-11-01</t>
        </is>
      </c>
      <c r="D671" s="11" t="n">
        <v>33.83</v>
      </c>
      <c r="E671" s="11" t="n">
        <v>38</v>
      </c>
      <c r="F671" s="11">
        <f>ROUND(D671-E671,2)</f>
        <v/>
      </c>
      <c r="G671" s="13">
        <f>IFERROR(ROUND(F671/E671,4),"")</f>
        <v/>
      </c>
      <c r="H671" s="14">
        <f>IF(D671=0,"NO DATA",IF(D671&gt;E671*1.5,"OVER",IF(D671&gt;E671*1.1,"HIGH",IF(D671&lt;E671*0.5,"LOW","OK"))))</f>
        <v/>
      </c>
    </row>
    <row r="672" ht="22" customHeight="1">
      <c r="B672" s="8" t="inlineStr">
        <is>
          <t>MTR-CTW-004</t>
        </is>
      </c>
      <c r="C672" s="8" t="inlineStr">
        <is>
          <t>2024-11-02</t>
        </is>
      </c>
      <c r="D672" s="12" t="n">
        <v>30.77</v>
      </c>
      <c r="E672" s="12" t="n">
        <v>38</v>
      </c>
      <c r="F672" s="12">
        <f>ROUND(D672-E672,2)</f>
        <v/>
      </c>
      <c r="G672" s="15">
        <f>IFERROR(ROUND(F672/E672,4),"")</f>
        <v/>
      </c>
      <c r="H672" s="16">
        <f>IF(D672=0,"NO DATA",IF(D672&gt;E672*1.5,"OVER",IF(D672&gt;E672*1.1,"HIGH",IF(D672&lt;E672*0.5,"LOW","OK"))))</f>
        <v/>
      </c>
    </row>
    <row r="673" ht="22" customHeight="1">
      <c r="B673" s="5" t="inlineStr">
        <is>
          <t>MTR-CTW-004</t>
        </is>
      </c>
      <c r="C673" s="5" t="inlineStr">
        <is>
          <t>2024-11-03</t>
        </is>
      </c>
      <c r="D673" s="11" t="n">
        <v>22.86</v>
      </c>
      <c r="E673" s="11" t="n">
        <v>38</v>
      </c>
      <c r="F673" s="11">
        <f>ROUND(D673-E673,2)</f>
        <v/>
      </c>
      <c r="G673" s="13">
        <f>IFERROR(ROUND(F673/E673,4),"")</f>
        <v/>
      </c>
      <c r="H673" s="14">
        <f>IF(D673=0,"NO DATA",IF(D673&gt;E673*1.5,"OVER",IF(D673&gt;E673*1.1,"HIGH",IF(D673&lt;E673*0.5,"LOW","OK"))))</f>
        <v/>
      </c>
    </row>
    <row r="674" ht="22" customHeight="1">
      <c r="B674" s="8" t="inlineStr">
        <is>
          <t>MTR-CTW-004</t>
        </is>
      </c>
      <c r="C674" s="8" t="inlineStr">
        <is>
          <t>2024-11-04</t>
        </is>
      </c>
      <c r="D674" s="12" t="n">
        <v>34.03</v>
      </c>
      <c r="E674" s="12" t="n">
        <v>38</v>
      </c>
      <c r="F674" s="12">
        <f>ROUND(D674-E674,2)</f>
        <v/>
      </c>
      <c r="G674" s="15">
        <f>IFERROR(ROUND(F674/E674,4),"")</f>
        <v/>
      </c>
      <c r="H674" s="16">
        <f>IF(D674=0,"NO DATA",IF(D674&gt;E674*1.5,"OVER",IF(D674&gt;E674*1.1,"HIGH",IF(D674&lt;E674*0.5,"LOW","OK"))))</f>
        <v/>
      </c>
    </row>
    <row r="675" ht="22" customHeight="1">
      <c r="B675" s="5" t="inlineStr">
        <is>
          <t>MTR-CTW-004</t>
        </is>
      </c>
      <c r="C675" s="5" t="inlineStr">
        <is>
          <t>2024-11-05</t>
        </is>
      </c>
      <c r="D675" s="11" t="n">
        <v>37.76</v>
      </c>
      <c r="E675" s="11" t="n">
        <v>38</v>
      </c>
      <c r="F675" s="11">
        <f>ROUND(D675-E675,2)</f>
        <v/>
      </c>
      <c r="G675" s="13">
        <f>IFERROR(ROUND(F675/E675,4),"")</f>
        <v/>
      </c>
      <c r="H675" s="14">
        <f>IF(D675=0,"NO DATA",IF(D675&gt;E675*1.5,"OVER",IF(D675&gt;E675*1.1,"HIGH",IF(D675&lt;E675*0.5,"LOW","OK"))))</f>
        <v/>
      </c>
    </row>
    <row r="676" ht="22" customHeight="1">
      <c r="B676" s="8" t="inlineStr">
        <is>
          <t>MTR-CTW-004</t>
        </is>
      </c>
      <c r="C676" s="8" t="inlineStr">
        <is>
          <t>2024-11-06</t>
        </is>
      </c>
      <c r="D676" s="12" t="n">
        <v>34.84</v>
      </c>
      <c r="E676" s="12" t="n">
        <v>38</v>
      </c>
      <c r="F676" s="12">
        <f>ROUND(D676-E676,2)</f>
        <v/>
      </c>
      <c r="G676" s="15">
        <f>IFERROR(ROUND(F676/E676,4),"")</f>
        <v/>
      </c>
      <c r="H676" s="16">
        <f>IF(D676=0,"NO DATA",IF(D676&gt;E676*1.5,"OVER",IF(D676&gt;E676*1.1,"HIGH",IF(D676&lt;E676*0.5,"LOW","OK"))))</f>
        <v/>
      </c>
    </row>
    <row r="677" ht="22" customHeight="1">
      <c r="B677" s="5" t="inlineStr">
        <is>
          <t>MTR-CTW-004</t>
        </is>
      </c>
      <c r="C677" s="5" t="inlineStr">
        <is>
          <t>2024-11-07</t>
        </is>
      </c>
      <c r="D677" s="11" t="n">
        <v>37.59</v>
      </c>
      <c r="E677" s="11" t="n">
        <v>38</v>
      </c>
      <c r="F677" s="11">
        <f>ROUND(D677-E677,2)</f>
        <v/>
      </c>
      <c r="G677" s="13">
        <f>IFERROR(ROUND(F677/E677,4),"")</f>
        <v/>
      </c>
      <c r="H677" s="14">
        <f>IF(D677=0,"NO DATA",IF(D677&gt;E677*1.5,"OVER",IF(D677&gt;E677*1.1,"HIGH",IF(D677&lt;E677*0.5,"LOW","OK"))))</f>
        <v/>
      </c>
    </row>
    <row r="678" ht="22" customHeight="1">
      <c r="B678" s="8" t="inlineStr">
        <is>
          <t>MTR-CTW-004</t>
        </is>
      </c>
      <c r="C678" s="8" t="inlineStr">
        <is>
          <t>2024-11-08</t>
        </is>
      </c>
      <c r="D678" s="12" t="n">
        <v>43.51</v>
      </c>
      <c r="E678" s="12" t="n">
        <v>38</v>
      </c>
      <c r="F678" s="12">
        <f>ROUND(D678-E678,2)</f>
        <v/>
      </c>
      <c r="G678" s="15">
        <f>IFERROR(ROUND(F678/E678,4),"")</f>
        <v/>
      </c>
      <c r="H678" s="16">
        <f>IF(D678=0,"NO DATA",IF(D678&gt;E678*1.5,"OVER",IF(D678&gt;E678*1.1,"HIGH",IF(D678&lt;E678*0.5,"LOW","OK"))))</f>
        <v/>
      </c>
    </row>
    <row r="679" ht="22" customHeight="1">
      <c r="B679" s="5" t="inlineStr">
        <is>
          <t>MTR-CTW-004</t>
        </is>
      </c>
      <c r="C679" s="5" t="inlineStr">
        <is>
          <t>2024-11-09</t>
        </is>
      </c>
      <c r="D679" s="11" t="n">
        <v>34.92</v>
      </c>
      <c r="E679" s="11" t="n">
        <v>38</v>
      </c>
      <c r="F679" s="11">
        <f>ROUND(D679-E679,2)</f>
        <v/>
      </c>
      <c r="G679" s="13">
        <f>IFERROR(ROUND(F679/E679,4),"")</f>
        <v/>
      </c>
      <c r="H679" s="14">
        <f>IF(D679=0,"NO DATA",IF(D679&gt;E679*1.5,"OVER",IF(D679&gt;E679*1.1,"HIGH",IF(D679&lt;E679*0.5,"LOW","OK"))))</f>
        <v/>
      </c>
    </row>
    <row r="680" ht="22" customHeight="1">
      <c r="B680" s="8" t="inlineStr">
        <is>
          <t>MTR-CTW-004</t>
        </is>
      </c>
      <c r="C680" s="8" t="inlineStr">
        <is>
          <t>2024-11-10</t>
        </is>
      </c>
      <c r="D680" s="12" t="n">
        <v>18.49</v>
      </c>
      <c r="E680" s="12" t="n">
        <v>38</v>
      </c>
      <c r="F680" s="12">
        <f>ROUND(D680-E680,2)</f>
        <v/>
      </c>
      <c r="G680" s="15">
        <f>IFERROR(ROUND(F680/E680,4),"")</f>
        <v/>
      </c>
      <c r="H680" s="16">
        <f>IF(D680=0,"NO DATA",IF(D680&gt;E680*1.5,"OVER",IF(D680&gt;E680*1.1,"HIGH",IF(D680&lt;E680*0.5,"LOW","OK"))))</f>
        <v/>
      </c>
    </row>
    <row r="681" ht="22" customHeight="1">
      <c r="B681" s="5" t="inlineStr">
        <is>
          <t>MTR-CTW-004</t>
        </is>
      </c>
      <c r="C681" s="5" t="inlineStr">
        <is>
          <t>2024-11-11</t>
        </is>
      </c>
      <c r="D681" s="11" t="n">
        <v>39.03</v>
      </c>
      <c r="E681" s="11" t="n">
        <v>38</v>
      </c>
      <c r="F681" s="11">
        <f>ROUND(D681-E681,2)</f>
        <v/>
      </c>
      <c r="G681" s="13">
        <f>IFERROR(ROUND(F681/E681,4),"")</f>
        <v/>
      </c>
      <c r="H681" s="14">
        <f>IF(D681=0,"NO DATA",IF(D681&gt;E681*1.5,"OVER",IF(D681&gt;E681*1.1,"HIGH",IF(D681&lt;E681*0.5,"LOW","OK"))))</f>
        <v/>
      </c>
    </row>
    <row r="682" ht="22" customHeight="1">
      <c r="B682" s="8" t="inlineStr">
        <is>
          <t>MTR-CTW-004</t>
        </is>
      </c>
      <c r="C682" s="8" t="inlineStr">
        <is>
          <t>2024-11-12</t>
        </is>
      </c>
      <c r="D682" s="12" t="n">
        <v>43.84</v>
      </c>
      <c r="E682" s="12" t="n">
        <v>38</v>
      </c>
      <c r="F682" s="12">
        <f>ROUND(D682-E682,2)</f>
        <v/>
      </c>
      <c r="G682" s="15">
        <f>IFERROR(ROUND(F682/E682,4),"")</f>
        <v/>
      </c>
      <c r="H682" s="16">
        <f>IF(D682=0,"NO DATA",IF(D682&gt;E682*1.5,"OVER",IF(D682&gt;E682*1.1,"HIGH",IF(D682&lt;E682*0.5,"LOW","OK"))))</f>
        <v/>
      </c>
    </row>
    <row r="683" ht="22" customHeight="1">
      <c r="B683" s="5" t="inlineStr">
        <is>
          <t>MTR-CTW-004</t>
        </is>
      </c>
      <c r="C683" s="5" t="inlineStr">
        <is>
          <t>2024-11-13</t>
        </is>
      </c>
      <c r="D683" s="11" t="n">
        <v>38.33</v>
      </c>
      <c r="E683" s="11" t="n">
        <v>38</v>
      </c>
      <c r="F683" s="11">
        <f>ROUND(D683-E683,2)</f>
        <v/>
      </c>
      <c r="G683" s="13">
        <f>IFERROR(ROUND(F683/E683,4),"")</f>
        <v/>
      </c>
      <c r="H683" s="14">
        <f>IF(D683=0,"NO DATA",IF(D683&gt;E683*1.5,"OVER",IF(D683&gt;E683*1.1,"HIGH",IF(D683&lt;E683*0.5,"LOW","OK"))))</f>
        <v/>
      </c>
    </row>
    <row r="684" ht="22" customHeight="1">
      <c r="B684" s="8" t="inlineStr">
        <is>
          <t>MTR-CTW-004</t>
        </is>
      </c>
      <c r="C684" s="8" t="inlineStr">
        <is>
          <t>2024-11-14</t>
        </is>
      </c>
      <c r="D684" s="12" t="n">
        <v>43.09</v>
      </c>
      <c r="E684" s="12" t="n">
        <v>38</v>
      </c>
      <c r="F684" s="12">
        <f>ROUND(D684-E684,2)</f>
        <v/>
      </c>
      <c r="G684" s="15">
        <f>IFERROR(ROUND(F684/E684,4),"")</f>
        <v/>
      </c>
      <c r="H684" s="16">
        <f>IF(D684=0,"NO DATA",IF(D684&gt;E684*1.5,"OVER",IF(D684&gt;E684*1.1,"HIGH",IF(D684&lt;E684*0.5,"LOW","OK"))))</f>
        <v/>
      </c>
    </row>
    <row r="685" ht="22" customHeight="1">
      <c r="B685" s="5" t="inlineStr">
        <is>
          <t>MTR-CTW-004</t>
        </is>
      </c>
      <c r="C685" s="5" t="inlineStr">
        <is>
          <t>2024-11-15</t>
        </is>
      </c>
      <c r="D685" s="11" t="n">
        <v>40.68</v>
      </c>
      <c r="E685" s="11" t="n">
        <v>38</v>
      </c>
      <c r="F685" s="11">
        <f>ROUND(D685-E685,2)</f>
        <v/>
      </c>
      <c r="G685" s="13">
        <f>IFERROR(ROUND(F685/E685,4),"")</f>
        <v/>
      </c>
      <c r="H685" s="14">
        <f>IF(D685=0,"NO DATA",IF(D685&gt;E685*1.5,"OVER",IF(D685&gt;E685*1.1,"HIGH",IF(D685&lt;E685*0.5,"LOW","OK"))))</f>
        <v/>
      </c>
    </row>
    <row r="686" ht="22" customHeight="1">
      <c r="B686" s="8" t="inlineStr">
        <is>
          <t>MTR-CTW-004</t>
        </is>
      </c>
      <c r="C686" s="8" t="inlineStr">
        <is>
          <t>2024-11-16</t>
        </is>
      </c>
      <c r="D686" s="12" t="n">
        <v>31.15</v>
      </c>
      <c r="E686" s="12" t="n">
        <v>38</v>
      </c>
      <c r="F686" s="12">
        <f>ROUND(D686-E686,2)</f>
        <v/>
      </c>
      <c r="G686" s="15">
        <f>IFERROR(ROUND(F686/E686,4),"")</f>
        <v/>
      </c>
      <c r="H686" s="16">
        <f>IF(D686=0,"NO DATA",IF(D686&gt;E686*1.5,"OVER",IF(D686&gt;E686*1.1,"HIGH",IF(D686&lt;E686*0.5,"LOW","OK"))))</f>
        <v/>
      </c>
    </row>
    <row r="687" ht="22" customHeight="1">
      <c r="B687" s="5" t="inlineStr">
        <is>
          <t>MTR-CTW-004</t>
        </is>
      </c>
      <c r="C687" s="5" t="inlineStr">
        <is>
          <t>2024-11-17</t>
        </is>
      </c>
      <c r="D687" s="11" t="n">
        <v>20.78</v>
      </c>
      <c r="E687" s="11" t="n">
        <v>38</v>
      </c>
      <c r="F687" s="11">
        <f>ROUND(D687-E687,2)</f>
        <v/>
      </c>
      <c r="G687" s="13">
        <f>IFERROR(ROUND(F687/E687,4),"")</f>
        <v/>
      </c>
      <c r="H687" s="14">
        <f>IF(D687=0,"NO DATA",IF(D687&gt;E687*1.5,"OVER",IF(D687&gt;E687*1.1,"HIGH",IF(D687&lt;E687*0.5,"LOW","OK"))))</f>
        <v/>
      </c>
    </row>
    <row r="688" ht="22" customHeight="1">
      <c r="B688" s="8" t="inlineStr">
        <is>
          <t>MTR-CTW-004</t>
        </is>
      </c>
      <c r="C688" s="8" t="inlineStr">
        <is>
          <t>2024-11-18</t>
        </is>
      </c>
      <c r="D688" s="12" t="n">
        <v>44.24</v>
      </c>
      <c r="E688" s="12" t="n">
        <v>38</v>
      </c>
      <c r="F688" s="12">
        <f>ROUND(D688-E688,2)</f>
        <v/>
      </c>
      <c r="G688" s="15">
        <f>IFERROR(ROUND(F688/E688,4),"")</f>
        <v/>
      </c>
      <c r="H688" s="16">
        <f>IF(D688=0,"NO DATA",IF(D688&gt;E688*1.5,"OVER",IF(D688&gt;E688*1.1,"HIGH",IF(D688&lt;E688*0.5,"LOW","OK"))))</f>
        <v/>
      </c>
    </row>
    <row r="689" ht="22" customHeight="1">
      <c r="B689" s="5" t="inlineStr">
        <is>
          <t>MTR-CTW-004</t>
        </is>
      </c>
      <c r="C689" s="5" t="inlineStr">
        <is>
          <t>2024-11-19</t>
        </is>
      </c>
      <c r="D689" s="11" t="n">
        <v>33.41</v>
      </c>
      <c r="E689" s="11" t="n">
        <v>38</v>
      </c>
      <c r="F689" s="11">
        <f>ROUND(D689-E689,2)</f>
        <v/>
      </c>
      <c r="G689" s="13">
        <f>IFERROR(ROUND(F689/E689,4),"")</f>
        <v/>
      </c>
      <c r="H689" s="14">
        <f>IF(D689=0,"NO DATA",IF(D689&gt;E689*1.5,"OVER",IF(D689&gt;E689*1.1,"HIGH",IF(D689&lt;E689*0.5,"LOW","OK"))))</f>
        <v/>
      </c>
    </row>
    <row r="690" ht="22" customHeight="1">
      <c r="B690" s="8" t="inlineStr">
        <is>
          <t>MTR-CTW-004</t>
        </is>
      </c>
      <c r="C690" s="8" t="inlineStr">
        <is>
          <t>2024-11-20</t>
        </is>
      </c>
      <c r="D690" s="12" t="n">
        <v>41.6</v>
      </c>
      <c r="E690" s="12" t="n">
        <v>38</v>
      </c>
      <c r="F690" s="12">
        <f>ROUND(D690-E690,2)</f>
        <v/>
      </c>
      <c r="G690" s="15">
        <f>IFERROR(ROUND(F690/E690,4),"")</f>
        <v/>
      </c>
      <c r="H690" s="16">
        <f>IF(D690=0,"NO DATA",IF(D690&gt;E690*1.5,"OVER",IF(D690&gt;E690*1.1,"HIGH",IF(D690&lt;E690*0.5,"LOW","OK"))))</f>
        <v/>
      </c>
    </row>
    <row r="691" ht="22" customHeight="1">
      <c r="B691" s="5" t="inlineStr">
        <is>
          <t>MTR-CTW-004</t>
        </is>
      </c>
      <c r="C691" s="5" t="inlineStr">
        <is>
          <t>2024-11-21</t>
        </is>
      </c>
      <c r="D691" s="11" t="n">
        <v>36.55</v>
      </c>
      <c r="E691" s="11" t="n">
        <v>38</v>
      </c>
      <c r="F691" s="11">
        <f>ROUND(D691-E691,2)</f>
        <v/>
      </c>
      <c r="G691" s="13">
        <f>IFERROR(ROUND(F691/E691,4),"")</f>
        <v/>
      </c>
      <c r="H691" s="14">
        <f>IF(D691=0,"NO DATA",IF(D691&gt;E691*1.5,"OVER",IF(D691&gt;E691*1.1,"HIGH",IF(D691&lt;E691*0.5,"LOW","OK"))))</f>
        <v/>
      </c>
    </row>
    <row r="692" ht="22" customHeight="1">
      <c r="B692" s="8" t="inlineStr">
        <is>
          <t>MTR-CTW-004</t>
        </is>
      </c>
      <c r="C692" s="8" t="inlineStr">
        <is>
          <t>2024-11-22</t>
        </is>
      </c>
      <c r="D692" s="12" t="n">
        <v>37.26</v>
      </c>
      <c r="E692" s="12" t="n">
        <v>38</v>
      </c>
      <c r="F692" s="12">
        <f>ROUND(D692-E692,2)</f>
        <v/>
      </c>
      <c r="G692" s="15">
        <f>IFERROR(ROUND(F692/E692,4),"")</f>
        <v/>
      </c>
      <c r="H692" s="16">
        <f>IF(D692=0,"NO DATA",IF(D692&gt;E692*1.5,"OVER",IF(D692&gt;E692*1.1,"HIGH",IF(D692&lt;E692*0.5,"LOW","OK"))))</f>
        <v/>
      </c>
    </row>
    <row r="693" ht="22" customHeight="1">
      <c r="B693" s="5" t="inlineStr">
        <is>
          <t>MTR-CTW-004</t>
        </is>
      </c>
      <c r="C693" s="5" t="inlineStr">
        <is>
          <t>2024-11-23</t>
        </is>
      </c>
      <c r="D693" s="11" t="n">
        <v>32.33</v>
      </c>
      <c r="E693" s="11" t="n">
        <v>38</v>
      </c>
      <c r="F693" s="11">
        <f>ROUND(D693-E693,2)</f>
        <v/>
      </c>
      <c r="G693" s="13">
        <f>IFERROR(ROUND(F693/E693,4),"")</f>
        <v/>
      </c>
      <c r="H693" s="14">
        <f>IF(D693=0,"NO DATA",IF(D693&gt;E693*1.5,"OVER",IF(D693&gt;E693*1.1,"HIGH",IF(D693&lt;E693*0.5,"LOW","OK"))))</f>
        <v/>
      </c>
    </row>
    <row r="694" ht="22" customHeight="1">
      <c r="B694" s="8" t="inlineStr">
        <is>
          <t>MTR-CTW-004</t>
        </is>
      </c>
      <c r="C694" s="8" t="inlineStr">
        <is>
          <t>2024-11-24</t>
        </is>
      </c>
      <c r="D694" s="12" t="n">
        <v>19.44</v>
      </c>
      <c r="E694" s="12" t="n">
        <v>38</v>
      </c>
      <c r="F694" s="12">
        <f>ROUND(D694-E694,2)</f>
        <v/>
      </c>
      <c r="G694" s="15">
        <f>IFERROR(ROUND(F694/E694,4),"")</f>
        <v/>
      </c>
      <c r="H694" s="16">
        <f>IF(D694=0,"NO DATA",IF(D694&gt;E694*1.5,"OVER",IF(D694&gt;E694*1.1,"HIGH",IF(D694&lt;E694*0.5,"LOW","OK"))))</f>
        <v/>
      </c>
    </row>
    <row r="695" ht="22" customHeight="1">
      <c r="B695" s="5" t="inlineStr">
        <is>
          <t>MTR-CTW-004</t>
        </is>
      </c>
      <c r="C695" s="5" t="inlineStr">
        <is>
          <t>2024-11-25</t>
        </is>
      </c>
      <c r="D695" s="11" t="n">
        <v>40.53</v>
      </c>
      <c r="E695" s="11" t="n">
        <v>38</v>
      </c>
      <c r="F695" s="11">
        <f>ROUND(D695-E695,2)</f>
        <v/>
      </c>
      <c r="G695" s="13">
        <f>IFERROR(ROUND(F695/E695,4),"")</f>
        <v/>
      </c>
      <c r="H695" s="14">
        <f>IF(D695=0,"NO DATA",IF(D695&gt;E695*1.5,"OVER",IF(D695&gt;E695*1.1,"HIGH",IF(D695&lt;E695*0.5,"LOW","OK"))))</f>
        <v/>
      </c>
    </row>
    <row r="696" ht="22" customHeight="1">
      <c r="B696" s="8" t="inlineStr">
        <is>
          <t>MTR-CTW-004</t>
        </is>
      </c>
      <c r="C696" s="8" t="inlineStr">
        <is>
          <t>2024-11-26</t>
        </is>
      </c>
      <c r="D696" s="12" t="n">
        <v>40.52</v>
      </c>
      <c r="E696" s="12" t="n">
        <v>38</v>
      </c>
      <c r="F696" s="12">
        <f>ROUND(D696-E696,2)</f>
        <v/>
      </c>
      <c r="G696" s="15">
        <f>IFERROR(ROUND(F696/E696,4),"")</f>
        <v/>
      </c>
      <c r="H696" s="16">
        <f>IF(D696=0,"NO DATA",IF(D696&gt;E696*1.5,"OVER",IF(D696&gt;E696*1.1,"HIGH",IF(D696&lt;E696*0.5,"LOW","OK"))))</f>
        <v/>
      </c>
    </row>
    <row r="697" ht="22" customHeight="1">
      <c r="B697" s="5" t="inlineStr">
        <is>
          <t>MTR-CTW-004</t>
        </is>
      </c>
      <c r="C697" s="5" t="inlineStr">
        <is>
          <t>2024-11-27</t>
        </is>
      </c>
      <c r="D697" s="11" t="n">
        <v>35.34</v>
      </c>
      <c r="E697" s="11" t="n">
        <v>38</v>
      </c>
      <c r="F697" s="11">
        <f>ROUND(D697-E697,2)</f>
        <v/>
      </c>
      <c r="G697" s="13">
        <f>IFERROR(ROUND(F697/E697,4),"")</f>
        <v/>
      </c>
      <c r="H697" s="14">
        <f>IF(D697=0,"NO DATA",IF(D697&gt;E697*1.5,"OVER",IF(D697&gt;E697*1.1,"HIGH",IF(D697&lt;E697*0.5,"LOW","OK"))))</f>
        <v/>
      </c>
    </row>
    <row r="698" ht="22" customHeight="1">
      <c r="B698" s="8" t="inlineStr">
        <is>
          <t>MTR-CTW-004</t>
        </is>
      </c>
      <c r="C698" s="8" t="inlineStr">
        <is>
          <t>2024-11-28</t>
        </is>
      </c>
      <c r="D698" s="12" t="n">
        <v>35.06</v>
      </c>
      <c r="E698" s="12" t="n">
        <v>38</v>
      </c>
      <c r="F698" s="12">
        <f>ROUND(D698-E698,2)</f>
        <v/>
      </c>
      <c r="G698" s="15">
        <f>IFERROR(ROUND(F698/E698,4),"")</f>
        <v/>
      </c>
      <c r="H698" s="16">
        <f>IF(D698=0,"NO DATA",IF(D698&gt;E698*1.5,"OVER",IF(D698&gt;E698*1.1,"HIGH",IF(D698&lt;E698*0.5,"LOW","OK"))))</f>
        <v/>
      </c>
    </row>
    <row r="699" ht="22" customHeight="1">
      <c r="B699" s="5" t="inlineStr">
        <is>
          <t>MTR-CTW-004</t>
        </is>
      </c>
      <c r="C699" s="5" t="inlineStr">
        <is>
          <t>2024-11-29</t>
        </is>
      </c>
      <c r="D699" s="11" t="n">
        <v>44.75</v>
      </c>
      <c r="E699" s="11" t="n">
        <v>38</v>
      </c>
      <c r="F699" s="11">
        <f>ROUND(D699-E699,2)</f>
        <v/>
      </c>
      <c r="G699" s="13">
        <f>IFERROR(ROUND(F699/E699,4),"")</f>
        <v/>
      </c>
      <c r="H699" s="14">
        <f>IF(D699=0,"NO DATA",IF(D699&gt;E699*1.5,"OVER",IF(D699&gt;E699*1.1,"HIGH",IF(D699&lt;E699*0.5,"LOW","OK"))))</f>
        <v/>
      </c>
    </row>
    <row r="700" ht="22" customHeight="1">
      <c r="B700" s="8" t="inlineStr">
        <is>
          <t>MTR-CTW-004</t>
        </is>
      </c>
      <c r="C700" s="8" t="inlineStr">
        <is>
          <t>2024-11-30</t>
        </is>
      </c>
      <c r="D700" s="12" t="n">
        <v>32.38</v>
      </c>
      <c r="E700" s="12" t="n">
        <v>38</v>
      </c>
      <c r="F700" s="12">
        <f>ROUND(D700-E700,2)</f>
        <v/>
      </c>
      <c r="G700" s="15">
        <f>IFERROR(ROUND(F700/E700,4),"")</f>
        <v/>
      </c>
      <c r="H700" s="16">
        <f>IF(D700=0,"NO DATA",IF(D700&gt;E700*1.5,"OVER",IF(D700&gt;E700*1.1,"HIGH",IF(D700&lt;E700*0.5,"LOW","OK"))))</f>
        <v/>
      </c>
    </row>
    <row r="701" ht="22" customHeight="1">
      <c r="B701" s="5" t="inlineStr">
        <is>
          <t>MTR-CTW-004</t>
        </is>
      </c>
      <c r="C701" s="5" t="inlineStr">
        <is>
          <t>2024-12-01</t>
        </is>
      </c>
      <c r="D701" s="11" t="n">
        <v>22.77</v>
      </c>
      <c r="E701" s="11" t="n">
        <v>38</v>
      </c>
      <c r="F701" s="11">
        <f>ROUND(D701-E701,2)</f>
        <v/>
      </c>
      <c r="G701" s="13">
        <f>IFERROR(ROUND(F701/E701,4),"")</f>
        <v/>
      </c>
      <c r="H701" s="14">
        <f>IF(D701=0,"NO DATA",IF(D701&gt;E701*1.5,"OVER",IF(D701&gt;E701*1.1,"HIGH",IF(D701&lt;E701*0.5,"LOW","OK"))))</f>
        <v/>
      </c>
    </row>
    <row r="702" ht="22" customHeight="1">
      <c r="B702" s="8" t="inlineStr">
        <is>
          <t>MTR-CTW-004</t>
        </is>
      </c>
      <c r="C702" s="8" t="inlineStr">
        <is>
          <t>2024-12-02</t>
        </is>
      </c>
      <c r="D702" s="12" t="n">
        <v>34.51</v>
      </c>
      <c r="E702" s="12" t="n">
        <v>38</v>
      </c>
      <c r="F702" s="12">
        <f>ROUND(D702-E702,2)</f>
        <v/>
      </c>
      <c r="G702" s="15">
        <f>IFERROR(ROUND(F702/E702,4),"")</f>
        <v/>
      </c>
      <c r="H702" s="16">
        <f>IF(D702=0,"NO DATA",IF(D702&gt;E702*1.5,"OVER",IF(D702&gt;E702*1.1,"HIGH",IF(D702&lt;E702*0.5,"LOW","OK"))))</f>
        <v/>
      </c>
    </row>
    <row r="703" ht="22" customHeight="1">
      <c r="B703" s="5" t="inlineStr">
        <is>
          <t>MTR-CTW-004</t>
        </is>
      </c>
      <c r="C703" s="5" t="inlineStr">
        <is>
          <t>2024-12-03</t>
        </is>
      </c>
      <c r="D703" s="11" t="n">
        <v>37.98</v>
      </c>
      <c r="E703" s="11" t="n">
        <v>38</v>
      </c>
      <c r="F703" s="11">
        <f>ROUND(D703-E703,2)</f>
        <v/>
      </c>
      <c r="G703" s="13">
        <f>IFERROR(ROUND(F703/E703,4),"")</f>
        <v/>
      </c>
      <c r="H703" s="14">
        <f>IF(D703=0,"NO DATA",IF(D703&gt;E703*1.5,"OVER",IF(D703&gt;E703*1.1,"HIGH",IF(D703&lt;E703*0.5,"LOW","OK"))))</f>
        <v/>
      </c>
    </row>
    <row r="704" ht="22" customHeight="1">
      <c r="B704" s="8" t="inlineStr">
        <is>
          <t>MTR-CTW-004</t>
        </is>
      </c>
      <c r="C704" s="8" t="inlineStr">
        <is>
          <t>2024-12-04</t>
        </is>
      </c>
      <c r="D704" s="12" t="n">
        <v>40.16</v>
      </c>
      <c r="E704" s="12" t="n">
        <v>38</v>
      </c>
      <c r="F704" s="12">
        <f>ROUND(D704-E704,2)</f>
        <v/>
      </c>
      <c r="G704" s="15">
        <f>IFERROR(ROUND(F704/E704,4),"")</f>
        <v/>
      </c>
      <c r="H704" s="16">
        <f>IF(D704=0,"NO DATA",IF(D704&gt;E704*1.5,"OVER",IF(D704&gt;E704*1.1,"HIGH",IF(D704&lt;E704*0.5,"LOW","OK"))))</f>
        <v/>
      </c>
    </row>
    <row r="705" ht="22" customHeight="1">
      <c r="B705" s="5" t="inlineStr">
        <is>
          <t>MTR-CTW-004</t>
        </is>
      </c>
      <c r="C705" s="5" t="inlineStr">
        <is>
          <t>2024-12-05</t>
        </is>
      </c>
      <c r="D705" s="11" t="n">
        <v>42.47</v>
      </c>
      <c r="E705" s="11" t="n">
        <v>38</v>
      </c>
      <c r="F705" s="11">
        <f>ROUND(D705-E705,2)</f>
        <v/>
      </c>
      <c r="G705" s="13">
        <f>IFERROR(ROUND(F705/E705,4),"")</f>
        <v/>
      </c>
      <c r="H705" s="14">
        <f>IF(D705=0,"NO DATA",IF(D705&gt;E705*1.5,"OVER",IF(D705&gt;E705*1.1,"HIGH",IF(D705&lt;E705*0.5,"LOW","OK"))))</f>
        <v/>
      </c>
    </row>
    <row r="706" ht="22" customHeight="1">
      <c r="B706" s="8" t="inlineStr">
        <is>
          <t>MTR-CTW-004</t>
        </is>
      </c>
      <c r="C706" s="8" t="inlineStr">
        <is>
          <t>2024-12-06</t>
        </is>
      </c>
      <c r="D706" s="12" t="n">
        <v>43.4</v>
      </c>
      <c r="E706" s="12" t="n">
        <v>38</v>
      </c>
      <c r="F706" s="12">
        <f>ROUND(D706-E706,2)</f>
        <v/>
      </c>
      <c r="G706" s="15">
        <f>IFERROR(ROUND(F706/E706,4),"")</f>
        <v/>
      </c>
      <c r="H706" s="16">
        <f>IF(D706=0,"NO DATA",IF(D706&gt;E706*1.5,"OVER",IF(D706&gt;E706*1.1,"HIGH",IF(D706&lt;E706*0.5,"LOW","OK"))))</f>
        <v/>
      </c>
    </row>
    <row r="707" ht="22" customHeight="1">
      <c r="B707" s="5" t="inlineStr">
        <is>
          <t>MTR-CTW-004</t>
        </is>
      </c>
      <c r="C707" s="5" t="inlineStr">
        <is>
          <t>2024-12-07</t>
        </is>
      </c>
      <c r="D707" s="11" t="n">
        <v>27.11</v>
      </c>
      <c r="E707" s="11" t="n">
        <v>38</v>
      </c>
      <c r="F707" s="11">
        <f>ROUND(D707-E707,2)</f>
        <v/>
      </c>
      <c r="G707" s="13">
        <f>IFERROR(ROUND(F707/E707,4),"")</f>
        <v/>
      </c>
      <c r="H707" s="14">
        <f>IF(D707=0,"NO DATA",IF(D707&gt;E707*1.5,"OVER",IF(D707&gt;E707*1.1,"HIGH",IF(D707&lt;E707*0.5,"LOW","OK"))))</f>
        <v/>
      </c>
    </row>
    <row r="708" ht="22" customHeight="1">
      <c r="B708" s="8" t="inlineStr">
        <is>
          <t>MTR-CTW-004</t>
        </is>
      </c>
      <c r="C708" s="8" t="inlineStr">
        <is>
          <t>2024-12-08</t>
        </is>
      </c>
      <c r="D708" s="12" t="n">
        <v>19.07</v>
      </c>
      <c r="E708" s="12" t="n">
        <v>38</v>
      </c>
      <c r="F708" s="12">
        <f>ROUND(D708-E708,2)</f>
        <v/>
      </c>
      <c r="G708" s="15">
        <f>IFERROR(ROUND(F708/E708,4),"")</f>
        <v/>
      </c>
      <c r="H708" s="16">
        <f>IF(D708=0,"NO DATA",IF(D708&gt;E708*1.5,"OVER",IF(D708&gt;E708*1.1,"HIGH",IF(D708&lt;E708*0.5,"LOW","OK"))))</f>
        <v/>
      </c>
    </row>
    <row r="709" ht="22" customHeight="1">
      <c r="B709" s="5" t="inlineStr">
        <is>
          <t>MTR-CTW-004</t>
        </is>
      </c>
      <c r="C709" s="5" t="inlineStr">
        <is>
          <t>2024-12-09</t>
        </is>
      </c>
      <c r="D709" s="11" t="n">
        <v>42.24</v>
      </c>
      <c r="E709" s="11" t="n">
        <v>38</v>
      </c>
      <c r="F709" s="11">
        <f>ROUND(D709-E709,2)</f>
        <v/>
      </c>
      <c r="G709" s="13">
        <f>IFERROR(ROUND(F709/E709,4),"")</f>
        <v/>
      </c>
      <c r="H709" s="14">
        <f>IF(D709=0,"NO DATA",IF(D709&gt;E709*1.5,"OVER",IF(D709&gt;E709*1.1,"HIGH",IF(D709&lt;E709*0.5,"LOW","OK"))))</f>
        <v/>
      </c>
    </row>
    <row r="710" ht="22" customHeight="1">
      <c r="B710" s="8" t="inlineStr">
        <is>
          <t>MTR-CTW-004</t>
        </is>
      </c>
      <c r="C710" s="8" t="inlineStr">
        <is>
          <t>2024-12-10</t>
        </is>
      </c>
      <c r="D710" s="12" t="n">
        <v>39.12</v>
      </c>
      <c r="E710" s="12" t="n">
        <v>38</v>
      </c>
      <c r="F710" s="12">
        <f>ROUND(D710-E710,2)</f>
        <v/>
      </c>
      <c r="G710" s="15">
        <f>IFERROR(ROUND(F710/E710,4),"")</f>
        <v/>
      </c>
      <c r="H710" s="16">
        <f>IF(D710=0,"NO DATA",IF(D710&gt;E710*1.5,"OVER",IF(D710&gt;E710*1.1,"HIGH",IF(D710&lt;E710*0.5,"LOW","OK"))))</f>
        <v/>
      </c>
    </row>
    <row r="711" ht="22" customHeight="1">
      <c r="B711" s="5" t="inlineStr">
        <is>
          <t>MTR-CTW-004</t>
        </is>
      </c>
      <c r="C711" s="5" t="inlineStr">
        <is>
          <t>2024-12-11</t>
        </is>
      </c>
      <c r="D711" s="11" t="n">
        <v>37.18</v>
      </c>
      <c r="E711" s="11" t="n">
        <v>38</v>
      </c>
      <c r="F711" s="11">
        <f>ROUND(D711-E711,2)</f>
        <v/>
      </c>
      <c r="G711" s="13">
        <f>IFERROR(ROUND(F711/E711,4),"")</f>
        <v/>
      </c>
      <c r="H711" s="14">
        <f>IF(D711=0,"NO DATA",IF(D711&gt;E711*1.5,"OVER",IF(D711&gt;E711*1.1,"HIGH",IF(D711&lt;E711*0.5,"LOW","OK"))))</f>
        <v/>
      </c>
    </row>
    <row r="712" ht="22" customHeight="1">
      <c r="B712" s="8" t="inlineStr">
        <is>
          <t>MTR-CTW-004</t>
        </is>
      </c>
      <c r="C712" s="8" t="inlineStr">
        <is>
          <t>2024-12-12</t>
        </is>
      </c>
      <c r="D712" s="12" t="n">
        <v>42.09</v>
      </c>
      <c r="E712" s="12" t="n">
        <v>38</v>
      </c>
      <c r="F712" s="12">
        <f>ROUND(D712-E712,2)</f>
        <v/>
      </c>
      <c r="G712" s="15">
        <f>IFERROR(ROUND(F712/E712,4),"")</f>
        <v/>
      </c>
      <c r="H712" s="16">
        <f>IF(D712=0,"NO DATA",IF(D712&gt;E712*1.5,"OVER",IF(D712&gt;E712*1.1,"HIGH",IF(D712&lt;E712*0.5,"LOW","OK"))))</f>
        <v/>
      </c>
    </row>
    <row r="713" ht="22" customHeight="1">
      <c r="B713" s="5" t="inlineStr">
        <is>
          <t>MTR-CTW-004</t>
        </is>
      </c>
      <c r="C713" s="5" t="inlineStr">
        <is>
          <t>2024-12-13</t>
        </is>
      </c>
      <c r="D713" s="11" t="n">
        <v>33.86</v>
      </c>
      <c r="E713" s="11" t="n">
        <v>38</v>
      </c>
      <c r="F713" s="11">
        <f>ROUND(D713-E713,2)</f>
        <v/>
      </c>
      <c r="G713" s="13">
        <f>IFERROR(ROUND(F713/E713,4),"")</f>
        <v/>
      </c>
      <c r="H713" s="14">
        <f>IF(D713=0,"NO DATA",IF(D713&gt;E713*1.5,"OVER",IF(D713&gt;E713*1.1,"HIGH",IF(D713&lt;E713*0.5,"LOW","OK"))))</f>
        <v/>
      </c>
    </row>
    <row r="714" ht="22" customHeight="1">
      <c r="B714" s="8" t="inlineStr">
        <is>
          <t>MTR-CTW-004</t>
        </is>
      </c>
      <c r="C714" s="8" t="inlineStr">
        <is>
          <t>2024-12-14</t>
        </is>
      </c>
      <c r="D714" s="12" t="n">
        <v>32.95</v>
      </c>
      <c r="E714" s="12" t="n">
        <v>38</v>
      </c>
      <c r="F714" s="12">
        <f>ROUND(D714-E714,2)</f>
        <v/>
      </c>
      <c r="G714" s="15">
        <f>IFERROR(ROUND(F714/E714,4),"")</f>
        <v/>
      </c>
      <c r="H714" s="16">
        <f>IF(D714=0,"NO DATA",IF(D714&gt;E714*1.5,"OVER",IF(D714&gt;E714*1.1,"HIGH",IF(D714&lt;E714*0.5,"LOW","OK"))))</f>
        <v/>
      </c>
    </row>
    <row r="715" ht="22" customHeight="1">
      <c r="B715" s="5" t="inlineStr">
        <is>
          <t>MTR-CTW-004</t>
        </is>
      </c>
      <c r="C715" s="5" t="inlineStr">
        <is>
          <t>2024-12-15</t>
        </is>
      </c>
      <c r="D715" s="11" t="n">
        <v>21.62</v>
      </c>
      <c r="E715" s="11" t="n">
        <v>38</v>
      </c>
      <c r="F715" s="11">
        <f>ROUND(D715-E715,2)</f>
        <v/>
      </c>
      <c r="G715" s="13">
        <f>IFERROR(ROUND(F715/E715,4),"")</f>
        <v/>
      </c>
      <c r="H715" s="14">
        <f>IF(D715=0,"NO DATA",IF(D715&gt;E715*1.5,"OVER",IF(D715&gt;E715*1.1,"HIGH",IF(D715&lt;E715*0.5,"LOW","OK"))))</f>
        <v/>
      </c>
    </row>
    <row r="716" ht="22" customHeight="1">
      <c r="B716" s="8" t="inlineStr">
        <is>
          <t>MTR-CTW-004</t>
        </is>
      </c>
      <c r="C716" s="8" t="inlineStr">
        <is>
          <t>2024-12-16</t>
        </is>
      </c>
      <c r="D716" s="12" t="n">
        <v>38.5</v>
      </c>
      <c r="E716" s="12" t="n">
        <v>38</v>
      </c>
      <c r="F716" s="12">
        <f>ROUND(D716-E716,2)</f>
        <v/>
      </c>
      <c r="G716" s="15">
        <f>IFERROR(ROUND(F716/E716,4),"")</f>
        <v/>
      </c>
      <c r="H716" s="16">
        <f>IF(D716=0,"NO DATA",IF(D716&gt;E716*1.5,"OVER",IF(D716&gt;E716*1.1,"HIGH",IF(D716&lt;E716*0.5,"LOW","OK"))))</f>
        <v/>
      </c>
    </row>
    <row r="717" ht="22" customHeight="1">
      <c r="B717" s="5" t="inlineStr">
        <is>
          <t>MTR-CTW-004</t>
        </is>
      </c>
      <c r="C717" s="5" t="inlineStr">
        <is>
          <t>2024-12-17</t>
        </is>
      </c>
      <c r="D717" s="11" t="n">
        <v>36.3</v>
      </c>
      <c r="E717" s="11" t="n">
        <v>38</v>
      </c>
      <c r="F717" s="11">
        <f>ROUND(D717-E717,2)</f>
        <v/>
      </c>
      <c r="G717" s="13">
        <f>IFERROR(ROUND(F717/E717,4),"")</f>
        <v/>
      </c>
      <c r="H717" s="14">
        <f>IF(D717=0,"NO DATA",IF(D717&gt;E717*1.5,"OVER",IF(D717&gt;E717*1.1,"HIGH",IF(D717&lt;E717*0.5,"LOW","OK"))))</f>
        <v/>
      </c>
    </row>
    <row r="718" ht="22" customHeight="1">
      <c r="B718" s="8" t="inlineStr">
        <is>
          <t>MTR-CTW-004</t>
        </is>
      </c>
      <c r="C718" s="8" t="inlineStr">
        <is>
          <t>2024-12-18</t>
        </is>
      </c>
      <c r="D718" s="12" t="n">
        <v>40.8</v>
      </c>
      <c r="E718" s="12" t="n">
        <v>38</v>
      </c>
      <c r="F718" s="12">
        <f>ROUND(D718-E718,2)</f>
        <v/>
      </c>
      <c r="G718" s="15">
        <f>IFERROR(ROUND(F718/E718,4),"")</f>
        <v/>
      </c>
      <c r="H718" s="16">
        <f>IF(D718=0,"NO DATA",IF(D718&gt;E718*1.5,"OVER",IF(D718&gt;E718*1.1,"HIGH",IF(D718&lt;E718*0.5,"LOW","OK"))))</f>
        <v/>
      </c>
    </row>
    <row r="719" ht="22" customHeight="1">
      <c r="B719" s="5" t="inlineStr">
        <is>
          <t>MTR-CTW-004</t>
        </is>
      </c>
      <c r="C719" s="5" t="inlineStr">
        <is>
          <t>2024-12-19</t>
        </is>
      </c>
      <c r="D719" s="11" t="n">
        <v>33.77</v>
      </c>
      <c r="E719" s="11" t="n">
        <v>38</v>
      </c>
      <c r="F719" s="11">
        <f>ROUND(D719-E719,2)</f>
        <v/>
      </c>
      <c r="G719" s="13">
        <f>IFERROR(ROUND(F719/E719,4),"")</f>
        <v/>
      </c>
      <c r="H719" s="14">
        <f>IF(D719=0,"NO DATA",IF(D719&gt;E719*1.5,"OVER",IF(D719&gt;E719*1.1,"HIGH",IF(D719&lt;E719*0.5,"LOW","OK"))))</f>
        <v/>
      </c>
    </row>
    <row r="720" ht="22" customHeight="1">
      <c r="B720" s="8" t="inlineStr">
        <is>
          <t>MTR-CTW-004</t>
        </is>
      </c>
      <c r="C720" s="8" t="inlineStr">
        <is>
          <t>2024-12-20</t>
        </is>
      </c>
      <c r="D720" s="12" t="n">
        <v>40.31</v>
      </c>
      <c r="E720" s="12" t="n">
        <v>38</v>
      </c>
      <c r="F720" s="12">
        <f>ROUND(D720-E720,2)</f>
        <v/>
      </c>
      <c r="G720" s="15">
        <f>IFERROR(ROUND(F720/E720,4),"")</f>
        <v/>
      </c>
      <c r="H720" s="16">
        <f>IF(D720=0,"NO DATA",IF(D720&gt;E720*1.5,"OVER",IF(D720&gt;E720*1.1,"HIGH",IF(D720&lt;E720*0.5,"LOW","OK"))))</f>
        <v/>
      </c>
    </row>
    <row r="721" ht="22" customHeight="1">
      <c r="B721" s="5" t="inlineStr">
        <is>
          <t>MTR-CTW-004</t>
        </is>
      </c>
      <c r="C721" s="5" t="inlineStr">
        <is>
          <t>2024-12-21</t>
        </is>
      </c>
      <c r="D721" s="11" t="n">
        <v>34.91</v>
      </c>
      <c r="E721" s="11" t="n">
        <v>38</v>
      </c>
      <c r="F721" s="11">
        <f>ROUND(D721-E721,2)</f>
        <v/>
      </c>
      <c r="G721" s="13">
        <f>IFERROR(ROUND(F721/E721,4),"")</f>
        <v/>
      </c>
      <c r="H721" s="14">
        <f>IF(D721=0,"NO DATA",IF(D721&gt;E721*1.5,"OVER",IF(D721&gt;E721*1.1,"HIGH",IF(D721&lt;E721*0.5,"LOW","OK"))))</f>
        <v/>
      </c>
    </row>
    <row r="722" ht="22" customHeight="1">
      <c r="B722" s="8" t="inlineStr">
        <is>
          <t>MTR-CTW-004</t>
        </is>
      </c>
      <c r="C722" s="8" t="inlineStr">
        <is>
          <t>2024-12-22</t>
        </is>
      </c>
      <c r="D722" s="12" t="n">
        <v>21.2</v>
      </c>
      <c r="E722" s="12" t="n">
        <v>38</v>
      </c>
      <c r="F722" s="12">
        <f>ROUND(D722-E722,2)</f>
        <v/>
      </c>
      <c r="G722" s="15">
        <f>IFERROR(ROUND(F722/E722,4),"")</f>
        <v/>
      </c>
      <c r="H722" s="16">
        <f>IF(D722=0,"NO DATA",IF(D722&gt;E722*1.5,"OVER",IF(D722&gt;E722*1.1,"HIGH",IF(D722&lt;E722*0.5,"LOW","OK"))))</f>
        <v/>
      </c>
    </row>
    <row r="723" ht="22" customHeight="1">
      <c r="B723" s="5" t="inlineStr">
        <is>
          <t>MTR-CTW-004</t>
        </is>
      </c>
      <c r="C723" s="5" t="inlineStr">
        <is>
          <t>2024-12-23</t>
        </is>
      </c>
      <c r="D723" s="11" t="n">
        <v>35.28</v>
      </c>
      <c r="E723" s="11" t="n">
        <v>38</v>
      </c>
      <c r="F723" s="11">
        <f>ROUND(D723-E723,2)</f>
        <v/>
      </c>
      <c r="G723" s="13">
        <f>IFERROR(ROUND(F723/E723,4),"")</f>
        <v/>
      </c>
      <c r="H723" s="14">
        <f>IF(D723=0,"NO DATA",IF(D723&gt;E723*1.5,"OVER",IF(D723&gt;E723*1.1,"HIGH",IF(D723&lt;E723*0.5,"LOW","OK"))))</f>
        <v/>
      </c>
    </row>
    <row r="724" ht="22" customHeight="1">
      <c r="B724" s="8" t="inlineStr">
        <is>
          <t>MTR-CTW-004</t>
        </is>
      </c>
      <c r="C724" s="8" t="inlineStr">
        <is>
          <t>2024-12-24</t>
        </is>
      </c>
      <c r="D724" s="12" t="n">
        <v>38.4</v>
      </c>
      <c r="E724" s="12" t="n">
        <v>38</v>
      </c>
      <c r="F724" s="12">
        <f>ROUND(D724-E724,2)</f>
        <v/>
      </c>
      <c r="G724" s="15">
        <f>IFERROR(ROUND(F724/E724,4),"")</f>
        <v/>
      </c>
      <c r="H724" s="16">
        <f>IF(D724=0,"NO DATA",IF(D724&gt;E724*1.5,"OVER",IF(D724&gt;E724*1.1,"HIGH",IF(D724&lt;E724*0.5,"LOW","OK"))))</f>
        <v/>
      </c>
    </row>
    <row r="725" ht="22" customHeight="1">
      <c r="B725" s="5" t="inlineStr">
        <is>
          <t>MTR-CTW-004</t>
        </is>
      </c>
      <c r="C725" s="5" t="inlineStr">
        <is>
          <t>2024-12-25</t>
        </is>
      </c>
      <c r="D725" s="11" t="n">
        <v>43.32</v>
      </c>
      <c r="E725" s="11" t="n">
        <v>38</v>
      </c>
      <c r="F725" s="11">
        <f>ROUND(D725-E725,2)</f>
        <v/>
      </c>
      <c r="G725" s="13">
        <f>IFERROR(ROUND(F725/E725,4),"")</f>
        <v/>
      </c>
      <c r="H725" s="14">
        <f>IF(D725=0,"NO DATA",IF(D725&gt;E725*1.5,"OVER",IF(D725&gt;E725*1.1,"HIGH",IF(D725&lt;E725*0.5,"LOW","OK"))))</f>
        <v/>
      </c>
    </row>
    <row r="726" ht="22" customHeight="1">
      <c r="B726" s="8" t="inlineStr">
        <is>
          <t>MTR-CTW-004</t>
        </is>
      </c>
      <c r="C726" s="8" t="inlineStr">
        <is>
          <t>2024-12-26</t>
        </is>
      </c>
      <c r="D726" s="12" t="n">
        <v>38.65</v>
      </c>
      <c r="E726" s="12" t="n">
        <v>38</v>
      </c>
      <c r="F726" s="12">
        <f>ROUND(D726-E726,2)</f>
        <v/>
      </c>
      <c r="G726" s="15">
        <f>IFERROR(ROUND(F726/E726,4),"")</f>
        <v/>
      </c>
      <c r="H726" s="16">
        <f>IF(D726=0,"NO DATA",IF(D726&gt;E726*1.5,"OVER",IF(D726&gt;E726*1.1,"HIGH",IF(D726&lt;E726*0.5,"LOW","OK"))))</f>
        <v/>
      </c>
    </row>
    <row r="727" ht="22" customHeight="1">
      <c r="B727" s="5" t="inlineStr">
        <is>
          <t>MTR-CTW-004</t>
        </is>
      </c>
      <c r="C727" s="5" t="inlineStr">
        <is>
          <t>2024-12-27</t>
        </is>
      </c>
      <c r="D727" s="11" t="n">
        <v>33.82</v>
      </c>
      <c r="E727" s="11" t="n">
        <v>38</v>
      </c>
      <c r="F727" s="11">
        <f>ROUND(D727-E727,2)</f>
        <v/>
      </c>
      <c r="G727" s="13">
        <f>IFERROR(ROUND(F727/E727,4),"")</f>
        <v/>
      </c>
      <c r="H727" s="14">
        <f>IF(D727=0,"NO DATA",IF(D727&gt;E727*1.5,"OVER",IF(D727&gt;E727*1.1,"HIGH",IF(D727&lt;E727*0.5,"LOW","OK"))))</f>
        <v/>
      </c>
    </row>
    <row r="728" ht="22" customHeight="1">
      <c r="B728" s="8" t="inlineStr">
        <is>
          <t>MTR-CTW-004</t>
        </is>
      </c>
      <c r="C728" s="8" t="inlineStr">
        <is>
          <t>2024-12-28</t>
        </is>
      </c>
      <c r="D728" s="12" t="n">
        <v>27.92</v>
      </c>
      <c r="E728" s="12" t="n">
        <v>38</v>
      </c>
      <c r="F728" s="12">
        <f>ROUND(D728-E728,2)</f>
        <v/>
      </c>
      <c r="G728" s="15">
        <f>IFERROR(ROUND(F728/E728,4),"")</f>
        <v/>
      </c>
      <c r="H728" s="16">
        <f>IF(D728=0,"NO DATA",IF(D728&gt;E728*1.5,"OVER",IF(D728&gt;E728*1.1,"HIGH",IF(D728&lt;E728*0.5,"LOW","OK"))))</f>
        <v/>
      </c>
    </row>
    <row r="729" ht="22" customHeight="1">
      <c r="B729" s="5" t="inlineStr">
        <is>
          <t>MTR-CTW-004</t>
        </is>
      </c>
      <c r="C729" s="5" t="inlineStr">
        <is>
          <t>2024-12-29</t>
        </is>
      </c>
      <c r="D729" s="11" t="n">
        <v>21.52</v>
      </c>
      <c r="E729" s="11" t="n">
        <v>38</v>
      </c>
      <c r="F729" s="11">
        <f>ROUND(D729-E729,2)</f>
        <v/>
      </c>
      <c r="G729" s="13">
        <f>IFERROR(ROUND(F729/E729,4),"")</f>
        <v/>
      </c>
      <c r="H729" s="14">
        <f>IF(D729=0,"NO DATA",IF(D729&gt;E729*1.5,"OVER",IF(D729&gt;E729*1.1,"HIGH",IF(D729&lt;E729*0.5,"LOW","OK"))))</f>
        <v/>
      </c>
    </row>
    <row r="730" ht="22" customHeight="1">
      <c r="B730" s="8" t="inlineStr">
        <is>
          <t>MTR-CTW-004</t>
        </is>
      </c>
      <c r="C730" s="8" t="inlineStr">
        <is>
          <t>2024-12-30</t>
        </is>
      </c>
      <c r="D730" s="12" t="n">
        <v>35.03</v>
      </c>
      <c r="E730" s="12" t="n">
        <v>38</v>
      </c>
      <c r="F730" s="12">
        <f>ROUND(D730-E730,2)</f>
        <v/>
      </c>
      <c r="G730" s="15">
        <f>IFERROR(ROUND(F730/E730,4),"")</f>
        <v/>
      </c>
      <c r="H730" s="16">
        <f>IF(D730=0,"NO DATA",IF(D730&gt;E730*1.5,"OVER",IF(D730&gt;E730*1.1,"HIGH",IF(D730&lt;E730*0.5,"LOW","OK"))))</f>
        <v/>
      </c>
    </row>
    <row r="731" ht="22" customHeight="1">
      <c r="B731" s="5" t="inlineStr">
        <is>
          <t>MTR-CTW-004</t>
        </is>
      </c>
      <c r="C731" s="5" t="inlineStr">
        <is>
          <t>2024-12-31</t>
        </is>
      </c>
      <c r="D731" s="11" t="n">
        <v>34.41</v>
      </c>
      <c r="E731" s="11" t="n">
        <v>38</v>
      </c>
      <c r="F731" s="11">
        <f>ROUND(D731-E731,2)</f>
        <v/>
      </c>
      <c r="G731" s="13">
        <f>IFERROR(ROUND(F731/E731,4),"")</f>
        <v/>
      </c>
      <c r="H731" s="14">
        <f>IF(D731=0,"NO DATA",IF(D731&gt;E731*1.5,"OVER",IF(D731&gt;E731*1.1,"HIGH",IF(D731&lt;E731*0.5,"LOW","OK"))))</f>
        <v/>
      </c>
    </row>
    <row r="732" ht="22" customHeight="1">
      <c r="B732" s="8" t="inlineStr">
        <is>
          <t>MTR-DOM-006</t>
        </is>
      </c>
      <c r="C732" s="8" t="inlineStr">
        <is>
          <t>2024-01-02</t>
        </is>
      </c>
      <c r="D732" s="12" t="n">
        <v>9.31</v>
      </c>
      <c r="E732" s="12" t="n">
        <v>10</v>
      </c>
      <c r="F732" s="12">
        <f>ROUND(D732-E732,2)</f>
        <v/>
      </c>
      <c r="G732" s="15">
        <f>IFERROR(ROUND(F732/E732,4),"")</f>
        <v/>
      </c>
      <c r="H732" s="16">
        <f>IF(D732=0,"NO DATA",IF(D732&gt;E732*1.5,"OVER",IF(D732&gt;E732*1.1,"HIGH",IF(D732&lt;E732*0.5,"LOW","OK"))))</f>
        <v/>
      </c>
    </row>
    <row r="733" ht="22" customHeight="1">
      <c r="B733" s="5" t="inlineStr">
        <is>
          <t>MTR-DOM-006</t>
        </is>
      </c>
      <c r="C733" s="5" t="inlineStr">
        <is>
          <t>2024-01-03</t>
        </is>
      </c>
      <c r="D733" s="11" t="n">
        <v>8.32</v>
      </c>
      <c r="E733" s="11" t="n">
        <v>10</v>
      </c>
      <c r="F733" s="11">
        <f>ROUND(D733-E733,2)</f>
        <v/>
      </c>
      <c r="G733" s="13">
        <f>IFERROR(ROUND(F733/E733,4),"")</f>
        <v/>
      </c>
      <c r="H733" s="14">
        <f>IF(D733=0,"NO DATA",IF(D733&gt;E733*1.5,"OVER",IF(D733&gt;E733*1.1,"HIGH",IF(D733&lt;E733*0.5,"LOW","OK"))))</f>
        <v/>
      </c>
    </row>
    <row r="734" ht="22" customHeight="1">
      <c r="B734" s="8" t="inlineStr">
        <is>
          <t>MTR-DOM-006</t>
        </is>
      </c>
      <c r="C734" s="8" t="inlineStr">
        <is>
          <t>2024-01-04</t>
        </is>
      </c>
      <c r="D734" s="12" t="n">
        <v>10.38</v>
      </c>
      <c r="E734" s="12" t="n">
        <v>10</v>
      </c>
      <c r="F734" s="12">
        <f>ROUND(D734-E734,2)</f>
        <v/>
      </c>
      <c r="G734" s="15">
        <f>IFERROR(ROUND(F734/E734,4),"")</f>
        <v/>
      </c>
      <c r="H734" s="16">
        <f>IF(D734=0,"NO DATA",IF(D734&gt;E734*1.5,"OVER",IF(D734&gt;E734*1.1,"HIGH",IF(D734&lt;E734*0.5,"LOW","OK"))))</f>
        <v/>
      </c>
    </row>
    <row r="735" ht="22" customHeight="1">
      <c r="B735" s="5" t="inlineStr">
        <is>
          <t>MTR-DOM-006</t>
        </is>
      </c>
      <c r="C735" s="5" t="inlineStr">
        <is>
          <t>2024-01-05</t>
        </is>
      </c>
      <c r="D735" s="11" t="n">
        <v>10.49</v>
      </c>
      <c r="E735" s="11" t="n">
        <v>10</v>
      </c>
      <c r="F735" s="11">
        <f>ROUND(D735-E735,2)</f>
        <v/>
      </c>
      <c r="G735" s="13">
        <f>IFERROR(ROUND(F735/E735,4),"")</f>
        <v/>
      </c>
      <c r="H735" s="14">
        <f>IF(D735=0,"NO DATA",IF(D735&gt;E735*1.5,"OVER",IF(D735&gt;E735*1.1,"HIGH",IF(D735&lt;E735*0.5,"LOW","OK"))))</f>
        <v/>
      </c>
    </row>
    <row r="736" ht="22" customHeight="1">
      <c r="B736" s="8" t="inlineStr">
        <is>
          <t>MTR-DOM-006</t>
        </is>
      </c>
      <c r="C736" s="8" t="inlineStr">
        <is>
          <t>2024-01-06</t>
        </is>
      </c>
      <c r="D736" s="12" t="n">
        <v>6.67</v>
      </c>
      <c r="E736" s="12" t="n">
        <v>10</v>
      </c>
      <c r="F736" s="12">
        <f>ROUND(D736-E736,2)</f>
        <v/>
      </c>
      <c r="G736" s="15">
        <f>IFERROR(ROUND(F736/E736,4),"")</f>
        <v/>
      </c>
      <c r="H736" s="16">
        <f>IF(D736=0,"NO DATA",IF(D736&gt;E736*1.5,"OVER",IF(D736&gt;E736*1.1,"HIGH",IF(D736&lt;E736*0.5,"LOW","OK"))))</f>
        <v/>
      </c>
    </row>
    <row r="737" ht="22" customHeight="1">
      <c r="B737" s="5" t="inlineStr">
        <is>
          <t>MTR-DOM-006</t>
        </is>
      </c>
      <c r="C737" s="5" t="inlineStr">
        <is>
          <t>2024-01-07</t>
        </is>
      </c>
      <c r="D737" s="11" t="n">
        <v>4.55</v>
      </c>
      <c r="E737" s="11" t="n">
        <v>10</v>
      </c>
      <c r="F737" s="11">
        <f>ROUND(D737-E737,2)</f>
        <v/>
      </c>
      <c r="G737" s="13">
        <f>IFERROR(ROUND(F737/E737,4),"")</f>
        <v/>
      </c>
      <c r="H737" s="14">
        <f>IF(D737=0,"NO DATA",IF(D737&gt;E737*1.5,"OVER",IF(D737&gt;E737*1.1,"HIGH",IF(D737&lt;E737*0.5,"LOW","OK"))))</f>
        <v/>
      </c>
    </row>
    <row r="738" ht="22" customHeight="1">
      <c r="B738" s="8" t="inlineStr">
        <is>
          <t>MTR-DOM-006</t>
        </is>
      </c>
      <c r="C738" s="8" t="inlineStr">
        <is>
          <t>2024-01-08</t>
        </is>
      </c>
      <c r="D738" s="12" t="n">
        <v>9.15</v>
      </c>
      <c r="E738" s="12" t="n">
        <v>10</v>
      </c>
      <c r="F738" s="12">
        <f>ROUND(D738-E738,2)</f>
        <v/>
      </c>
      <c r="G738" s="15">
        <f>IFERROR(ROUND(F738/E738,4),"")</f>
        <v/>
      </c>
      <c r="H738" s="16">
        <f>IF(D738=0,"NO DATA",IF(D738&gt;E738*1.5,"OVER",IF(D738&gt;E738*1.1,"HIGH",IF(D738&lt;E738*0.5,"LOW","OK"))))</f>
        <v/>
      </c>
    </row>
    <row r="739" ht="22" customHeight="1">
      <c r="B739" s="5" t="inlineStr">
        <is>
          <t>MTR-DOM-006</t>
        </is>
      </c>
      <c r="C739" s="5" t="inlineStr">
        <is>
          <t>2024-01-09</t>
        </is>
      </c>
      <c r="D739" s="11" t="n">
        <v>9.06</v>
      </c>
      <c r="E739" s="11" t="n">
        <v>10</v>
      </c>
      <c r="F739" s="11">
        <f>ROUND(D739-E739,2)</f>
        <v/>
      </c>
      <c r="G739" s="13">
        <f>IFERROR(ROUND(F739/E739,4),"")</f>
        <v/>
      </c>
      <c r="H739" s="14">
        <f>IF(D739=0,"NO DATA",IF(D739&gt;E739*1.5,"OVER",IF(D739&gt;E739*1.1,"HIGH",IF(D739&lt;E739*0.5,"LOW","OK"))))</f>
        <v/>
      </c>
    </row>
    <row r="740" ht="22" customHeight="1">
      <c r="B740" s="8" t="inlineStr">
        <is>
          <t>MTR-DOM-006</t>
        </is>
      </c>
      <c r="C740" s="8" t="inlineStr">
        <is>
          <t>2024-01-10</t>
        </is>
      </c>
      <c r="D740" s="12" t="n">
        <v>9.109999999999999</v>
      </c>
      <c r="E740" s="12" t="n">
        <v>10</v>
      </c>
      <c r="F740" s="12">
        <f>ROUND(D740-E740,2)</f>
        <v/>
      </c>
      <c r="G740" s="15">
        <f>IFERROR(ROUND(F740/E740,4),"")</f>
        <v/>
      </c>
      <c r="H740" s="16">
        <f>IF(D740=0,"NO DATA",IF(D740&gt;E740*1.5,"OVER",IF(D740&gt;E740*1.1,"HIGH",IF(D740&lt;E740*0.5,"LOW","OK"))))</f>
        <v/>
      </c>
    </row>
    <row r="741" ht="22" customHeight="1">
      <c r="B741" s="5" t="inlineStr">
        <is>
          <t>MTR-DOM-006</t>
        </is>
      </c>
      <c r="C741" s="5" t="inlineStr">
        <is>
          <t>2024-01-11</t>
        </is>
      </c>
      <c r="D741" s="11" t="n">
        <v>9</v>
      </c>
      <c r="E741" s="11" t="n">
        <v>10</v>
      </c>
      <c r="F741" s="11">
        <f>ROUND(D741-E741,2)</f>
        <v/>
      </c>
      <c r="G741" s="13">
        <f>IFERROR(ROUND(F741/E741,4),"")</f>
        <v/>
      </c>
      <c r="H741" s="14">
        <f>IF(D741=0,"NO DATA",IF(D741&gt;E741*1.5,"OVER",IF(D741&gt;E741*1.1,"HIGH",IF(D741&lt;E741*0.5,"LOW","OK"))))</f>
        <v/>
      </c>
    </row>
    <row r="742" ht="22" customHeight="1">
      <c r="B742" s="8" t="inlineStr">
        <is>
          <t>MTR-DOM-006</t>
        </is>
      </c>
      <c r="C742" s="8" t="inlineStr">
        <is>
          <t>2024-01-12</t>
        </is>
      </c>
      <c r="D742" s="12" t="n">
        <v>10.5</v>
      </c>
      <c r="E742" s="12" t="n">
        <v>10</v>
      </c>
      <c r="F742" s="12">
        <f>ROUND(D742-E742,2)</f>
        <v/>
      </c>
      <c r="G742" s="15">
        <f>IFERROR(ROUND(F742/E742,4),"")</f>
        <v/>
      </c>
      <c r="H742" s="16">
        <f>IF(D742=0,"NO DATA",IF(D742&gt;E742*1.5,"OVER",IF(D742&gt;E742*1.1,"HIGH",IF(D742&lt;E742*0.5,"LOW","OK"))))</f>
        <v/>
      </c>
    </row>
    <row r="743" ht="22" customHeight="1">
      <c r="B743" s="5" t="inlineStr">
        <is>
          <t>MTR-DOM-006</t>
        </is>
      </c>
      <c r="C743" s="5" t="inlineStr">
        <is>
          <t>2024-01-13</t>
        </is>
      </c>
      <c r="D743" s="11" t="n">
        <v>7.25</v>
      </c>
      <c r="E743" s="11" t="n">
        <v>10</v>
      </c>
      <c r="F743" s="11">
        <f>ROUND(D743-E743,2)</f>
        <v/>
      </c>
      <c r="G743" s="13">
        <f>IFERROR(ROUND(F743/E743,4),"")</f>
        <v/>
      </c>
      <c r="H743" s="14">
        <f>IF(D743=0,"NO DATA",IF(D743&gt;E743*1.5,"OVER",IF(D743&gt;E743*1.1,"HIGH",IF(D743&lt;E743*0.5,"LOW","OK"))))</f>
        <v/>
      </c>
    </row>
    <row r="744" ht="22" customHeight="1">
      <c r="B744" s="8" t="inlineStr">
        <is>
          <t>MTR-DOM-006</t>
        </is>
      </c>
      <c r="C744" s="8" t="inlineStr">
        <is>
          <t>2024-01-14</t>
        </is>
      </c>
      <c r="D744" s="12" t="n">
        <v>5.42</v>
      </c>
      <c r="E744" s="12" t="n">
        <v>10</v>
      </c>
      <c r="F744" s="12">
        <f>ROUND(D744-E744,2)</f>
        <v/>
      </c>
      <c r="G744" s="15">
        <f>IFERROR(ROUND(F744/E744,4),"")</f>
        <v/>
      </c>
      <c r="H744" s="16">
        <f>IF(D744=0,"NO DATA",IF(D744&gt;E744*1.5,"OVER",IF(D744&gt;E744*1.1,"HIGH",IF(D744&lt;E744*0.5,"LOW","OK"))))</f>
        <v/>
      </c>
    </row>
    <row r="745" ht="22" customHeight="1">
      <c r="B745" s="5" t="inlineStr">
        <is>
          <t>MTR-DOM-006</t>
        </is>
      </c>
      <c r="C745" s="5" t="inlineStr">
        <is>
          <t>2024-01-15</t>
        </is>
      </c>
      <c r="D745" s="11" t="n">
        <v>10.17</v>
      </c>
      <c r="E745" s="11" t="n">
        <v>10</v>
      </c>
      <c r="F745" s="11">
        <f>ROUND(D745-E745,2)</f>
        <v/>
      </c>
      <c r="G745" s="13">
        <f>IFERROR(ROUND(F745/E745,4),"")</f>
        <v/>
      </c>
      <c r="H745" s="14">
        <f>IF(D745=0,"NO DATA",IF(D745&gt;E745*1.5,"OVER",IF(D745&gt;E745*1.1,"HIGH",IF(D745&lt;E745*0.5,"LOW","OK"))))</f>
        <v/>
      </c>
    </row>
    <row r="746" ht="22" customHeight="1">
      <c r="B746" s="8" t="inlineStr">
        <is>
          <t>MTR-DOM-006</t>
        </is>
      </c>
      <c r="C746" s="8" t="inlineStr">
        <is>
          <t>2024-01-16</t>
        </is>
      </c>
      <c r="D746" s="12" t="n">
        <v>8.210000000000001</v>
      </c>
      <c r="E746" s="12" t="n">
        <v>10</v>
      </c>
      <c r="F746" s="12">
        <f>ROUND(D746-E746,2)</f>
        <v/>
      </c>
      <c r="G746" s="15">
        <f>IFERROR(ROUND(F746/E746,4),"")</f>
        <v/>
      </c>
      <c r="H746" s="16">
        <f>IF(D746=0,"NO DATA",IF(D746&gt;E746*1.5,"OVER",IF(D746&gt;E746*1.1,"HIGH",IF(D746&lt;E746*0.5,"LOW","OK"))))</f>
        <v/>
      </c>
    </row>
    <row r="747" ht="22" customHeight="1">
      <c r="B747" s="5" t="inlineStr">
        <is>
          <t>MTR-DOM-006</t>
        </is>
      </c>
      <c r="C747" s="5" t="inlineStr">
        <is>
          <t>2024-01-17</t>
        </is>
      </c>
      <c r="D747" s="11" t="n">
        <v>8.23</v>
      </c>
      <c r="E747" s="11" t="n">
        <v>10</v>
      </c>
      <c r="F747" s="11">
        <f>ROUND(D747-E747,2)</f>
        <v/>
      </c>
      <c r="G747" s="13">
        <f>IFERROR(ROUND(F747/E747,4),"")</f>
        <v/>
      </c>
      <c r="H747" s="14">
        <f>IF(D747=0,"NO DATA",IF(D747&gt;E747*1.5,"OVER",IF(D747&gt;E747*1.1,"HIGH",IF(D747&lt;E747*0.5,"LOW","OK"))))</f>
        <v/>
      </c>
    </row>
    <row r="748" ht="22" customHeight="1">
      <c r="B748" s="8" t="inlineStr">
        <is>
          <t>MTR-DOM-006</t>
        </is>
      </c>
      <c r="C748" s="8" t="inlineStr">
        <is>
          <t>2024-01-18</t>
        </is>
      </c>
      <c r="D748" s="12" t="n">
        <v>8.57</v>
      </c>
      <c r="E748" s="12" t="n">
        <v>10</v>
      </c>
      <c r="F748" s="12">
        <f>ROUND(D748-E748,2)</f>
        <v/>
      </c>
      <c r="G748" s="15">
        <f>IFERROR(ROUND(F748/E748,4),"")</f>
        <v/>
      </c>
      <c r="H748" s="16">
        <f>IF(D748=0,"NO DATA",IF(D748&gt;E748*1.5,"OVER",IF(D748&gt;E748*1.1,"HIGH",IF(D748&lt;E748*0.5,"LOW","OK"))))</f>
        <v/>
      </c>
    </row>
    <row r="749" ht="22" customHeight="1">
      <c r="B749" s="5" t="inlineStr">
        <is>
          <t>MTR-DOM-006</t>
        </is>
      </c>
      <c r="C749" s="5" t="inlineStr">
        <is>
          <t>2024-01-19</t>
        </is>
      </c>
      <c r="D749" s="11" t="n">
        <v>10.1</v>
      </c>
      <c r="E749" s="11" t="n">
        <v>10</v>
      </c>
      <c r="F749" s="11">
        <f>ROUND(D749-E749,2)</f>
        <v/>
      </c>
      <c r="G749" s="13">
        <f>IFERROR(ROUND(F749/E749,4),"")</f>
        <v/>
      </c>
      <c r="H749" s="14">
        <f>IF(D749=0,"NO DATA",IF(D749&gt;E749*1.5,"OVER",IF(D749&gt;E749*1.1,"HIGH",IF(D749&lt;E749*0.5,"LOW","OK"))))</f>
        <v/>
      </c>
    </row>
    <row r="750" ht="22" customHeight="1">
      <c r="B750" s="8" t="inlineStr">
        <is>
          <t>MTR-DOM-006</t>
        </is>
      </c>
      <c r="C750" s="8" t="inlineStr">
        <is>
          <t>2024-01-20</t>
        </is>
      </c>
      <c r="D750" s="12" t="n">
        <v>6.73</v>
      </c>
      <c r="E750" s="12" t="n">
        <v>10</v>
      </c>
      <c r="F750" s="12">
        <f>ROUND(D750-E750,2)</f>
        <v/>
      </c>
      <c r="G750" s="15">
        <f>IFERROR(ROUND(F750/E750,4),"")</f>
        <v/>
      </c>
      <c r="H750" s="16">
        <f>IF(D750=0,"NO DATA",IF(D750&gt;E750*1.5,"OVER",IF(D750&gt;E750*1.1,"HIGH",IF(D750&lt;E750*0.5,"LOW","OK"))))</f>
        <v/>
      </c>
    </row>
    <row r="751" ht="22" customHeight="1">
      <c r="B751" s="5" t="inlineStr">
        <is>
          <t>MTR-DOM-006</t>
        </is>
      </c>
      <c r="C751" s="5" t="inlineStr">
        <is>
          <t>2024-01-21</t>
        </is>
      </c>
      <c r="D751" s="11" t="n">
        <v>4.77</v>
      </c>
      <c r="E751" s="11" t="n">
        <v>10</v>
      </c>
      <c r="F751" s="11">
        <f>ROUND(D751-E751,2)</f>
        <v/>
      </c>
      <c r="G751" s="13">
        <f>IFERROR(ROUND(F751/E751,4),"")</f>
        <v/>
      </c>
      <c r="H751" s="14">
        <f>IF(D751=0,"NO DATA",IF(D751&gt;E751*1.5,"OVER",IF(D751&gt;E751*1.1,"HIGH",IF(D751&lt;E751*0.5,"LOW","OK"))))</f>
        <v/>
      </c>
    </row>
    <row r="752" ht="22" customHeight="1">
      <c r="B752" s="8" t="inlineStr">
        <is>
          <t>MTR-DOM-006</t>
        </is>
      </c>
      <c r="C752" s="8" t="inlineStr">
        <is>
          <t>2024-01-22</t>
        </is>
      </c>
      <c r="D752" s="12" t="n">
        <v>8.65</v>
      </c>
      <c r="E752" s="12" t="n">
        <v>10</v>
      </c>
      <c r="F752" s="12">
        <f>ROUND(D752-E752,2)</f>
        <v/>
      </c>
      <c r="G752" s="15">
        <f>IFERROR(ROUND(F752/E752,4),"")</f>
        <v/>
      </c>
      <c r="H752" s="16">
        <f>IF(D752=0,"NO DATA",IF(D752&gt;E752*1.5,"OVER",IF(D752&gt;E752*1.1,"HIGH",IF(D752&lt;E752*0.5,"LOW","OK"))))</f>
        <v/>
      </c>
    </row>
    <row r="753" ht="22" customHeight="1">
      <c r="B753" s="5" t="inlineStr">
        <is>
          <t>MTR-DOM-006</t>
        </is>
      </c>
      <c r="C753" s="5" t="inlineStr">
        <is>
          <t>2024-01-23</t>
        </is>
      </c>
      <c r="D753" s="11" t="n">
        <v>8.26</v>
      </c>
      <c r="E753" s="11" t="n">
        <v>10</v>
      </c>
      <c r="F753" s="11">
        <f>ROUND(D753-E753,2)</f>
        <v/>
      </c>
      <c r="G753" s="13">
        <f>IFERROR(ROUND(F753/E753,4),"")</f>
        <v/>
      </c>
      <c r="H753" s="14">
        <f>IF(D753=0,"NO DATA",IF(D753&gt;E753*1.5,"OVER",IF(D753&gt;E753*1.1,"HIGH",IF(D753&lt;E753*0.5,"LOW","OK"))))</f>
        <v/>
      </c>
    </row>
    <row r="754" ht="22" customHeight="1">
      <c r="B754" s="8" t="inlineStr">
        <is>
          <t>MTR-DOM-006</t>
        </is>
      </c>
      <c r="C754" s="8" t="inlineStr">
        <is>
          <t>2024-01-24</t>
        </is>
      </c>
      <c r="D754" s="12" t="n">
        <v>9.220000000000001</v>
      </c>
      <c r="E754" s="12" t="n">
        <v>10</v>
      </c>
      <c r="F754" s="12">
        <f>ROUND(D754-E754,2)</f>
        <v/>
      </c>
      <c r="G754" s="15">
        <f>IFERROR(ROUND(F754/E754,4),"")</f>
        <v/>
      </c>
      <c r="H754" s="16">
        <f>IF(D754=0,"NO DATA",IF(D754&gt;E754*1.5,"OVER",IF(D754&gt;E754*1.1,"HIGH",IF(D754&lt;E754*0.5,"LOW","OK"))))</f>
        <v/>
      </c>
    </row>
    <row r="755" ht="22" customHeight="1">
      <c r="B755" s="5" t="inlineStr">
        <is>
          <t>MTR-DOM-006</t>
        </is>
      </c>
      <c r="C755" s="5" t="inlineStr">
        <is>
          <t>2024-01-25</t>
        </is>
      </c>
      <c r="D755" s="11" t="n">
        <v>8.880000000000001</v>
      </c>
      <c r="E755" s="11" t="n">
        <v>10</v>
      </c>
      <c r="F755" s="11">
        <f>ROUND(D755-E755,2)</f>
        <v/>
      </c>
      <c r="G755" s="13">
        <f>IFERROR(ROUND(F755/E755,4),"")</f>
        <v/>
      </c>
      <c r="H755" s="14">
        <f>IF(D755=0,"NO DATA",IF(D755&gt;E755*1.5,"OVER",IF(D755&gt;E755*1.1,"HIGH",IF(D755&lt;E755*0.5,"LOW","OK"))))</f>
        <v/>
      </c>
    </row>
    <row r="756" ht="22" customHeight="1">
      <c r="B756" s="8" t="inlineStr">
        <is>
          <t>MTR-DOM-006</t>
        </is>
      </c>
      <c r="C756" s="8" t="inlineStr">
        <is>
          <t>2024-01-26</t>
        </is>
      </c>
      <c r="D756" s="12" t="n">
        <v>10.68</v>
      </c>
      <c r="E756" s="12" t="n">
        <v>10</v>
      </c>
      <c r="F756" s="12">
        <f>ROUND(D756-E756,2)</f>
        <v/>
      </c>
      <c r="G756" s="15">
        <f>IFERROR(ROUND(F756/E756,4),"")</f>
        <v/>
      </c>
      <c r="H756" s="16">
        <f>IF(D756=0,"NO DATA",IF(D756&gt;E756*1.5,"OVER",IF(D756&gt;E756*1.1,"HIGH",IF(D756&lt;E756*0.5,"LOW","OK"))))</f>
        <v/>
      </c>
    </row>
    <row r="757" ht="22" customHeight="1">
      <c r="B757" s="5" t="inlineStr">
        <is>
          <t>MTR-DOM-006</t>
        </is>
      </c>
      <c r="C757" s="5" t="inlineStr">
        <is>
          <t>2024-01-27</t>
        </is>
      </c>
      <c r="D757" s="11" t="n">
        <v>8.380000000000001</v>
      </c>
      <c r="E757" s="11" t="n">
        <v>10</v>
      </c>
      <c r="F757" s="11">
        <f>ROUND(D757-E757,2)</f>
        <v/>
      </c>
      <c r="G757" s="13">
        <f>IFERROR(ROUND(F757/E757,4),"")</f>
        <v/>
      </c>
      <c r="H757" s="14">
        <f>IF(D757=0,"NO DATA",IF(D757&gt;E757*1.5,"OVER",IF(D757&gt;E757*1.1,"HIGH",IF(D757&lt;E757*0.5,"LOW","OK"))))</f>
        <v/>
      </c>
    </row>
    <row r="758" ht="22" customHeight="1">
      <c r="B758" s="8" t="inlineStr">
        <is>
          <t>MTR-DOM-006</t>
        </is>
      </c>
      <c r="C758" s="8" t="inlineStr">
        <is>
          <t>2024-01-28</t>
        </is>
      </c>
      <c r="D758" s="12" t="n">
        <v>4.52</v>
      </c>
      <c r="E758" s="12" t="n">
        <v>10</v>
      </c>
      <c r="F758" s="12">
        <f>ROUND(D758-E758,2)</f>
        <v/>
      </c>
      <c r="G758" s="15">
        <f>IFERROR(ROUND(F758/E758,4),"")</f>
        <v/>
      </c>
      <c r="H758" s="16">
        <f>IF(D758=0,"NO DATA",IF(D758&gt;E758*1.5,"OVER",IF(D758&gt;E758*1.1,"HIGH",IF(D758&lt;E758*0.5,"LOW","OK"))))</f>
        <v/>
      </c>
    </row>
    <row r="759" ht="22" customHeight="1">
      <c r="B759" s="5" t="inlineStr">
        <is>
          <t>MTR-DOM-006</t>
        </is>
      </c>
      <c r="C759" s="5" t="inlineStr">
        <is>
          <t>2024-01-29</t>
        </is>
      </c>
      <c r="D759" s="11" t="n">
        <v>8.039999999999999</v>
      </c>
      <c r="E759" s="11" t="n">
        <v>10</v>
      </c>
      <c r="F759" s="11">
        <f>ROUND(D759-E759,2)</f>
        <v/>
      </c>
      <c r="G759" s="13">
        <f>IFERROR(ROUND(F759/E759,4),"")</f>
        <v/>
      </c>
      <c r="H759" s="14">
        <f>IF(D759=0,"NO DATA",IF(D759&gt;E759*1.5,"OVER",IF(D759&gt;E759*1.1,"HIGH",IF(D759&lt;E759*0.5,"LOW","OK"))))</f>
        <v/>
      </c>
    </row>
    <row r="760" ht="22" customHeight="1">
      <c r="B760" s="8" t="inlineStr">
        <is>
          <t>MTR-DOM-006</t>
        </is>
      </c>
      <c r="C760" s="8" t="inlineStr">
        <is>
          <t>2024-01-30</t>
        </is>
      </c>
      <c r="D760" s="12" t="n">
        <v>10.6</v>
      </c>
      <c r="E760" s="12" t="n">
        <v>10</v>
      </c>
      <c r="F760" s="12">
        <f>ROUND(D760-E760,2)</f>
        <v/>
      </c>
      <c r="G760" s="15">
        <f>IFERROR(ROUND(F760/E760,4),"")</f>
        <v/>
      </c>
      <c r="H760" s="16">
        <f>IF(D760=0,"NO DATA",IF(D760&gt;E760*1.5,"OVER",IF(D760&gt;E760*1.1,"HIGH",IF(D760&lt;E760*0.5,"LOW","OK"))))</f>
        <v/>
      </c>
    </row>
    <row r="761" ht="22" customHeight="1">
      <c r="B761" s="5" t="inlineStr">
        <is>
          <t>MTR-DOM-006</t>
        </is>
      </c>
      <c r="C761" s="5" t="inlineStr">
        <is>
          <t>2024-01-31</t>
        </is>
      </c>
      <c r="D761" s="11" t="n">
        <v>9.970000000000001</v>
      </c>
      <c r="E761" s="11" t="n">
        <v>10</v>
      </c>
      <c r="F761" s="11">
        <f>ROUND(D761-E761,2)</f>
        <v/>
      </c>
      <c r="G761" s="13">
        <f>IFERROR(ROUND(F761/E761,4),"")</f>
        <v/>
      </c>
      <c r="H761" s="14">
        <f>IF(D761=0,"NO DATA",IF(D761&gt;E761*1.5,"OVER",IF(D761&gt;E761*1.1,"HIGH",IF(D761&lt;E761*0.5,"LOW","OK"))))</f>
        <v/>
      </c>
    </row>
    <row r="762" ht="22" customHeight="1">
      <c r="B762" s="8" t="inlineStr">
        <is>
          <t>MTR-DOM-006</t>
        </is>
      </c>
      <c r="C762" s="8" t="inlineStr">
        <is>
          <t>2024-02-01</t>
        </is>
      </c>
      <c r="D762" s="12" t="n">
        <v>10.85</v>
      </c>
      <c r="E762" s="12" t="n">
        <v>10</v>
      </c>
      <c r="F762" s="12">
        <f>ROUND(D762-E762,2)</f>
        <v/>
      </c>
      <c r="G762" s="15">
        <f>IFERROR(ROUND(F762/E762,4),"")</f>
        <v/>
      </c>
      <c r="H762" s="16">
        <f>IF(D762=0,"NO DATA",IF(D762&gt;E762*1.5,"OVER",IF(D762&gt;E762*1.1,"HIGH",IF(D762&lt;E762*0.5,"LOW","OK"))))</f>
        <v/>
      </c>
    </row>
    <row r="763" ht="22" customHeight="1">
      <c r="B763" s="5" t="inlineStr">
        <is>
          <t>MTR-DOM-006</t>
        </is>
      </c>
      <c r="C763" s="5" t="inlineStr">
        <is>
          <t>2024-02-02</t>
        </is>
      </c>
      <c r="D763" s="11" t="n">
        <v>8.59</v>
      </c>
      <c r="E763" s="11" t="n">
        <v>10</v>
      </c>
      <c r="F763" s="11">
        <f>ROUND(D763-E763,2)</f>
        <v/>
      </c>
      <c r="G763" s="13">
        <f>IFERROR(ROUND(F763/E763,4),"")</f>
        <v/>
      </c>
      <c r="H763" s="14">
        <f>IF(D763=0,"NO DATA",IF(D763&gt;E763*1.5,"OVER",IF(D763&gt;E763*1.1,"HIGH",IF(D763&lt;E763*0.5,"LOW","OK"))))</f>
        <v/>
      </c>
    </row>
    <row r="764" ht="22" customHeight="1">
      <c r="B764" s="8" t="inlineStr">
        <is>
          <t>MTR-DOM-006</t>
        </is>
      </c>
      <c r="C764" s="8" t="inlineStr">
        <is>
          <t>2024-02-03</t>
        </is>
      </c>
      <c r="D764" s="12" t="n">
        <v>7.36</v>
      </c>
      <c r="E764" s="12" t="n">
        <v>10</v>
      </c>
      <c r="F764" s="12">
        <f>ROUND(D764-E764,2)</f>
        <v/>
      </c>
      <c r="G764" s="15">
        <f>IFERROR(ROUND(F764/E764,4),"")</f>
        <v/>
      </c>
      <c r="H764" s="16">
        <f>IF(D764=0,"NO DATA",IF(D764&gt;E764*1.5,"OVER",IF(D764&gt;E764*1.1,"HIGH",IF(D764&lt;E764*0.5,"LOW","OK"))))</f>
        <v/>
      </c>
    </row>
    <row r="765" ht="22" customHeight="1">
      <c r="B765" s="5" t="inlineStr">
        <is>
          <t>MTR-DOM-006</t>
        </is>
      </c>
      <c r="C765" s="5" t="inlineStr">
        <is>
          <t>2024-02-04</t>
        </is>
      </c>
      <c r="D765" s="11" t="n">
        <v>4.61</v>
      </c>
      <c r="E765" s="11" t="n">
        <v>10</v>
      </c>
      <c r="F765" s="11">
        <f>ROUND(D765-E765,2)</f>
        <v/>
      </c>
      <c r="G765" s="13">
        <f>IFERROR(ROUND(F765/E765,4),"")</f>
        <v/>
      </c>
      <c r="H765" s="14">
        <f>IF(D765=0,"NO DATA",IF(D765&gt;E765*1.5,"OVER",IF(D765&gt;E765*1.1,"HIGH",IF(D765&lt;E765*0.5,"LOW","OK"))))</f>
        <v/>
      </c>
    </row>
    <row r="766" ht="22" customHeight="1">
      <c r="B766" s="8" t="inlineStr">
        <is>
          <t>MTR-DOM-006</t>
        </is>
      </c>
      <c r="C766" s="8" t="inlineStr">
        <is>
          <t>2024-02-05</t>
        </is>
      </c>
      <c r="D766" s="12" t="n">
        <v>8.83</v>
      </c>
      <c r="E766" s="12" t="n">
        <v>10</v>
      </c>
      <c r="F766" s="12">
        <f>ROUND(D766-E766,2)</f>
        <v/>
      </c>
      <c r="G766" s="15">
        <f>IFERROR(ROUND(F766/E766,4),"")</f>
        <v/>
      </c>
      <c r="H766" s="16">
        <f>IF(D766=0,"NO DATA",IF(D766&gt;E766*1.5,"OVER",IF(D766&gt;E766*1.1,"HIGH",IF(D766&lt;E766*0.5,"LOW","OK"))))</f>
        <v/>
      </c>
    </row>
    <row r="767" ht="22" customHeight="1">
      <c r="B767" s="5" t="inlineStr">
        <is>
          <t>MTR-DOM-006</t>
        </is>
      </c>
      <c r="C767" s="5" t="inlineStr">
        <is>
          <t>2024-02-06</t>
        </is>
      </c>
      <c r="D767" s="11" t="n">
        <v>11.04</v>
      </c>
      <c r="E767" s="11" t="n">
        <v>10</v>
      </c>
      <c r="F767" s="11">
        <f>ROUND(D767-E767,2)</f>
        <v/>
      </c>
      <c r="G767" s="13">
        <f>IFERROR(ROUND(F767/E767,4),"")</f>
        <v/>
      </c>
      <c r="H767" s="14">
        <f>IF(D767=0,"NO DATA",IF(D767&gt;E767*1.5,"OVER",IF(D767&gt;E767*1.1,"HIGH",IF(D767&lt;E767*0.5,"LOW","OK"))))</f>
        <v/>
      </c>
    </row>
    <row r="768" ht="22" customHeight="1">
      <c r="B768" s="8" t="inlineStr">
        <is>
          <t>MTR-DOM-006</t>
        </is>
      </c>
      <c r="C768" s="8" t="inlineStr">
        <is>
          <t>2024-02-07</t>
        </is>
      </c>
      <c r="D768" s="12" t="n">
        <v>9.140000000000001</v>
      </c>
      <c r="E768" s="12" t="n">
        <v>10</v>
      </c>
      <c r="F768" s="12">
        <f>ROUND(D768-E768,2)</f>
        <v/>
      </c>
      <c r="G768" s="15">
        <f>IFERROR(ROUND(F768/E768,4),"")</f>
        <v/>
      </c>
      <c r="H768" s="16">
        <f>IF(D768=0,"NO DATA",IF(D768&gt;E768*1.5,"OVER",IF(D768&gt;E768*1.1,"HIGH",IF(D768&lt;E768*0.5,"LOW","OK"))))</f>
        <v/>
      </c>
    </row>
    <row r="769" ht="22" customHeight="1">
      <c r="B769" s="5" t="inlineStr">
        <is>
          <t>MTR-DOM-006</t>
        </is>
      </c>
      <c r="C769" s="5" t="inlineStr">
        <is>
          <t>2024-02-08</t>
        </is>
      </c>
      <c r="D769" s="11" t="n">
        <v>9.16</v>
      </c>
      <c r="E769" s="11" t="n">
        <v>10</v>
      </c>
      <c r="F769" s="11">
        <f>ROUND(D769-E769,2)</f>
        <v/>
      </c>
      <c r="G769" s="13">
        <f>IFERROR(ROUND(F769/E769,4),"")</f>
        <v/>
      </c>
      <c r="H769" s="14">
        <f>IF(D769=0,"NO DATA",IF(D769&gt;E769*1.5,"OVER",IF(D769&gt;E769*1.1,"HIGH",IF(D769&lt;E769*0.5,"LOW","OK"))))</f>
        <v/>
      </c>
    </row>
    <row r="770" ht="22" customHeight="1">
      <c r="B770" s="8" t="inlineStr">
        <is>
          <t>MTR-DOM-006</t>
        </is>
      </c>
      <c r="C770" s="8" t="inlineStr">
        <is>
          <t>2024-02-09</t>
        </is>
      </c>
      <c r="D770" s="12" t="n">
        <v>8.77</v>
      </c>
      <c r="E770" s="12" t="n">
        <v>10</v>
      </c>
      <c r="F770" s="12">
        <f>ROUND(D770-E770,2)</f>
        <v/>
      </c>
      <c r="G770" s="15">
        <f>IFERROR(ROUND(F770/E770,4),"")</f>
        <v/>
      </c>
      <c r="H770" s="16">
        <f>IF(D770=0,"NO DATA",IF(D770&gt;E770*1.5,"OVER",IF(D770&gt;E770*1.1,"HIGH",IF(D770&lt;E770*0.5,"LOW","OK"))))</f>
        <v/>
      </c>
    </row>
    <row r="771" ht="22" customHeight="1">
      <c r="B771" s="5" t="inlineStr">
        <is>
          <t>MTR-DOM-006</t>
        </is>
      </c>
      <c r="C771" s="5" t="inlineStr">
        <is>
          <t>2024-02-10</t>
        </is>
      </c>
      <c r="D771" s="11" t="n">
        <v>6.76</v>
      </c>
      <c r="E771" s="11" t="n">
        <v>10</v>
      </c>
      <c r="F771" s="11">
        <f>ROUND(D771-E771,2)</f>
        <v/>
      </c>
      <c r="G771" s="13">
        <f>IFERROR(ROUND(F771/E771,4),"")</f>
        <v/>
      </c>
      <c r="H771" s="14">
        <f>IF(D771=0,"NO DATA",IF(D771&gt;E771*1.5,"OVER",IF(D771&gt;E771*1.1,"HIGH",IF(D771&lt;E771*0.5,"LOW","OK"))))</f>
        <v/>
      </c>
    </row>
    <row r="772" ht="22" customHeight="1">
      <c r="B772" s="8" t="inlineStr">
        <is>
          <t>MTR-DOM-006</t>
        </is>
      </c>
      <c r="C772" s="8" t="inlineStr">
        <is>
          <t>2024-02-11</t>
        </is>
      </c>
      <c r="D772" s="12" t="n">
        <v>4.95</v>
      </c>
      <c r="E772" s="12" t="n">
        <v>10</v>
      </c>
      <c r="F772" s="12">
        <f>ROUND(D772-E772,2)</f>
        <v/>
      </c>
      <c r="G772" s="15">
        <f>IFERROR(ROUND(F772/E772,4),"")</f>
        <v/>
      </c>
      <c r="H772" s="16">
        <f>IF(D772=0,"NO DATA",IF(D772&gt;E772*1.5,"OVER",IF(D772&gt;E772*1.1,"HIGH",IF(D772&lt;E772*0.5,"LOW","OK"))))</f>
        <v/>
      </c>
    </row>
    <row r="773" ht="22" customHeight="1">
      <c r="B773" s="5" t="inlineStr">
        <is>
          <t>MTR-DOM-006</t>
        </is>
      </c>
      <c r="C773" s="5" t="inlineStr">
        <is>
          <t>2024-02-12</t>
        </is>
      </c>
      <c r="D773" s="11" t="n">
        <v>9.9</v>
      </c>
      <c r="E773" s="11" t="n">
        <v>10</v>
      </c>
      <c r="F773" s="11">
        <f>ROUND(D773-E773,2)</f>
        <v/>
      </c>
      <c r="G773" s="13">
        <f>IFERROR(ROUND(F773/E773,4),"")</f>
        <v/>
      </c>
      <c r="H773" s="14">
        <f>IF(D773=0,"NO DATA",IF(D773&gt;E773*1.5,"OVER",IF(D773&gt;E773*1.1,"HIGH",IF(D773&lt;E773*0.5,"LOW","OK"))))</f>
        <v/>
      </c>
    </row>
    <row r="774" ht="22" customHeight="1">
      <c r="B774" s="8" t="inlineStr">
        <is>
          <t>MTR-DOM-006</t>
        </is>
      </c>
      <c r="C774" s="8" t="inlineStr">
        <is>
          <t>2024-02-13</t>
        </is>
      </c>
      <c r="D774" s="12" t="n">
        <v>10.7</v>
      </c>
      <c r="E774" s="12" t="n">
        <v>10</v>
      </c>
      <c r="F774" s="12">
        <f>ROUND(D774-E774,2)</f>
        <v/>
      </c>
      <c r="G774" s="15">
        <f>IFERROR(ROUND(F774/E774,4),"")</f>
        <v/>
      </c>
      <c r="H774" s="16">
        <f>IF(D774=0,"NO DATA",IF(D774&gt;E774*1.5,"OVER",IF(D774&gt;E774*1.1,"HIGH",IF(D774&lt;E774*0.5,"LOW","OK"))))</f>
        <v/>
      </c>
    </row>
    <row r="775" ht="22" customHeight="1">
      <c r="B775" s="5" t="inlineStr">
        <is>
          <t>MTR-DOM-006</t>
        </is>
      </c>
      <c r="C775" s="5" t="inlineStr">
        <is>
          <t>2024-02-14</t>
        </is>
      </c>
      <c r="D775" s="11" t="n">
        <v>9.69</v>
      </c>
      <c r="E775" s="11" t="n">
        <v>10</v>
      </c>
      <c r="F775" s="11">
        <f>ROUND(D775-E775,2)</f>
        <v/>
      </c>
      <c r="G775" s="13">
        <f>IFERROR(ROUND(F775/E775,4),"")</f>
        <v/>
      </c>
      <c r="H775" s="14">
        <f>IF(D775=0,"NO DATA",IF(D775&gt;E775*1.5,"OVER",IF(D775&gt;E775*1.1,"HIGH",IF(D775&lt;E775*0.5,"LOW","OK"))))</f>
        <v/>
      </c>
    </row>
    <row r="776" ht="22" customHeight="1">
      <c r="B776" s="8" t="inlineStr">
        <is>
          <t>MTR-DOM-006</t>
        </is>
      </c>
      <c r="C776" s="8" t="inlineStr">
        <is>
          <t>2024-02-15</t>
        </is>
      </c>
      <c r="D776" s="12" t="n">
        <v>9.390000000000001</v>
      </c>
      <c r="E776" s="12" t="n">
        <v>10</v>
      </c>
      <c r="F776" s="12">
        <f>ROUND(D776-E776,2)</f>
        <v/>
      </c>
      <c r="G776" s="15">
        <f>IFERROR(ROUND(F776/E776,4),"")</f>
        <v/>
      </c>
      <c r="H776" s="16">
        <f>IF(D776=0,"NO DATA",IF(D776&gt;E776*1.5,"OVER",IF(D776&gt;E776*1.1,"HIGH",IF(D776&lt;E776*0.5,"LOW","OK"))))</f>
        <v/>
      </c>
    </row>
    <row r="777" ht="22" customHeight="1">
      <c r="B777" s="5" t="inlineStr">
        <is>
          <t>MTR-DOM-006</t>
        </is>
      </c>
      <c r="C777" s="5" t="inlineStr">
        <is>
          <t>2024-02-16</t>
        </is>
      </c>
      <c r="D777" s="11" t="n">
        <v>11.04</v>
      </c>
      <c r="E777" s="11" t="n">
        <v>10</v>
      </c>
      <c r="F777" s="11">
        <f>ROUND(D777-E777,2)</f>
        <v/>
      </c>
      <c r="G777" s="13">
        <f>IFERROR(ROUND(F777/E777,4),"")</f>
        <v/>
      </c>
      <c r="H777" s="14">
        <f>IF(D777=0,"NO DATA",IF(D777&gt;E777*1.5,"OVER",IF(D777&gt;E777*1.1,"HIGH",IF(D777&lt;E777*0.5,"LOW","OK"))))</f>
        <v/>
      </c>
    </row>
    <row r="778" ht="22" customHeight="1">
      <c r="B778" s="8" t="inlineStr">
        <is>
          <t>MTR-DOM-006</t>
        </is>
      </c>
      <c r="C778" s="8" t="inlineStr">
        <is>
          <t>2024-02-17</t>
        </is>
      </c>
      <c r="D778" s="12" t="n">
        <v>7.99</v>
      </c>
      <c r="E778" s="12" t="n">
        <v>10</v>
      </c>
      <c r="F778" s="12">
        <f>ROUND(D778-E778,2)</f>
        <v/>
      </c>
      <c r="G778" s="15">
        <f>IFERROR(ROUND(F778/E778,4),"")</f>
        <v/>
      </c>
      <c r="H778" s="16">
        <f>IF(D778=0,"NO DATA",IF(D778&gt;E778*1.5,"OVER",IF(D778&gt;E778*1.1,"HIGH",IF(D778&lt;E778*0.5,"LOW","OK"))))</f>
        <v/>
      </c>
    </row>
    <row r="779" ht="22" customHeight="1">
      <c r="B779" s="5" t="inlineStr">
        <is>
          <t>MTR-DOM-006</t>
        </is>
      </c>
      <c r="C779" s="5" t="inlineStr">
        <is>
          <t>2024-02-18</t>
        </is>
      </c>
      <c r="D779" s="11" t="n">
        <v>4.59</v>
      </c>
      <c r="E779" s="11" t="n">
        <v>10</v>
      </c>
      <c r="F779" s="11">
        <f>ROUND(D779-E779,2)</f>
        <v/>
      </c>
      <c r="G779" s="13">
        <f>IFERROR(ROUND(F779/E779,4),"")</f>
        <v/>
      </c>
      <c r="H779" s="14">
        <f>IF(D779=0,"NO DATA",IF(D779&gt;E779*1.5,"OVER",IF(D779&gt;E779*1.1,"HIGH",IF(D779&lt;E779*0.5,"LOW","OK"))))</f>
        <v/>
      </c>
    </row>
    <row r="780" ht="22" customHeight="1">
      <c r="B780" s="8" t="inlineStr">
        <is>
          <t>MTR-DOM-006</t>
        </is>
      </c>
      <c r="C780" s="8" t="inlineStr">
        <is>
          <t>2024-02-19</t>
        </is>
      </c>
      <c r="D780" s="12" t="n">
        <v>8.800000000000001</v>
      </c>
      <c r="E780" s="12" t="n">
        <v>10</v>
      </c>
      <c r="F780" s="12">
        <f>ROUND(D780-E780,2)</f>
        <v/>
      </c>
      <c r="G780" s="15">
        <f>IFERROR(ROUND(F780/E780,4),"")</f>
        <v/>
      </c>
      <c r="H780" s="16">
        <f>IF(D780=0,"NO DATA",IF(D780&gt;E780*1.5,"OVER",IF(D780&gt;E780*1.1,"HIGH",IF(D780&lt;E780*0.5,"LOW","OK"))))</f>
        <v/>
      </c>
    </row>
    <row r="781" ht="22" customHeight="1">
      <c r="B781" s="5" t="inlineStr">
        <is>
          <t>MTR-DOM-006</t>
        </is>
      </c>
      <c r="C781" s="5" t="inlineStr">
        <is>
          <t>2024-02-20</t>
        </is>
      </c>
      <c r="D781" s="11" t="n">
        <v>9.65</v>
      </c>
      <c r="E781" s="11" t="n">
        <v>10</v>
      </c>
      <c r="F781" s="11">
        <f>ROUND(D781-E781,2)</f>
        <v/>
      </c>
      <c r="G781" s="13">
        <f>IFERROR(ROUND(F781/E781,4),"")</f>
        <v/>
      </c>
      <c r="H781" s="14">
        <f>IF(D781=0,"NO DATA",IF(D781&gt;E781*1.5,"OVER",IF(D781&gt;E781*1.1,"HIGH",IF(D781&lt;E781*0.5,"LOW","OK"))))</f>
        <v/>
      </c>
    </row>
    <row r="782" ht="22" customHeight="1">
      <c r="B782" s="8" t="inlineStr">
        <is>
          <t>MTR-DOM-006</t>
        </is>
      </c>
      <c r="C782" s="8" t="inlineStr">
        <is>
          <t>2024-02-21</t>
        </is>
      </c>
      <c r="D782" s="12" t="n">
        <v>10.72</v>
      </c>
      <c r="E782" s="12" t="n">
        <v>10</v>
      </c>
      <c r="F782" s="12">
        <f>ROUND(D782-E782,2)</f>
        <v/>
      </c>
      <c r="G782" s="15">
        <f>IFERROR(ROUND(F782/E782,4),"")</f>
        <v/>
      </c>
      <c r="H782" s="16">
        <f>IF(D782=0,"NO DATA",IF(D782&gt;E782*1.5,"OVER",IF(D782&gt;E782*1.1,"HIGH",IF(D782&lt;E782*0.5,"LOW","OK"))))</f>
        <v/>
      </c>
    </row>
    <row r="783" ht="22" customHeight="1">
      <c r="B783" s="5" t="inlineStr">
        <is>
          <t>MTR-DOM-006</t>
        </is>
      </c>
      <c r="C783" s="5" t="inlineStr">
        <is>
          <t>2024-02-22</t>
        </is>
      </c>
      <c r="D783" s="11" t="n">
        <v>10.04</v>
      </c>
      <c r="E783" s="11" t="n">
        <v>10</v>
      </c>
      <c r="F783" s="11">
        <f>ROUND(D783-E783,2)</f>
        <v/>
      </c>
      <c r="G783" s="13">
        <f>IFERROR(ROUND(F783/E783,4),"")</f>
        <v/>
      </c>
      <c r="H783" s="14">
        <f>IF(D783=0,"NO DATA",IF(D783&gt;E783*1.5,"OVER",IF(D783&gt;E783*1.1,"HIGH",IF(D783&lt;E783*0.5,"LOW","OK"))))</f>
        <v/>
      </c>
    </row>
    <row r="784" ht="22" customHeight="1">
      <c r="B784" s="8" t="inlineStr">
        <is>
          <t>MTR-DOM-006</t>
        </is>
      </c>
      <c r="C784" s="8" t="inlineStr">
        <is>
          <t>2024-02-23</t>
        </is>
      </c>
      <c r="D784" s="12" t="n">
        <v>8.85</v>
      </c>
      <c r="E784" s="12" t="n">
        <v>10</v>
      </c>
      <c r="F784" s="12">
        <f>ROUND(D784-E784,2)</f>
        <v/>
      </c>
      <c r="G784" s="15">
        <f>IFERROR(ROUND(F784/E784,4),"")</f>
        <v/>
      </c>
      <c r="H784" s="16">
        <f>IF(D784=0,"NO DATA",IF(D784&gt;E784*1.5,"OVER",IF(D784&gt;E784*1.1,"HIGH",IF(D784&lt;E784*0.5,"LOW","OK"))))</f>
        <v/>
      </c>
    </row>
    <row r="785" ht="22" customHeight="1">
      <c r="B785" s="5" t="inlineStr">
        <is>
          <t>MTR-DOM-006</t>
        </is>
      </c>
      <c r="C785" s="5" t="inlineStr">
        <is>
          <t>2024-02-24</t>
        </is>
      </c>
      <c r="D785" s="11" t="n">
        <v>8.550000000000001</v>
      </c>
      <c r="E785" s="11" t="n">
        <v>10</v>
      </c>
      <c r="F785" s="11">
        <f>ROUND(D785-E785,2)</f>
        <v/>
      </c>
      <c r="G785" s="13">
        <f>IFERROR(ROUND(F785/E785,4),"")</f>
        <v/>
      </c>
      <c r="H785" s="14">
        <f>IF(D785=0,"NO DATA",IF(D785&gt;E785*1.5,"OVER",IF(D785&gt;E785*1.1,"HIGH",IF(D785&lt;E785*0.5,"LOW","OK"))))</f>
        <v/>
      </c>
    </row>
    <row r="786" ht="22" customHeight="1">
      <c r="B786" s="8" t="inlineStr">
        <is>
          <t>MTR-DOM-006</t>
        </is>
      </c>
      <c r="C786" s="8" t="inlineStr">
        <is>
          <t>2024-02-25</t>
        </is>
      </c>
      <c r="D786" s="12" t="n">
        <v>5.31</v>
      </c>
      <c r="E786" s="12" t="n">
        <v>10</v>
      </c>
      <c r="F786" s="12">
        <f>ROUND(D786-E786,2)</f>
        <v/>
      </c>
      <c r="G786" s="15">
        <f>IFERROR(ROUND(F786/E786,4),"")</f>
        <v/>
      </c>
      <c r="H786" s="16">
        <f>IF(D786=0,"NO DATA",IF(D786&gt;E786*1.5,"OVER",IF(D786&gt;E786*1.1,"HIGH",IF(D786&lt;E786*0.5,"LOW","OK"))))</f>
        <v/>
      </c>
    </row>
    <row r="787" ht="22" customHeight="1">
      <c r="B787" s="5" t="inlineStr">
        <is>
          <t>MTR-DOM-006</t>
        </is>
      </c>
      <c r="C787" s="5" t="inlineStr">
        <is>
          <t>2024-02-26</t>
        </is>
      </c>
      <c r="D787" s="11" t="n">
        <v>9.550000000000001</v>
      </c>
      <c r="E787" s="11" t="n">
        <v>10</v>
      </c>
      <c r="F787" s="11">
        <f>ROUND(D787-E787,2)</f>
        <v/>
      </c>
      <c r="G787" s="13">
        <f>IFERROR(ROUND(F787/E787,4),"")</f>
        <v/>
      </c>
      <c r="H787" s="14">
        <f>IF(D787=0,"NO DATA",IF(D787&gt;E787*1.5,"OVER",IF(D787&gt;E787*1.1,"HIGH",IF(D787&lt;E787*0.5,"LOW","OK"))))</f>
        <v/>
      </c>
    </row>
    <row r="788" ht="22" customHeight="1">
      <c r="B788" s="8" t="inlineStr">
        <is>
          <t>MTR-DOM-006</t>
        </is>
      </c>
      <c r="C788" s="8" t="inlineStr">
        <is>
          <t>2024-02-27</t>
        </is>
      </c>
      <c r="D788" s="12" t="n">
        <v>9.380000000000001</v>
      </c>
      <c r="E788" s="12" t="n">
        <v>10</v>
      </c>
      <c r="F788" s="12">
        <f>ROUND(D788-E788,2)</f>
        <v/>
      </c>
      <c r="G788" s="15">
        <f>IFERROR(ROUND(F788/E788,4),"")</f>
        <v/>
      </c>
      <c r="H788" s="16">
        <f>IF(D788=0,"NO DATA",IF(D788&gt;E788*1.5,"OVER",IF(D788&gt;E788*1.1,"HIGH",IF(D788&lt;E788*0.5,"LOW","OK"))))</f>
        <v/>
      </c>
    </row>
    <row r="789" ht="22" customHeight="1">
      <c r="B789" s="5" t="inlineStr">
        <is>
          <t>MTR-DOM-006</t>
        </is>
      </c>
      <c r="C789" s="5" t="inlineStr">
        <is>
          <t>2024-02-28</t>
        </is>
      </c>
      <c r="D789" s="11" t="n">
        <v>9.9</v>
      </c>
      <c r="E789" s="11" t="n">
        <v>10</v>
      </c>
      <c r="F789" s="11">
        <f>ROUND(D789-E789,2)</f>
        <v/>
      </c>
      <c r="G789" s="13">
        <f>IFERROR(ROUND(F789/E789,4),"")</f>
        <v/>
      </c>
      <c r="H789" s="14">
        <f>IF(D789=0,"NO DATA",IF(D789&gt;E789*1.5,"OVER",IF(D789&gt;E789*1.1,"HIGH",IF(D789&lt;E789*0.5,"LOW","OK"))))</f>
        <v/>
      </c>
    </row>
    <row r="790" ht="22" customHeight="1">
      <c r="B790" s="8" t="inlineStr">
        <is>
          <t>MTR-DOM-006</t>
        </is>
      </c>
      <c r="C790" s="8" t="inlineStr">
        <is>
          <t>2024-02-29</t>
        </is>
      </c>
      <c r="D790" s="12" t="n">
        <v>10.59</v>
      </c>
      <c r="E790" s="12" t="n">
        <v>10</v>
      </c>
      <c r="F790" s="12">
        <f>ROUND(D790-E790,2)</f>
        <v/>
      </c>
      <c r="G790" s="15">
        <f>IFERROR(ROUND(F790/E790,4),"")</f>
        <v/>
      </c>
      <c r="H790" s="16">
        <f>IF(D790=0,"NO DATA",IF(D790&gt;E790*1.5,"OVER",IF(D790&gt;E790*1.1,"HIGH",IF(D790&lt;E790*0.5,"LOW","OK"))))</f>
        <v/>
      </c>
    </row>
    <row r="791" ht="22" customHeight="1">
      <c r="B791" s="5" t="inlineStr">
        <is>
          <t>MTR-DOM-006</t>
        </is>
      </c>
      <c r="C791" s="5" t="inlineStr">
        <is>
          <t>2024-03-01</t>
        </is>
      </c>
      <c r="D791" s="11" t="n">
        <v>10.17</v>
      </c>
      <c r="E791" s="11" t="n">
        <v>10</v>
      </c>
      <c r="F791" s="11">
        <f>ROUND(D791-E791,2)</f>
        <v/>
      </c>
      <c r="G791" s="13">
        <f>IFERROR(ROUND(F791/E791,4),"")</f>
        <v/>
      </c>
      <c r="H791" s="14">
        <f>IF(D791=0,"NO DATA",IF(D791&gt;E791*1.5,"OVER",IF(D791&gt;E791*1.1,"HIGH",IF(D791&lt;E791*0.5,"LOW","OK"))))</f>
        <v/>
      </c>
    </row>
    <row r="792" ht="22" customHeight="1">
      <c r="B792" s="8" t="inlineStr">
        <is>
          <t>MTR-DOM-006</t>
        </is>
      </c>
      <c r="C792" s="8" t="inlineStr">
        <is>
          <t>2024-03-02</t>
        </is>
      </c>
      <c r="D792" s="12" t="n">
        <v>7.34</v>
      </c>
      <c r="E792" s="12" t="n">
        <v>10</v>
      </c>
      <c r="F792" s="12">
        <f>ROUND(D792-E792,2)</f>
        <v/>
      </c>
      <c r="G792" s="15">
        <f>IFERROR(ROUND(F792/E792,4),"")</f>
        <v/>
      </c>
      <c r="H792" s="16">
        <f>IF(D792=0,"NO DATA",IF(D792&gt;E792*1.5,"OVER",IF(D792&gt;E792*1.1,"HIGH",IF(D792&lt;E792*0.5,"LOW","OK"))))</f>
        <v/>
      </c>
    </row>
    <row r="793" ht="22" customHeight="1">
      <c r="B793" s="5" t="inlineStr">
        <is>
          <t>MTR-DOM-006</t>
        </is>
      </c>
      <c r="C793" s="5" t="inlineStr">
        <is>
          <t>2024-03-03</t>
        </is>
      </c>
      <c r="D793" s="11" t="n">
        <v>4.94</v>
      </c>
      <c r="E793" s="11" t="n">
        <v>10</v>
      </c>
      <c r="F793" s="11">
        <f>ROUND(D793-E793,2)</f>
        <v/>
      </c>
      <c r="G793" s="13">
        <f>IFERROR(ROUND(F793/E793,4),"")</f>
        <v/>
      </c>
      <c r="H793" s="14">
        <f>IF(D793=0,"NO DATA",IF(D793&gt;E793*1.5,"OVER",IF(D793&gt;E793*1.1,"HIGH",IF(D793&lt;E793*0.5,"LOW","OK"))))</f>
        <v/>
      </c>
    </row>
    <row r="794" ht="22" customHeight="1">
      <c r="B794" s="8" t="inlineStr">
        <is>
          <t>MTR-DOM-006</t>
        </is>
      </c>
      <c r="C794" s="8" t="inlineStr">
        <is>
          <t>2024-03-04</t>
        </is>
      </c>
      <c r="D794" s="12" t="n">
        <v>8.82</v>
      </c>
      <c r="E794" s="12" t="n">
        <v>10</v>
      </c>
      <c r="F794" s="12">
        <f>ROUND(D794-E794,2)</f>
        <v/>
      </c>
      <c r="G794" s="15">
        <f>IFERROR(ROUND(F794/E794,4),"")</f>
        <v/>
      </c>
      <c r="H794" s="16">
        <f>IF(D794=0,"NO DATA",IF(D794&gt;E794*1.5,"OVER",IF(D794&gt;E794*1.1,"HIGH",IF(D794&lt;E794*0.5,"LOW","OK"))))</f>
        <v/>
      </c>
    </row>
    <row r="795" ht="22" customHeight="1">
      <c r="B795" s="5" t="inlineStr">
        <is>
          <t>MTR-DOM-006</t>
        </is>
      </c>
      <c r="C795" s="5" t="inlineStr">
        <is>
          <t>2024-03-05</t>
        </is>
      </c>
      <c r="D795" s="11" t="n">
        <v>9.720000000000001</v>
      </c>
      <c r="E795" s="11" t="n">
        <v>10</v>
      </c>
      <c r="F795" s="11">
        <f>ROUND(D795-E795,2)</f>
        <v/>
      </c>
      <c r="G795" s="13">
        <f>IFERROR(ROUND(F795/E795,4),"")</f>
        <v/>
      </c>
      <c r="H795" s="14">
        <f>IF(D795=0,"NO DATA",IF(D795&gt;E795*1.5,"OVER",IF(D795&gt;E795*1.1,"HIGH",IF(D795&lt;E795*0.5,"LOW","OK"))))</f>
        <v/>
      </c>
    </row>
    <row r="796" ht="22" customHeight="1">
      <c r="B796" s="8" t="inlineStr">
        <is>
          <t>MTR-DOM-006</t>
        </is>
      </c>
      <c r="C796" s="8" t="inlineStr">
        <is>
          <t>2024-03-06</t>
        </is>
      </c>
      <c r="D796" s="12" t="n">
        <v>10.34</v>
      </c>
      <c r="E796" s="12" t="n">
        <v>10</v>
      </c>
      <c r="F796" s="12">
        <f>ROUND(D796-E796,2)</f>
        <v/>
      </c>
      <c r="G796" s="15">
        <f>IFERROR(ROUND(F796/E796,4),"")</f>
        <v/>
      </c>
      <c r="H796" s="16">
        <f>IF(D796=0,"NO DATA",IF(D796&gt;E796*1.5,"OVER",IF(D796&gt;E796*1.1,"HIGH",IF(D796&lt;E796*0.5,"LOW","OK"))))</f>
        <v/>
      </c>
    </row>
    <row r="797" ht="22" customHeight="1">
      <c r="B797" s="5" t="inlineStr">
        <is>
          <t>MTR-DOM-006</t>
        </is>
      </c>
      <c r="C797" s="5" t="inlineStr">
        <is>
          <t>2024-03-07</t>
        </is>
      </c>
      <c r="D797" s="11" t="n">
        <v>10.35</v>
      </c>
      <c r="E797" s="11" t="n">
        <v>10</v>
      </c>
      <c r="F797" s="11">
        <f>ROUND(D797-E797,2)</f>
        <v/>
      </c>
      <c r="G797" s="13">
        <f>IFERROR(ROUND(F797/E797,4),"")</f>
        <v/>
      </c>
      <c r="H797" s="14">
        <f>IF(D797=0,"NO DATA",IF(D797&gt;E797*1.5,"OVER",IF(D797&gt;E797*1.1,"HIGH",IF(D797&lt;E797*0.5,"LOW","OK"))))</f>
        <v/>
      </c>
    </row>
    <row r="798" ht="22" customHeight="1">
      <c r="B798" s="8" t="inlineStr">
        <is>
          <t>MTR-DOM-006</t>
        </is>
      </c>
      <c r="C798" s="8" t="inlineStr">
        <is>
          <t>2024-03-08</t>
        </is>
      </c>
      <c r="D798" s="12" t="n">
        <v>9.74</v>
      </c>
      <c r="E798" s="12" t="n">
        <v>10</v>
      </c>
      <c r="F798" s="12">
        <f>ROUND(D798-E798,2)</f>
        <v/>
      </c>
      <c r="G798" s="15">
        <f>IFERROR(ROUND(F798/E798,4),"")</f>
        <v/>
      </c>
      <c r="H798" s="16">
        <f>IF(D798=0,"NO DATA",IF(D798&gt;E798*1.5,"OVER",IF(D798&gt;E798*1.1,"HIGH",IF(D798&lt;E798*0.5,"LOW","OK"))))</f>
        <v/>
      </c>
    </row>
    <row r="799" ht="22" customHeight="1">
      <c r="B799" s="5" t="inlineStr">
        <is>
          <t>MTR-DOM-006</t>
        </is>
      </c>
      <c r="C799" s="5" t="inlineStr">
        <is>
          <t>2024-03-09</t>
        </is>
      </c>
      <c r="D799" s="11" t="n">
        <v>8.81</v>
      </c>
      <c r="E799" s="11" t="n">
        <v>10</v>
      </c>
      <c r="F799" s="11">
        <f>ROUND(D799-E799,2)</f>
        <v/>
      </c>
      <c r="G799" s="13">
        <f>IFERROR(ROUND(F799/E799,4),"")</f>
        <v/>
      </c>
      <c r="H799" s="14">
        <f>IF(D799=0,"NO DATA",IF(D799&gt;E799*1.5,"OVER",IF(D799&gt;E799*1.1,"HIGH",IF(D799&lt;E799*0.5,"LOW","OK"))))</f>
        <v/>
      </c>
    </row>
    <row r="800" ht="22" customHeight="1">
      <c r="B800" s="8" t="inlineStr">
        <is>
          <t>MTR-DOM-006</t>
        </is>
      </c>
      <c r="C800" s="8" t="inlineStr">
        <is>
          <t>2024-03-10</t>
        </is>
      </c>
      <c r="D800" s="12" t="n">
        <v>5.71</v>
      </c>
      <c r="E800" s="12" t="n">
        <v>10</v>
      </c>
      <c r="F800" s="12">
        <f>ROUND(D800-E800,2)</f>
        <v/>
      </c>
      <c r="G800" s="15">
        <f>IFERROR(ROUND(F800/E800,4),"")</f>
        <v/>
      </c>
      <c r="H800" s="16">
        <f>IF(D800=0,"NO DATA",IF(D800&gt;E800*1.5,"OVER",IF(D800&gt;E800*1.1,"HIGH",IF(D800&lt;E800*0.5,"LOW","OK"))))</f>
        <v/>
      </c>
    </row>
    <row r="801" ht="22" customHeight="1">
      <c r="B801" s="5" t="inlineStr">
        <is>
          <t>MTR-DOM-006</t>
        </is>
      </c>
      <c r="C801" s="5" t="inlineStr">
        <is>
          <t>2024-03-11</t>
        </is>
      </c>
      <c r="D801" s="11" t="n">
        <v>10.14</v>
      </c>
      <c r="E801" s="11" t="n">
        <v>10</v>
      </c>
      <c r="F801" s="11">
        <f>ROUND(D801-E801,2)</f>
        <v/>
      </c>
      <c r="G801" s="13">
        <f>IFERROR(ROUND(F801/E801,4),"")</f>
        <v/>
      </c>
      <c r="H801" s="14">
        <f>IF(D801=0,"NO DATA",IF(D801&gt;E801*1.5,"OVER",IF(D801&gt;E801*1.1,"HIGH",IF(D801&lt;E801*0.5,"LOW","OK"))))</f>
        <v/>
      </c>
    </row>
    <row r="802" ht="22" customHeight="1">
      <c r="B802" s="8" t="inlineStr">
        <is>
          <t>MTR-DOM-006</t>
        </is>
      </c>
      <c r="C802" s="8" t="inlineStr">
        <is>
          <t>2024-03-12</t>
        </is>
      </c>
      <c r="D802" s="12" t="n">
        <v>10.28</v>
      </c>
      <c r="E802" s="12" t="n">
        <v>10</v>
      </c>
      <c r="F802" s="12">
        <f>ROUND(D802-E802,2)</f>
        <v/>
      </c>
      <c r="G802" s="15">
        <f>IFERROR(ROUND(F802/E802,4),"")</f>
        <v/>
      </c>
      <c r="H802" s="16">
        <f>IF(D802=0,"NO DATA",IF(D802&gt;E802*1.5,"OVER",IF(D802&gt;E802*1.1,"HIGH",IF(D802&lt;E802*0.5,"LOW","OK"))))</f>
        <v/>
      </c>
    </row>
    <row r="803" ht="22" customHeight="1">
      <c r="B803" s="5" t="inlineStr">
        <is>
          <t>MTR-DOM-006</t>
        </is>
      </c>
      <c r="C803" s="5" t="inlineStr">
        <is>
          <t>2024-03-13</t>
        </is>
      </c>
      <c r="D803" s="11" t="n">
        <v>9.06</v>
      </c>
      <c r="E803" s="11" t="n">
        <v>10</v>
      </c>
      <c r="F803" s="11">
        <f>ROUND(D803-E803,2)</f>
        <v/>
      </c>
      <c r="G803" s="13">
        <f>IFERROR(ROUND(F803/E803,4),"")</f>
        <v/>
      </c>
      <c r="H803" s="14">
        <f>IF(D803=0,"NO DATA",IF(D803&gt;E803*1.5,"OVER",IF(D803&gt;E803*1.1,"HIGH",IF(D803&lt;E803*0.5,"LOW","OK"))))</f>
        <v/>
      </c>
    </row>
    <row r="804" ht="22" customHeight="1">
      <c r="B804" s="8" t="inlineStr">
        <is>
          <t>MTR-DOM-006</t>
        </is>
      </c>
      <c r="C804" s="8" t="inlineStr">
        <is>
          <t>2024-03-14</t>
        </is>
      </c>
      <c r="D804" s="12" t="n">
        <v>9.75</v>
      </c>
      <c r="E804" s="12" t="n">
        <v>10</v>
      </c>
      <c r="F804" s="12">
        <f>ROUND(D804-E804,2)</f>
        <v/>
      </c>
      <c r="G804" s="15">
        <f>IFERROR(ROUND(F804/E804,4),"")</f>
        <v/>
      </c>
      <c r="H804" s="16">
        <f>IF(D804=0,"NO DATA",IF(D804&gt;E804*1.5,"OVER",IF(D804&gt;E804*1.1,"HIGH",IF(D804&lt;E804*0.5,"LOW","OK"))))</f>
        <v/>
      </c>
    </row>
    <row r="805" ht="22" customHeight="1">
      <c r="B805" s="5" t="inlineStr">
        <is>
          <t>MTR-DOM-006</t>
        </is>
      </c>
      <c r="C805" s="5" t="inlineStr">
        <is>
          <t>2024-03-15</t>
        </is>
      </c>
      <c r="D805" s="11" t="n">
        <v>8.859999999999999</v>
      </c>
      <c r="E805" s="11" t="n">
        <v>10</v>
      </c>
      <c r="F805" s="11">
        <f>ROUND(D805-E805,2)</f>
        <v/>
      </c>
      <c r="G805" s="13">
        <f>IFERROR(ROUND(F805/E805,4),"")</f>
        <v/>
      </c>
      <c r="H805" s="14">
        <f>IF(D805=0,"NO DATA",IF(D805&gt;E805*1.5,"OVER",IF(D805&gt;E805*1.1,"HIGH",IF(D805&lt;E805*0.5,"LOW","OK"))))</f>
        <v/>
      </c>
    </row>
    <row r="806" ht="22" customHeight="1">
      <c r="B806" s="8" t="inlineStr">
        <is>
          <t>MTR-DOM-006</t>
        </is>
      </c>
      <c r="C806" s="8" t="inlineStr">
        <is>
          <t>2024-03-16</t>
        </is>
      </c>
      <c r="D806" s="12" t="n">
        <v>8.41</v>
      </c>
      <c r="E806" s="12" t="n">
        <v>10</v>
      </c>
      <c r="F806" s="12">
        <f>ROUND(D806-E806,2)</f>
        <v/>
      </c>
      <c r="G806" s="15">
        <f>IFERROR(ROUND(F806/E806,4),"")</f>
        <v/>
      </c>
      <c r="H806" s="16">
        <f>IF(D806=0,"NO DATA",IF(D806&gt;E806*1.5,"OVER",IF(D806&gt;E806*1.1,"HIGH",IF(D806&lt;E806*0.5,"LOW","OK"))))</f>
        <v/>
      </c>
    </row>
    <row r="807" ht="22" customHeight="1">
      <c r="B807" s="5" t="inlineStr">
        <is>
          <t>MTR-DOM-006</t>
        </is>
      </c>
      <c r="C807" s="5" t="inlineStr">
        <is>
          <t>2024-03-17</t>
        </is>
      </c>
      <c r="D807" s="11" t="n">
        <v>5.72</v>
      </c>
      <c r="E807" s="11" t="n">
        <v>10</v>
      </c>
      <c r="F807" s="11">
        <f>ROUND(D807-E807,2)</f>
        <v/>
      </c>
      <c r="G807" s="13">
        <f>IFERROR(ROUND(F807/E807,4),"")</f>
        <v/>
      </c>
      <c r="H807" s="14">
        <f>IF(D807=0,"NO DATA",IF(D807&gt;E807*1.5,"OVER",IF(D807&gt;E807*1.1,"HIGH",IF(D807&lt;E807*0.5,"LOW","OK"))))</f>
        <v/>
      </c>
    </row>
    <row r="808" ht="22" customHeight="1">
      <c r="B808" s="8" t="inlineStr">
        <is>
          <t>MTR-DOM-006</t>
        </is>
      </c>
      <c r="C808" s="8" t="inlineStr">
        <is>
          <t>2024-03-18</t>
        </is>
      </c>
      <c r="D808" s="12" t="n">
        <v>10.01</v>
      </c>
      <c r="E808" s="12" t="n">
        <v>10</v>
      </c>
      <c r="F808" s="12">
        <f>ROUND(D808-E808,2)</f>
        <v/>
      </c>
      <c r="G808" s="15">
        <f>IFERROR(ROUND(F808/E808,4),"")</f>
        <v/>
      </c>
      <c r="H808" s="16">
        <f>IF(D808=0,"NO DATA",IF(D808&gt;E808*1.5,"OVER",IF(D808&gt;E808*1.1,"HIGH",IF(D808&lt;E808*0.5,"LOW","OK"))))</f>
        <v/>
      </c>
    </row>
    <row r="809" ht="22" customHeight="1">
      <c r="B809" s="5" t="inlineStr">
        <is>
          <t>MTR-DOM-006</t>
        </is>
      </c>
      <c r="C809" s="5" t="inlineStr">
        <is>
          <t>2024-03-19</t>
        </is>
      </c>
      <c r="D809" s="11" t="n">
        <v>10.04</v>
      </c>
      <c r="E809" s="11" t="n">
        <v>10</v>
      </c>
      <c r="F809" s="11">
        <f>ROUND(D809-E809,2)</f>
        <v/>
      </c>
      <c r="G809" s="13">
        <f>IFERROR(ROUND(F809/E809,4),"")</f>
        <v/>
      </c>
      <c r="H809" s="14">
        <f>IF(D809=0,"NO DATA",IF(D809&gt;E809*1.5,"OVER",IF(D809&gt;E809*1.1,"HIGH",IF(D809&lt;E809*0.5,"LOW","OK"))))</f>
        <v/>
      </c>
    </row>
    <row r="810" ht="22" customHeight="1">
      <c r="B810" s="8" t="inlineStr">
        <is>
          <t>MTR-DOM-006</t>
        </is>
      </c>
      <c r="C810" s="8" t="inlineStr">
        <is>
          <t>2024-03-20</t>
        </is>
      </c>
      <c r="D810" s="12" t="n">
        <v>11.03</v>
      </c>
      <c r="E810" s="12" t="n">
        <v>10</v>
      </c>
      <c r="F810" s="12">
        <f>ROUND(D810-E810,2)</f>
        <v/>
      </c>
      <c r="G810" s="15">
        <f>IFERROR(ROUND(F810/E810,4),"")</f>
        <v/>
      </c>
      <c r="H810" s="16">
        <f>IF(D810=0,"NO DATA",IF(D810&gt;E810*1.5,"OVER",IF(D810&gt;E810*1.1,"HIGH",IF(D810&lt;E810*0.5,"LOW","OK"))))</f>
        <v/>
      </c>
    </row>
    <row r="811" ht="22" customHeight="1">
      <c r="B811" s="5" t="inlineStr">
        <is>
          <t>MTR-DOM-006</t>
        </is>
      </c>
      <c r="C811" s="5" t="inlineStr">
        <is>
          <t>2024-03-21</t>
        </is>
      </c>
      <c r="D811" s="11" t="n">
        <v>11.13</v>
      </c>
      <c r="E811" s="11" t="n">
        <v>10</v>
      </c>
      <c r="F811" s="11">
        <f>ROUND(D811-E811,2)</f>
        <v/>
      </c>
      <c r="G811" s="13">
        <f>IFERROR(ROUND(F811/E811,4),"")</f>
        <v/>
      </c>
      <c r="H811" s="14">
        <f>IF(D811=0,"NO DATA",IF(D811&gt;E811*1.5,"OVER",IF(D811&gt;E811*1.1,"HIGH",IF(D811&lt;E811*0.5,"LOW","OK"))))</f>
        <v/>
      </c>
    </row>
    <row r="812" ht="22" customHeight="1">
      <c r="B812" s="8" t="inlineStr">
        <is>
          <t>MTR-DOM-006</t>
        </is>
      </c>
      <c r="C812" s="8" t="inlineStr">
        <is>
          <t>2024-03-22</t>
        </is>
      </c>
      <c r="D812" s="12" t="n">
        <v>10.9</v>
      </c>
      <c r="E812" s="12" t="n">
        <v>10</v>
      </c>
      <c r="F812" s="12">
        <f>ROUND(D812-E812,2)</f>
        <v/>
      </c>
      <c r="G812" s="15">
        <f>IFERROR(ROUND(F812/E812,4),"")</f>
        <v/>
      </c>
      <c r="H812" s="16">
        <f>IF(D812=0,"NO DATA",IF(D812&gt;E812*1.5,"OVER",IF(D812&gt;E812*1.1,"HIGH",IF(D812&lt;E812*0.5,"LOW","OK"))))</f>
        <v/>
      </c>
    </row>
    <row r="813" ht="22" customHeight="1">
      <c r="B813" s="5" t="inlineStr">
        <is>
          <t>MTR-DOM-006</t>
        </is>
      </c>
      <c r="C813" s="5" t="inlineStr">
        <is>
          <t>2024-03-23</t>
        </is>
      </c>
      <c r="D813" s="11" t="n">
        <v>7.14</v>
      </c>
      <c r="E813" s="11" t="n">
        <v>10</v>
      </c>
      <c r="F813" s="11">
        <f>ROUND(D813-E813,2)</f>
        <v/>
      </c>
      <c r="G813" s="13">
        <f>IFERROR(ROUND(F813/E813,4),"")</f>
        <v/>
      </c>
      <c r="H813" s="14">
        <f>IF(D813=0,"NO DATA",IF(D813&gt;E813*1.5,"OVER",IF(D813&gt;E813*1.1,"HIGH",IF(D813&lt;E813*0.5,"LOW","OK"))))</f>
        <v/>
      </c>
    </row>
    <row r="814" ht="22" customHeight="1">
      <c r="B814" s="8" t="inlineStr">
        <is>
          <t>MTR-DOM-006</t>
        </is>
      </c>
      <c r="C814" s="8" t="inlineStr">
        <is>
          <t>2024-03-24</t>
        </is>
      </c>
      <c r="D814" s="12" t="n">
        <v>5.09</v>
      </c>
      <c r="E814" s="12" t="n">
        <v>10</v>
      </c>
      <c r="F814" s="12">
        <f>ROUND(D814-E814,2)</f>
        <v/>
      </c>
      <c r="G814" s="15">
        <f>IFERROR(ROUND(F814/E814,4),"")</f>
        <v/>
      </c>
      <c r="H814" s="16">
        <f>IF(D814=0,"NO DATA",IF(D814&gt;E814*1.5,"OVER",IF(D814&gt;E814*1.1,"HIGH",IF(D814&lt;E814*0.5,"LOW","OK"))))</f>
        <v/>
      </c>
    </row>
    <row r="815" ht="22" customHeight="1">
      <c r="B815" s="5" t="inlineStr">
        <is>
          <t>MTR-DOM-006</t>
        </is>
      </c>
      <c r="C815" s="5" t="inlineStr">
        <is>
          <t>2024-03-25</t>
        </is>
      </c>
      <c r="D815" s="11" t="n">
        <v>10.37</v>
      </c>
      <c r="E815" s="11" t="n">
        <v>10</v>
      </c>
      <c r="F815" s="11">
        <f>ROUND(D815-E815,2)</f>
        <v/>
      </c>
      <c r="G815" s="13">
        <f>IFERROR(ROUND(F815/E815,4),"")</f>
        <v/>
      </c>
      <c r="H815" s="14">
        <f>IF(D815=0,"NO DATA",IF(D815&gt;E815*1.5,"OVER",IF(D815&gt;E815*1.1,"HIGH",IF(D815&lt;E815*0.5,"LOW","OK"))))</f>
        <v/>
      </c>
    </row>
    <row r="816" ht="22" customHeight="1">
      <c r="B816" s="8" t="inlineStr">
        <is>
          <t>MTR-DOM-006</t>
        </is>
      </c>
      <c r="C816" s="8" t="inlineStr">
        <is>
          <t>2024-03-26</t>
        </is>
      </c>
      <c r="D816" s="12" t="n">
        <v>9.01</v>
      </c>
      <c r="E816" s="12" t="n">
        <v>10</v>
      </c>
      <c r="F816" s="12">
        <f>ROUND(D816-E816,2)</f>
        <v/>
      </c>
      <c r="G816" s="15">
        <f>IFERROR(ROUND(F816/E816,4),"")</f>
        <v/>
      </c>
      <c r="H816" s="16">
        <f>IF(D816=0,"NO DATA",IF(D816&gt;E816*1.5,"OVER",IF(D816&gt;E816*1.1,"HIGH",IF(D816&lt;E816*0.5,"LOW","OK"))))</f>
        <v/>
      </c>
    </row>
    <row r="817" ht="22" customHeight="1">
      <c r="B817" s="5" t="inlineStr">
        <is>
          <t>MTR-DOM-006</t>
        </is>
      </c>
      <c r="C817" s="5" t="inlineStr">
        <is>
          <t>2024-03-27</t>
        </is>
      </c>
      <c r="D817" s="11" t="n">
        <v>10.56</v>
      </c>
      <c r="E817" s="11" t="n">
        <v>10</v>
      </c>
      <c r="F817" s="11">
        <f>ROUND(D817-E817,2)</f>
        <v/>
      </c>
      <c r="G817" s="13">
        <f>IFERROR(ROUND(F817/E817,4),"")</f>
        <v/>
      </c>
      <c r="H817" s="14">
        <f>IF(D817=0,"NO DATA",IF(D817&gt;E817*1.5,"OVER",IF(D817&gt;E817*1.1,"HIGH",IF(D817&lt;E817*0.5,"LOW","OK"))))</f>
        <v/>
      </c>
    </row>
    <row r="818" ht="22" customHeight="1">
      <c r="B818" s="8" t="inlineStr">
        <is>
          <t>MTR-DOM-006</t>
        </is>
      </c>
      <c r="C818" s="8" t="inlineStr">
        <is>
          <t>2024-03-28</t>
        </is>
      </c>
      <c r="D818" s="12" t="n">
        <v>10.43</v>
      </c>
      <c r="E818" s="12" t="n">
        <v>10</v>
      </c>
      <c r="F818" s="12">
        <f>ROUND(D818-E818,2)</f>
        <v/>
      </c>
      <c r="G818" s="15">
        <f>IFERROR(ROUND(F818/E818,4),"")</f>
        <v/>
      </c>
      <c r="H818" s="16">
        <f>IF(D818=0,"NO DATA",IF(D818&gt;E818*1.5,"OVER",IF(D818&gt;E818*1.1,"HIGH",IF(D818&lt;E818*0.5,"LOW","OK"))))</f>
        <v/>
      </c>
    </row>
    <row r="819" ht="22" customHeight="1">
      <c r="B819" s="5" t="inlineStr">
        <is>
          <t>MTR-DOM-006</t>
        </is>
      </c>
      <c r="C819" s="5" t="inlineStr">
        <is>
          <t>2024-03-29</t>
        </is>
      </c>
      <c r="D819" s="11" t="n">
        <v>11.48</v>
      </c>
      <c r="E819" s="11" t="n">
        <v>10</v>
      </c>
      <c r="F819" s="11">
        <f>ROUND(D819-E819,2)</f>
        <v/>
      </c>
      <c r="G819" s="13">
        <f>IFERROR(ROUND(F819/E819,4),"")</f>
        <v/>
      </c>
      <c r="H819" s="14">
        <f>IF(D819=0,"NO DATA",IF(D819&gt;E819*1.5,"OVER",IF(D819&gt;E819*1.1,"HIGH",IF(D819&lt;E819*0.5,"LOW","OK"))))</f>
        <v/>
      </c>
    </row>
    <row r="820" ht="22" customHeight="1">
      <c r="B820" s="8" t="inlineStr">
        <is>
          <t>MTR-DOM-006</t>
        </is>
      </c>
      <c r="C820" s="8" t="inlineStr">
        <is>
          <t>2024-03-30</t>
        </is>
      </c>
      <c r="D820" s="12" t="n">
        <v>8.279999999999999</v>
      </c>
      <c r="E820" s="12" t="n">
        <v>10</v>
      </c>
      <c r="F820" s="12">
        <f>ROUND(D820-E820,2)</f>
        <v/>
      </c>
      <c r="G820" s="15">
        <f>IFERROR(ROUND(F820/E820,4),"")</f>
        <v/>
      </c>
      <c r="H820" s="16">
        <f>IF(D820=0,"NO DATA",IF(D820&gt;E820*1.5,"OVER",IF(D820&gt;E820*1.1,"HIGH",IF(D820&lt;E820*0.5,"LOW","OK"))))</f>
        <v/>
      </c>
    </row>
    <row r="821" ht="22" customHeight="1">
      <c r="B821" s="5" t="inlineStr">
        <is>
          <t>MTR-DOM-006</t>
        </is>
      </c>
      <c r="C821" s="5" t="inlineStr">
        <is>
          <t>2024-03-31</t>
        </is>
      </c>
      <c r="D821" s="11" t="n">
        <v>5.89</v>
      </c>
      <c r="E821" s="11" t="n">
        <v>10</v>
      </c>
      <c r="F821" s="11">
        <f>ROUND(D821-E821,2)</f>
        <v/>
      </c>
      <c r="G821" s="13">
        <f>IFERROR(ROUND(F821/E821,4),"")</f>
        <v/>
      </c>
      <c r="H821" s="14">
        <f>IF(D821=0,"NO DATA",IF(D821&gt;E821*1.5,"OVER",IF(D821&gt;E821*1.1,"HIGH",IF(D821&lt;E821*0.5,"LOW","OK"))))</f>
        <v/>
      </c>
    </row>
    <row r="822" ht="22" customHeight="1">
      <c r="B822" s="8" t="inlineStr">
        <is>
          <t>MTR-DOM-006</t>
        </is>
      </c>
      <c r="C822" s="8" t="inlineStr">
        <is>
          <t>2024-04-01</t>
        </is>
      </c>
      <c r="D822" s="12" t="n">
        <v>11.09</v>
      </c>
      <c r="E822" s="12" t="n">
        <v>10</v>
      </c>
      <c r="F822" s="12">
        <f>ROUND(D822-E822,2)</f>
        <v/>
      </c>
      <c r="G822" s="15">
        <f>IFERROR(ROUND(F822/E822,4),"")</f>
        <v/>
      </c>
      <c r="H822" s="16">
        <f>IF(D822=0,"NO DATA",IF(D822&gt;E822*1.5,"OVER",IF(D822&gt;E822*1.1,"HIGH",IF(D822&lt;E822*0.5,"LOW","OK"))))</f>
        <v/>
      </c>
    </row>
    <row r="823" ht="22" customHeight="1">
      <c r="B823" s="5" t="inlineStr">
        <is>
          <t>MTR-DOM-006</t>
        </is>
      </c>
      <c r="C823" s="5" t="inlineStr">
        <is>
          <t>2024-04-02</t>
        </is>
      </c>
      <c r="D823" s="11" t="n">
        <v>9.16</v>
      </c>
      <c r="E823" s="11" t="n">
        <v>10</v>
      </c>
      <c r="F823" s="11">
        <f>ROUND(D823-E823,2)</f>
        <v/>
      </c>
      <c r="G823" s="13">
        <f>IFERROR(ROUND(F823/E823,4),"")</f>
        <v/>
      </c>
      <c r="H823" s="14">
        <f>IF(D823=0,"NO DATA",IF(D823&gt;E823*1.5,"OVER",IF(D823&gt;E823*1.1,"HIGH",IF(D823&lt;E823*0.5,"LOW","OK"))))</f>
        <v/>
      </c>
    </row>
    <row r="824" ht="22" customHeight="1">
      <c r="B824" s="8" t="inlineStr">
        <is>
          <t>MTR-DOM-006</t>
        </is>
      </c>
      <c r="C824" s="8" t="inlineStr">
        <is>
          <t>2024-04-03</t>
        </is>
      </c>
      <c r="D824" s="12" t="n">
        <v>11.58</v>
      </c>
      <c r="E824" s="12" t="n">
        <v>10</v>
      </c>
      <c r="F824" s="12">
        <f>ROUND(D824-E824,2)</f>
        <v/>
      </c>
      <c r="G824" s="15">
        <f>IFERROR(ROUND(F824/E824,4),"")</f>
        <v/>
      </c>
      <c r="H824" s="16">
        <f>IF(D824=0,"NO DATA",IF(D824&gt;E824*1.5,"OVER",IF(D824&gt;E824*1.1,"HIGH",IF(D824&lt;E824*0.5,"LOW","OK"))))</f>
        <v/>
      </c>
    </row>
    <row r="825" ht="22" customHeight="1">
      <c r="B825" s="5" t="inlineStr">
        <is>
          <t>MTR-DOM-006</t>
        </is>
      </c>
      <c r="C825" s="5" t="inlineStr">
        <is>
          <t>2024-04-04</t>
        </is>
      </c>
      <c r="D825" s="11" t="n">
        <v>11.41</v>
      </c>
      <c r="E825" s="11" t="n">
        <v>10</v>
      </c>
      <c r="F825" s="11">
        <f>ROUND(D825-E825,2)</f>
        <v/>
      </c>
      <c r="G825" s="13">
        <f>IFERROR(ROUND(F825/E825,4),"")</f>
        <v/>
      </c>
      <c r="H825" s="14">
        <f>IF(D825=0,"NO DATA",IF(D825&gt;E825*1.5,"OVER",IF(D825&gt;E825*1.1,"HIGH",IF(D825&lt;E825*0.5,"LOW","OK"))))</f>
        <v/>
      </c>
    </row>
    <row r="826" ht="22" customHeight="1">
      <c r="B826" s="8" t="inlineStr">
        <is>
          <t>MTR-DOM-006</t>
        </is>
      </c>
      <c r="C826" s="8" t="inlineStr">
        <is>
          <t>2024-04-05</t>
        </is>
      </c>
      <c r="D826" s="12" t="n">
        <v>10.83</v>
      </c>
      <c r="E826" s="12" t="n">
        <v>10</v>
      </c>
      <c r="F826" s="12">
        <f>ROUND(D826-E826,2)</f>
        <v/>
      </c>
      <c r="G826" s="15">
        <f>IFERROR(ROUND(F826/E826,4),"")</f>
        <v/>
      </c>
      <c r="H826" s="16">
        <f>IF(D826=0,"NO DATA",IF(D826&gt;E826*1.5,"OVER",IF(D826&gt;E826*1.1,"HIGH",IF(D826&lt;E826*0.5,"LOW","OK"))))</f>
        <v/>
      </c>
    </row>
    <row r="827" ht="22" customHeight="1">
      <c r="B827" s="5" t="inlineStr">
        <is>
          <t>MTR-DOM-006</t>
        </is>
      </c>
      <c r="C827" s="5" t="inlineStr">
        <is>
          <t>2024-04-06</t>
        </is>
      </c>
      <c r="D827" s="11" t="n">
        <v>7.91</v>
      </c>
      <c r="E827" s="11" t="n">
        <v>10</v>
      </c>
      <c r="F827" s="11">
        <f>ROUND(D827-E827,2)</f>
        <v/>
      </c>
      <c r="G827" s="13">
        <f>IFERROR(ROUND(F827/E827,4),"")</f>
        <v/>
      </c>
      <c r="H827" s="14">
        <f>IF(D827=0,"NO DATA",IF(D827&gt;E827*1.5,"OVER",IF(D827&gt;E827*1.1,"HIGH",IF(D827&lt;E827*0.5,"LOW","OK"))))</f>
        <v/>
      </c>
    </row>
    <row r="828" ht="22" customHeight="1">
      <c r="B828" s="8" t="inlineStr">
        <is>
          <t>MTR-DOM-006</t>
        </is>
      </c>
      <c r="C828" s="8" t="inlineStr">
        <is>
          <t>2024-04-07</t>
        </is>
      </c>
      <c r="D828" s="12" t="n">
        <v>5.08</v>
      </c>
      <c r="E828" s="12" t="n">
        <v>10</v>
      </c>
      <c r="F828" s="12">
        <f>ROUND(D828-E828,2)</f>
        <v/>
      </c>
      <c r="G828" s="15">
        <f>IFERROR(ROUND(F828/E828,4),"")</f>
        <v/>
      </c>
      <c r="H828" s="16">
        <f>IF(D828=0,"NO DATA",IF(D828&gt;E828*1.5,"OVER",IF(D828&gt;E828*1.1,"HIGH",IF(D828&lt;E828*0.5,"LOW","OK"))))</f>
        <v/>
      </c>
    </row>
    <row r="829" ht="22" customHeight="1">
      <c r="B829" s="5" t="inlineStr">
        <is>
          <t>MTR-DOM-006</t>
        </is>
      </c>
      <c r="C829" s="5" t="inlineStr">
        <is>
          <t>2024-04-08</t>
        </is>
      </c>
      <c r="D829" s="11" t="n">
        <v>10.05</v>
      </c>
      <c r="E829" s="11" t="n">
        <v>10</v>
      </c>
      <c r="F829" s="11">
        <f>ROUND(D829-E829,2)</f>
        <v/>
      </c>
      <c r="G829" s="13">
        <f>IFERROR(ROUND(F829/E829,4),"")</f>
        <v/>
      </c>
      <c r="H829" s="14">
        <f>IF(D829=0,"NO DATA",IF(D829&gt;E829*1.5,"OVER",IF(D829&gt;E829*1.1,"HIGH",IF(D829&lt;E829*0.5,"LOW","OK"))))</f>
        <v/>
      </c>
    </row>
    <row r="830" ht="22" customHeight="1">
      <c r="B830" s="8" t="inlineStr">
        <is>
          <t>MTR-DOM-006</t>
        </is>
      </c>
      <c r="C830" s="8" t="inlineStr">
        <is>
          <t>2024-04-09</t>
        </is>
      </c>
      <c r="D830" s="12" t="n">
        <v>11.69</v>
      </c>
      <c r="E830" s="12" t="n">
        <v>10</v>
      </c>
      <c r="F830" s="12">
        <f>ROUND(D830-E830,2)</f>
        <v/>
      </c>
      <c r="G830" s="15">
        <f>IFERROR(ROUND(F830/E830,4),"")</f>
        <v/>
      </c>
      <c r="H830" s="16">
        <f>IF(D830=0,"NO DATA",IF(D830&gt;E830*1.5,"OVER",IF(D830&gt;E830*1.1,"HIGH",IF(D830&lt;E830*0.5,"LOW","OK"))))</f>
        <v/>
      </c>
    </row>
    <row r="831" ht="22" customHeight="1">
      <c r="B831" s="5" t="inlineStr">
        <is>
          <t>MTR-DOM-006</t>
        </is>
      </c>
      <c r="C831" s="5" t="inlineStr">
        <is>
          <t>2024-04-10</t>
        </is>
      </c>
      <c r="D831" s="11" t="n">
        <v>9.039999999999999</v>
      </c>
      <c r="E831" s="11" t="n">
        <v>10</v>
      </c>
      <c r="F831" s="11">
        <f>ROUND(D831-E831,2)</f>
        <v/>
      </c>
      <c r="G831" s="13">
        <f>IFERROR(ROUND(F831/E831,4),"")</f>
        <v/>
      </c>
      <c r="H831" s="14">
        <f>IF(D831=0,"NO DATA",IF(D831&gt;E831*1.5,"OVER",IF(D831&gt;E831*1.1,"HIGH",IF(D831&lt;E831*0.5,"LOW","OK"))))</f>
        <v/>
      </c>
    </row>
    <row r="832" ht="22" customHeight="1">
      <c r="B832" s="8" t="inlineStr">
        <is>
          <t>MTR-DOM-006</t>
        </is>
      </c>
      <c r="C832" s="8" t="inlineStr">
        <is>
          <t>2024-04-11</t>
        </is>
      </c>
      <c r="D832" s="12" t="n">
        <v>9.4</v>
      </c>
      <c r="E832" s="12" t="n">
        <v>10</v>
      </c>
      <c r="F832" s="12">
        <f>ROUND(D832-E832,2)</f>
        <v/>
      </c>
      <c r="G832" s="15">
        <f>IFERROR(ROUND(F832/E832,4),"")</f>
        <v/>
      </c>
      <c r="H832" s="16">
        <f>IF(D832=0,"NO DATA",IF(D832&gt;E832*1.5,"OVER",IF(D832&gt;E832*1.1,"HIGH",IF(D832&lt;E832*0.5,"LOW","OK"))))</f>
        <v/>
      </c>
    </row>
    <row r="833" ht="22" customHeight="1">
      <c r="B833" s="5" t="inlineStr">
        <is>
          <t>MTR-DOM-006</t>
        </is>
      </c>
      <c r="C833" s="5" t="inlineStr">
        <is>
          <t>2024-04-12</t>
        </is>
      </c>
      <c r="D833" s="11" t="n">
        <v>9.529999999999999</v>
      </c>
      <c r="E833" s="11" t="n">
        <v>10</v>
      </c>
      <c r="F833" s="11">
        <f>ROUND(D833-E833,2)</f>
        <v/>
      </c>
      <c r="G833" s="13">
        <f>IFERROR(ROUND(F833/E833,4),"")</f>
        <v/>
      </c>
      <c r="H833" s="14">
        <f>IF(D833=0,"NO DATA",IF(D833&gt;E833*1.5,"OVER",IF(D833&gt;E833*1.1,"HIGH",IF(D833&lt;E833*0.5,"LOW","OK"))))</f>
        <v/>
      </c>
    </row>
    <row r="834" ht="22" customHeight="1">
      <c r="B834" s="8" t="inlineStr">
        <is>
          <t>MTR-DOM-006</t>
        </is>
      </c>
      <c r="C834" s="8" t="inlineStr">
        <is>
          <t>2024-04-13</t>
        </is>
      </c>
      <c r="D834" s="12" t="n">
        <v>7.4</v>
      </c>
      <c r="E834" s="12" t="n">
        <v>10</v>
      </c>
      <c r="F834" s="12">
        <f>ROUND(D834-E834,2)</f>
        <v/>
      </c>
      <c r="G834" s="15">
        <f>IFERROR(ROUND(F834/E834,4),"")</f>
        <v/>
      </c>
      <c r="H834" s="16">
        <f>IF(D834=0,"NO DATA",IF(D834&gt;E834*1.5,"OVER",IF(D834&gt;E834*1.1,"HIGH",IF(D834&lt;E834*0.5,"LOW","OK"))))</f>
        <v/>
      </c>
    </row>
    <row r="835" ht="22" customHeight="1">
      <c r="B835" s="5" t="inlineStr">
        <is>
          <t>MTR-DOM-006</t>
        </is>
      </c>
      <c r="C835" s="5" t="inlineStr">
        <is>
          <t>2024-04-14</t>
        </is>
      </c>
      <c r="D835" s="11" t="n">
        <v>4.66</v>
      </c>
      <c r="E835" s="11" t="n">
        <v>10</v>
      </c>
      <c r="F835" s="11">
        <f>ROUND(D835-E835,2)</f>
        <v/>
      </c>
      <c r="G835" s="13">
        <f>IFERROR(ROUND(F835/E835,4),"")</f>
        <v/>
      </c>
      <c r="H835" s="14">
        <f>IF(D835=0,"NO DATA",IF(D835&gt;E835*1.5,"OVER",IF(D835&gt;E835*1.1,"HIGH",IF(D835&lt;E835*0.5,"LOW","OK"))))</f>
        <v/>
      </c>
    </row>
    <row r="836" ht="22" customHeight="1">
      <c r="B836" s="8" t="inlineStr">
        <is>
          <t>MTR-DOM-006</t>
        </is>
      </c>
      <c r="C836" s="8" t="inlineStr">
        <is>
          <t>2024-04-15</t>
        </is>
      </c>
      <c r="D836" s="12" t="n">
        <v>10.96</v>
      </c>
      <c r="E836" s="12" t="n">
        <v>10</v>
      </c>
      <c r="F836" s="12">
        <f>ROUND(D836-E836,2)</f>
        <v/>
      </c>
      <c r="G836" s="15">
        <f>IFERROR(ROUND(F836/E836,4),"")</f>
        <v/>
      </c>
      <c r="H836" s="16">
        <f>IF(D836=0,"NO DATA",IF(D836&gt;E836*1.5,"OVER",IF(D836&gt;E836*1.1,"HIGH",IF(D836&lt;E836*0.5,"LOW","OK"))))</f>
        <v/>
      </c>
    </row>
    <row r="837" ht="22" customHeight="1">
      <c r="B837" s="5" t="inlineStr">
        <is>
          <t>MTR-DOM-006</t>
        </is>
      </c>
      <c r="C837" s="5" t="inlineStr">
        <is>
          <t>2024-04-16</t>
        </is>
      </c>
      <c r="D837" s="11" t="n">
        <v>9.93</v>
      </c>
      <c r="E837" s="11" t="n">
        <v>10</v>
      </c>
      <c r="F837" s="11">
        <f>ROUND(D837-E837,2)</f>
        <v/>
      </c>
      <c r="G837" s="13">
        <f>IFERROR(ROUND(F837/E837,4),"")</f>
        <v/>
      </c>
      <c r="H837" s="14">
        <f>IF(D837=0,"NO DATA",IF(D837&gt;E837*1.5,"OVER",IF(D837&gt;E837*1.1,"HIGH",IF(D837&lt;E837*0.5,"LOW","OK"))))</f>
        <v/>
      </c>
    </row>
    <row r="838" ht="22" customHeight="1">
      <c r="B838" s="8" t="inlineStr">
        <is>
          <t>MTR-DOM-006</t>
        </is>
      </c>
      <c r="C838" s="8" t="inlineStr">
        <is>
          <t>2024-04-17</t>
        </is>
      </c>
      <c r="D838" s="12" t="n">
        <v>10.98</v>
      </c>
      <c r="E838" s="12" t="n">
        <v>10</v>
      </c>
      <c r="F838" s="12">
        <f>ROUND(D838-E838,2)</f>
        <v/>
      </c>
      <c r="G838" s="15">
        <f>IFERROR(ROUND(F838/E838,4),"")</f>
        <v/>
      </c>
      <c r="H838" s="16">
        <f>IF(D838=0,"NO DATA",IF(D838&gt;E838*1.5,"OVER",IF(D838&gt;E838*1.1,"HIGH",IF(D838&lt;E838*0.5,"LOW","OK"))))</f>
        <v/>
      </c>
    </row>
    <row r="839" ht="22" customHeight="1">
      <c r="B839" s="5" t="inlineStr">
        <is>
          <t>MTR-DOM-006</t>
        </is>
      </c>
      <c r="C839" s="5" t="inlineStr">
        <is>
          <t>2024-04-18</t>
        </is>
      </c>
      <c r="D839" s="11" t="n">
        <v>9.91</v>
      </c>
      <c r="E839" s="11" t="n">
        <v>10</v>
      </c>
      <c r="F839" s="11">
        <f>ROUND(D839-E839,2)</f>
        <v/>
      </c>
      <c r="G839" s="13">
        <f>IFERROR(ROUND(F839/E839,4),"")</f>
        <v/>
      </c>
      <c r="H839" s="14">
        <f>IF(D839=0,"NO DATA",IF(D839&gt;E839*1.5,"OVER",IF(D839&gt;E839*1.1,"HIGH",IF(D839&lt;E839*0.5,"LOW","OK"))))</f>
        <v/>
      </c>
    </row>
    <row r="840" ht="22" customHeight="1">
      <c r="B840" s="8" t="inlineStr">
        <is>
          <t>MTR-DOM-006</t>
        </is>
      </c>
      <c r="C840" s="8" t="inlineStr">
        <is>
          <t>2024-04-19</t>
        </is>
      </c>
      <c r="D840" s="12" t="n">
        <v>8.94</v>
      </c>
      <c r="E840" s="12" t="n">
        <v>10</v>
      </c>
      <c r="F840" s="12">
        <f>ROUND(D840-E840,2)</f>
        <v/>
      </c>
      <c r="G840" s="15">
        <f>IFERROR(ROUND(F840/E840,4),"")</f>
        <v/>
      </c>
      <c r="H840" s="16">
        <f>IF(D840=0,"NO DATA",IF(D840&gt;E840*1.5,"OVER",IF(D840&gt;E840*1.1,"HIGH",IF(D840&lt;E840*0.5,"LOW","OK"))))</f>
        <v/>
      </c>
    </row>
    <row r="841" ht="22" customHeight="1">
      <c r="B841" s="5" t="inlineStr">
        <is>
          <t>MTR-DOM-006</t>
        </is>
      </c>
      <c r="C841" s="5" t="inlineStr">
        <is>
          <t>2024-04-20</t>
        </is>
      </c>
      <c r="D841" s="11" t="n">
        <v>8.59</v>
      </c>
      <c r="E841" s="11" t="n">
        <v>10</v>
      </c>
      <c r="F841" s="11">
        <f>ROUND(D841-E841,2)</f>
        <v/>
      </c>
      <c r="G841" s="13">
        <f>IFERROR(ROUND(F841/E841,4),"")</f>
        <v/>
      </c>
      <c r="H841" s="14">
        <f>IF(D841=0,"NO DATA",IF(D841&gt;E841*1.5,"OVER",IF(D841&gt;E841*1.1,"HIGH",IF(D841&lt;E841*0.5,"LOW","OK"))))</f>
        <v/>
      </c>
    </row>
    <row r="842" ht="22" customHeight="1">
      <c r="B842" s="8" t="inlineStr">
        <is>
          <t>MTR-DOM-006</t>
        </is>
      </c>
      <c r="C842" s="8" t="inlineStr">
        <is>
          <t>2024-04-21</t>
        </is>
      </c>
      <c r="D842" s="12" t="n">
        <v>5.52</v>
      </c>
      <c r="E842" s="12" t="n">
        <v>10</v>
      </c>
      <c r="F842" s="12">
        <f>ROUND(D842-E842,2)</f>
        <v/>
      </c>
      <c r="G842" s="15">
        <f>IFERROR(ROUND(F842/E842,4),"")</f>
        <v/>
      </c>
      <c r="H842" s="16">
        <f>IF(D842=0,"NO DATA",IF(D842&gt;E842*1.5,"OVER",IF(D842&gt;E842*1.1,"HIGH",IF(D842&lt;E842*0.5,"LOW","OK"))))</f>
        <v/>
      </c>
    </row>
    <row r="843" ht="22" customHeight="1">
      <c r="B843" s="5" t="inlineStr">
        <is>
          <t>MTR-DOM-006</t>
        </is>
      </c>
      <c r="C843" s="5" t="inlineStr">
        <is>
          <t>2024-04-22</t>
        </is>
      </c>
      <c r="D843" s="11" t="n">
        <v>9.6</v>
      </c>
      <c r="E843" s="11" t="n">
        <v>10</v>
      </c>
      <c r="F843" s="11">
        <f>ROUND(D843-E843,2)</f>
        <v/>
      </c>
      <c r="G843" s="13">
        <f>IFERROR(ROUND(F843/E843,4),"")</f>
        <v/>
      </c>
      <c r="H843" s="14">
        <f>IF(D843=0,"NO DATA",IF(D843&gt;E843*1.5,"OVER",IF(D843&gt;E843*1.1,"HIGH",IF(D843&lt;E843*0.5,"LOW","OK"))))</f>
        <v/>
      </c>
    </row>
    <row r="844" ht="22" customHeight="1">
      <c r="B844" s="8" t="inlineStr">
        <is>
          <t>MTR-DOM-006</t>
        </is>
      </c>
      <c r="C844" s="8" t="inlineStr">
        <is>
          <t>2024-04-23</t>
        </is>
      </c>
      <c r="D844" s="12" t="n">
        <v>9.039999999999999</v>
      </c>
      <c r="E844" s="12" t="n">
        <v>10</v>
      </c>
      <c r="F844" s="12">
        <f>ROUND(D844-E844,2)</f>
        <v/>
      </c>
      <c r="G844" s="15">
        <f>IFERROR(ROUND(F844/E844,4),"")</f>
        <v/>
      </c>
      <c r="H844" s="16">
        <f>IF(D844=0,"NO DATA",IF(D844&gt;E844*1.5,"OVER",IF(D844&gt;E844*1.1,"HIGH",IF(D844&lt;E844*0.5,"LOW","OK"))))</f>
        <v/>
      </c>
    </row>
    <row r="845" ht="22" customHeight="1">
      <c r="B845" s="5" t="inlineStr">
        <is>
          <t>MTR-DOM-006</t>
        </is>
      </c>
      <c r="C845" s="5" t="inlineStr">
        <is>
          <t>2024-04-24</t>
        </is>
      </c>
      <c r="D845" s="11" t="n">
        <v>9.24</v>
      </c>
      <c r="E845" s="11" t="n">
        <v>10</v>
      </c>
      <c r="F845" s="11">
        <f>ROUND(D845-E845,2)</f>
        <v/>
      </c>
      <c r="G845" s="13">
        <f>IFERROR(ROUND(F845/E845,4),"")</f>
        <v/>
      </c>
      <c r="H845" s="14">
        <f>IF(D845=0,"NO DATA",IF(D845&gt;E845*1.5,"OVER",IF(D845&gt;E845*1.1,"HIGH",IF(D845&lt;E845*0.5,"LOW","OK"))))</f>
        <v/>
      </c>
    </row>
    <row r="846" ht="22" customHeight="1">
      <c r="B846" s="8" t="inlineStr">
        <is>
          <t>MTR-DOM-006</t>
        </is>
      </c>
      <c r="C846" s="8" t="inlineStr">
        <is>
          <t>2024-04-25</t>
        </is>
      </c>
      <c r="D846" s="12" t="n">
        <v>9.109999999999999</v>
      </c>
      <c r="E846" s="12" t="n">
        <v>10</v>
      </c>
      <c r="F846" s="12">
        <f>ROUND(D846-E846,2)</f>
        <v/>
      </c>
      <c r="G846" s="15">
        <f>IFERROR(ROUND(F846/E846,4),"")</f>
        <v/>
      </c>
      <c r="H846" s="16">
        <f>IF(D846=0,"NO DATA",IF(D846&gt;E846*1.5,"OVER",IF(D846&gt;E846*1.1,"HIGH",IF(D846&lt;E846*0.5,"LOW","OK"))))</f>
        <v/>
      </c>
    </row>
    <row r="847" ht="22" customHeight="1">
      <c r="B847" s="5" t="inlineStr">
        <is>
          <t>MTR-DOM-006</t>
        </is>
      </c>
      <c r="C847" s="5" t="inlineStr">
        <is>
          <t>2024-04-26</t>
        </is>
      </c>
      <c r="D847" s="11" t="n">
        <v>8.779999999999999</v>
      </c>
      <c r="E847" s="11" t="n">
        <v>10</v>
      </c>
      <c r="F847" s="11">
        <f>ROUND(D847-E847,2)</f>
        <v/>
      </c>
      <c r="G847" s="13">
        <f>IFERROR(ROUND(F847/E847,4),"")</f>
        <v/>
      </c>
      <c r="H847" s="14">
        <f>IF(D847=0,"NO DATA",IF(D847&gt;E847*1.5,"OVER",IF(D847&gt;E847*1.1,"HIGH",IF(D847&lt;E847*0.5,"LOW","OK"))))</f>
        <v/>
      </c>
    </row>
    <row r="848" ht="22" customHeight="1">
      <c r="B848" s="8" t="inlineStr">
        <is>
          <t>MTR-DOM-006</t>
        </is>
      </c>
      <c r="C848" s="8" t="inlineStr">
        <is>
          <t>2024-04-27</t>
        </is>
      </c>
      <c r="D848" s="12" t="n">
        <v>8.42</v>
      </c>
      <c r="E848" s="12" t="n">
        <v>10</v>
      </c>
      <c r="F848" s="12">
        <f>ROUND(D848-E848,2)</f>
        <v/>
      </c>
      <c r="G848" s="15">
        <f>IFERROR(ROUND(F848/E848,4),"")</f>
        <v/>
      </c>
      <c r="H848" s="16">
        <f>IF(D848=0,"NO DATA",IF(D848&gt;E848*1.5,"OVER",IF(D848&gt;E848*1.1,"HIGH",IF(D848&lt;E848*0.5,"LOW","OK"))))</f>
        <v/>
      </c>
    </row>
    <row r="849" ht="22" customHeight="1">
      <c r="B849" s="5" t="inlineStr">
        <is>
          <t>MTR-DOM-006</t>
        </is>
      </c>
      <c r="C849" s="5" t="inlineStr">
        <is>
          <t>2024-04-28</t>
        </is>
      </c>
      <c r="D849" s="11" t="n">
        <v>5.98</v>
      </c>
      <c r="E849" s="11" t="n">
        <v>10</v>
      </c>
      <c r="F849" s="11">
        <f>ROUND(D849-E849,2)</f>
        <v/>
      </c>
      <c r="G849" s="13">
        <f>IFERROR(ROUND(F849/E849,4),"")</f>
        <v/>
      </c>
      <c r="H849" s="14">
        <f>IF(D849=0,"NO DATA",IF(D849&gt;E849*1.5,"OVER",IF(D849&gt;E849*1.1,"HIGH",IF(D849&lt;E849*0.5,"LOW","OK"))))</f>
        <v/>
      </c>
    </row>
    <row r="850" ht="22" customHeight="1">
      <c r="B850" s="8" t="inlineStr">
        <is>
          <t>MTR-DOM-006</t>
        </is>
      </c>
      <c r="C850" s="8" t="inlineStr">
        <is>
          <t>2024-04-29</t>
        </is>
      </c>
      <c r="D850" s="12" t="n">
        <v>10.18</v>
      </c>
      <c r="E850" s="12" t="n">
        <v>10</v>
      </c>
      <c r="F850" s="12">
        <f>ROUND(D850-E850,2)</f>
        <v/>
      </c>
      <c r="G850" s="15">
        <f>IFERROR(ROUND(F850/E850,4),"")</f>
        <v/>
      </c>
      <c r="H850" s="16">
        <f>IF(D850=0,"NO DATA",IF(D850&gt;E850*1.5,"OVER",IF(D850&gt;E850*1.1,"HIGH",IF(D850&lt;E850*0.5,"LOW","OK"))))</f>
        <v/>
      </c>
    </row>
    <row r="851" ht="22" customHeight="1">
      <c r="B851" s="5" t="inlineStr">
        <is>
          <t>MTR-DOM-006</t>
        </is>
      </c>
      <c r="C851" s="5" t="inlineStr">
        <is>
          <t>2024-04-30</t>
        </is>
      </c>
      <c r="D851" s="11" t="n">
        <v>11.06</v>
      </c>
      <c r="E851" s="11" t="n">
        <v>10</v>
      </c>
      <c r="F851" s="11">
        <f>ROUND(D851-E851,2)</f>
        <v/>
      </c>
      <c r="G851" s="13">
        <f>IFERROR(ROUND(F851/E851,4),"")</f>
        <v/>
      </c>
      <c r="H851" s="14">
        <f>IF(D851=0,"NO DATA",IF(D851&gt;E851*1.5,"OVER",IF(D851&gt;E851*1.1,"HIGH",IF(D851&lt;E851*0.5,"LOW","OK"))))</f>
        <v/>
      </c>
    </row>
    <row r="852" ht="22" customHeight="1">
      <c r="B852" s="8" t="inlineStr">
        <is>
          <t>MTR-DOM-006</t>
        </is>
      </c>
      <c r="C852" s="8" t="inlineStr">
        <is>
          <t>2024-05-01</t>
        </is>
      </c>
      <c r="D852" s="12" t="n">
        <v>11.58</v>
      </c>
      <c r="E852" s="12" t="n">
        <v>10</v>
      </c>
      <c r="F852" s="12">
        <f>ROUND(D852-E852,2)</f>
        <v/>
      </c>
      <c r="G852" s="15">
        <f>IFERROR(ROUND(F852/E852,4),"")</f>
        <v/>
      </c>
      <c r="H852" s="16">
        <f>IF(D852=0,"NO DATA",IF(D852&gt;E852*1.5,"OVER",IF(D852&gt;E852*1.1,"HIGH",IF(D852&lt;E852*0.5,"LOW","OK"))))</f>
        <v/>
      </c>
    </row>
    <row r="853" ht="22" customHeight="1">
      <c r="B853" s="5" t="inlineStr">
        <is>
          <t>MTR-DOM-006</t>
        </is>
      </c>
      <c r="C853" s="5" t="inlineStr">
        <is>
          <t>2024-05-02</t>
        </is>
      </c>
      <c r="D853" s="11" t="n">
        <v>11.41</v>
      </c>
      <c r="E853" s="11" t="n">
        <v>10</v>
      </c>
      <c r="F853" s="11">
        <f>ROUND(D853-E853,2)</f>
        <v/>
      </c>
      <c r="G853" s="13">
        <f>IFERROR(ROUND(F853/E853,4),"")</f>
        <v/>
      </c>
      <c r="H853" s="14">
        <f>IF(D853=0,"NO DATA",IF(D853&gt;E853*1.5,"OVER",IF(D853&gt;E853*1.1,"HIGH",IF(D853&lt;E853*0.5,"LOW","OK"))))</f>
        <v/>
      </c>
    </row>
    <row r="854" ht="22" customHeight="1">
      <c r="B854" s="8" t="inlineStr">
        <is>
          <t>MTR-DOM-006</t>
        </is>
      </c>
      <c r="C854" s="8" t="inlineStr">
        <is>
          <t>2024-05-03</t>
        </is>
      </c>
      <c r="D854" s="12" t="n">
        <v>11</v>
      </c>
      <c r="E854" s="12" t="n">
        <v>10</v>
      </c>
      <c r="F854" s="12">
        <f>ROUND(D854-E854,2)</f>
        <v/>
      </c>
      <c r="G854" s="15">
        <f>IFERROR(ROUND(F854/E854,4),"")</f>
        <v/>
      </c>
      <c r="H854" s="16">
        <f>IF(D854=0,"NO DATA",IF(D854&gt;E854*1.5,"OVER",IF(D854&gt;E854*1.1,"HIGH",IF(D854&lt;E854*0.5,"LOW","OK"))))</f>
        <v/>
      </c>
    </row>
    <row r="855" ht="22" customHeight="1">
      <c r="B855" s="5" t="inlineStr">
        <is>
          <t>MTR-DOM-006</t>
        </is>
      </c>
      <c r="C855" s="5" t="inlineStr">
        <is>
          <t>2024-05-04</t>
        </is>
      </c>
      <c r="D855" s="11" t="n">
        <v>8.859999999999999</v>
      </c>
      <c r="E855" s="11" t="n">
        <v>10</v>
      </c>
      <c r="F855" s="11">
        <f>ROUND(D855-E855,2)</f>
        <v/>
      </c>
      <c r="G855" s="13">
        <f>IFERROR(ROUND(F855/E855,4),"")</f>
        <v/>
      </c>
      <c r="H855" s="14">
        <f>IF(D855=0,"NO DATA",IF(D855&gt;E855*1.5,"OVER",IF(D855&gt;E855*1.1,"HIGH",IF(D855&lt;E855*0.5,"LOW","OK"))))</f>
        <v/>
      </c>
    </row>
    <row r="856" ht="22" customHeight="1">
      <c r="B856" s="8" t="inlineStr">
        <is>
          <t>MTR-DOM-006</t>
        </is>
      </c>
      <c r="C856" s="8" t="inlineStr">
        <is>
          <t>2024-05-05</t>
        </is>
      </c>
      <c r="D856" s="12" t="n">
        <v>5.72</v>
      </c>
      <c r="E856" s="12" t="n">
        <v>10</v>
      </c>
      <c r="F856" s="12">
        <f>ROUND(D856-E856,2)</f>
        <v/>
      </c>
      <c r="G856" s="15">
        <f>IFERROR(ROUND(F856/E856,4),"")</f>
        <v/>
      </c>
      <c r="H856" s="16">
        <f>IF(D856=0,"NO DATA",IF(D856&gt;E856*1.5,"OVER",IF(D856&gt;E856*1.1,"HIGH",IF(D856&lt;E856*0.5,"LOW","OK"))))</f>
        <v/>
      </c>
    </row>
    <row r="857" ht="22" customHeight="1">
      <c r="B857" s="5" t="inlineStr">
        <is>
          <t>MTR-DOM-006</t>
        </is>
      </c>
      <c r="C857" s="5" t="inlineStr">
        <is>
          <t>2024-05-06</t>
        </is>
      </c>
      <c r="D857" s="11" t="n">
        <v>10.39</v>
      </c>
      <c r="E857" s="11" t="n">
        <v>10</v>
      </c>
      <c r="F857" s="11">
        <f>ROUND(D857-E857,2)</f>
        <v/>
      </c>
      <c r="G857" s="13">
        <f>IFERROR(ROUND(F857/E857,4),"")</f>
        <v/>
      </c>
      <c r="H857" s="14">
        <f>IF(D857=0,"NO DATA",IF(D857&gt;E857*1.5,"OVER",IF(D857&gt;E857*1.1,"HIGH",IF(D857&lt;E857*0.5,"LOW","OK"))))</f>
        <v/>
      </c>
    </row>
    <row r="858" ht="22" customHeight="1">
      <c r="B858" s="8" t="inlineStr">
        <is>
          <t>MTR-DOM-006</t>
        </is>
      </c>
      <c r="C858" s="8" t="inlineStr">
        <is>
          <t>2024-05-07</t>
        </is>
      </c>
      <c r="D858" s="12" t="n">
        <v>11.5</v>
      </c>
      <c r="E858" s="12" t="n">
        <v>10</v>
      </c>
      <c r="F858" s="12">
        <f>ROUND(D858-E858,2)</f>
        <v/>
      </c>
      <c r="G858" s="15">
        <f>IFERROR(ROUND(F858/E858,4),"")</f>
        <v/>
      </c>
      <c r="H858" s="16">
        <f>IF(D858=0,"NO DATA",IF(D858&gt;E858*1.5,"OVER",IF(D858&gt;E858*1.1,"HIGH",IF(D858&lt;E858*0.5,"LOW","OK"))))</f>
        <v/>
      </c>
    </row>
    <row r="859" ht="22" customHeight="1">
      <c r="B859" s="5" t="inlineStr">
        <is>
          <t>MTR-DOM-006</t>
        </is>
      </c>
      <c r="C859" s="5" t="inlineStr">
        <is>
          <t>2024-05-08</t>
        </is>
      </c>
      <c r="D859" s="11" t="n">
        <v>11.77</v>
      </c>
      <c r="E859" s="11" t="n">
        <v>10</v>
      </c>
      <c r="F859" s="11">
        <f>ROUND(D859-E859,2)</f>
        <v/>
      </c>
      <c r="G859" s="13">
        <f>IFERROR(ROUND(F859/E859,4),"")</f>
        <v/>
      </c>
      <c r="H859" s="14">
        <f>IF(D859=0,"NO DATA",IF(D859&gt;E859*1.5,"OVER",IF(D859&gt;E859*1.1,"HIGH",IF(D859&lt;E859*0.5,"LOW","OK"))))</f>
        <v/>
      </c>
    </row>
    <row r="860" ht="22" customHeight="1">
      <c r="B860" s="8" t="inlineStr">
        <is>
          <t>MTR-DOM-006</t>
        </is>
      </c>
      <c r="C860" s="8" t="inlineStr">
        <is>
          <t>2024-05-09</t>
        </is>
      </c>
      <c r="D860" s="12" t="n">
        <v>11.97</v>
      </c>
      <c r="E860" s="12" t="n">
        <v>10</v>
      </c>
      <c r="F860" s="12">
        <f>ROUND(D860-E860,2)</f>
        <v/>
      </c>
      <c r="G860" s="15">
        <f>IFERROR(ROUND(F860/E860,4),"")</f>
        <v/>
      </c>
      <c r="H860" s="16">
        <f>IF(D860=0,"NO DATA",IF(D860&gt;E860*1.5,"OVER",IF(D860&gt;E860*1.1,"HIGH",IF(D860&lt;E860*0.5,"LOW","OK"))))</f>
        <v/>
      </c>
    </row>
    <row r="861" ht="22" customHeight="1">
      <c r="B861" s="5" t="inlineStr">
        <is>
          <t>MTR-DOM-006</t>
        </is>
      </c>
      <c r="C861" s="5" t="inlineStr">
        <is>
          <t>2024-05-10</t>
        </is>
      </c>
      <c r="D861" s="11" t="n">
        <v>10.34</v>
      </c>
      <c r="E861" s="11" t="n">
        <v>10</v>
      </c>
      <c r="F861" s="11">
        <f>ROUND(D861-E861,2)</f>
        <v/>
      </c>
      <c r="G861" s="13">
        <f>IFERROR(ROUND(F861/E861,4),"")</f>
        <v/>
      </c>
      <c r="H861" s="14">
        <f>IF(D861=0,"NO DATA",IF(D861&gt;E861*1.5,"OVER",IF(D861&gt;E861*1.1,"HIGH",IF(D861&lt;E861*0.5,"LOW","OK"))))</f>
        <v/>
      </c>
    </row>
    <row r="862" ht="22" customHeight="1">
      <c r="B862" s="8" t="inlineStr">
        <is>
          <t>MTR-DOM-006</t>
        </is>
      </c>
      <c r="C862" s="8" t="inlineStr">
        <is>
          <t>2024-05-11</t>
        </is>
      </c>
      <c r="D862" s="12" t="n">
        <v>9.449999999999999</v>
      </c>
      <c r="E862" s="12" t="n">
        <v>10</v>
      </c>
      <c r="F862" s="12">
        <f>ROUND(D862-E862,2)</f>
        <v/>
      </c>
      <c r="G862" s="15">
        <f>IFERROR(ROUND(F862/E862,4),"")</f>
        <v/>
      </c>
      <c r="H862" s="16">
        <f>IF(D862=0,"NO DATA",IF(D862&gt;E862*1.5,"OVER",IF(D862&gt;E862*1.1,"HIGH",IF(D862&lt;E862*0.5,"LOW","OK"))))</f>
        <v/>
      </c>
    </row>
    <row r="863" ht="22" customHeight="1">
      <c r="B863" s="5" t="inlineStr">
        <is>
          <t>MTR-DOM-006</t>
        </is>
      </c>
      <c r="C863" s="5" t="inlineStr">
        <is>
          <t>2024-05-12</t>
        </is>
      </c>
      <c r="D863" s="11" t="n">
        <v>4.97</v>
      </c>
      <c r="E863" s="11" t="n">
        <v>10</v>
      </c>
      <c r="F863" s="11">
        <f>ROUND(D863-E863,2)</f>
        <v/>
      </c>
      <c r="G863" s="13">
        <f>IFERROR(ROUND(F863/E863,4),"")</f>
        <v/>
      </c>
      <c r="H863" s="14">
        <f>IF(D863=0,"NO DATA",IF(D863&gt;E863*1.5,"OVER",IF(D863&gt;E863*1.1,"HIGH",IF(D863&lt;E863*0.5,"LOW","OK"))))</f>
        <v/>
      </c>
    </row>
    <row r="864" ht="22" customHeight="1">
      <c r="B864" s="8" t="inlineStr">
        <is>
          <t>MTR-DOM-006</t>
        </is>
      </c>
      <c r="C864" s="8" t="inlineStr">
        <is>
          <t>2024-05-13</t>
        </is>
      </c>
      <c r="D864" s="12" t="n">
        <v>10.94</v>
      </c>
      <c r="E864" s="12" t="n">
        <v>10</v>
      </c>
      <c r="F864" s="12">
        <f>ROUND(D864-E864,2)</f>
        <v/>
      </c>
      <c r="G864" s="15">
        <f>IFERROR(ROUND(F864/E864,4),"")</f>
        <v/>
      </c>
      <c r="H864" s="16">
        <f>IF(D864=0,"NO DATA",IF(D864&gt;E864*1.5,"OVER",IF(D864&gt;E864*1.1,"HIGH",IF(D864&lt;E864*0.5,"LOW","OK"))))</f>
        <v/>
      </c>
    </row>
    <row r="865" ht="22" customHeight="1">
      <c r="B865" s="5" t="inlineStr">
        <is>
          <t>MTR-DOM-006</t>
        </is>
      </c>
      <c r="C865" s="5" t="inlineStr">
        <is>
          <t>2024-05-14</t>
        </is>
      </c>
      <c r="D865" s="11" t="n">
        <v>12.12</v>
      </c>
      <c r="E865" s="11" t="n">
        <v>10</v>
      </c>
      <c r="F865" s="11">
        <f>ROUND(D865-E865,2)</f>
        <v/>
      </c>
      <c r="G865" s="13">
        <f>IFERROR(ROUND(F865/E865,4),"")</f>
        <v/>
      </c>
      <c r="H865" s="14">
        <f>IF(D865=0,"NO DATA",IF(D865&gt;E865*1.5,"OVER",IF(D865&gt;E865*1.1,"HIGH",IF(D865&lt;E865*0.5,"LOW","OK"))))</f>
        <v/>
      </c>
    </row>
    <row r="866" ht="22" customHeight="1">
      <c r="B866" s="8" t="inlineStr">
        <is>
          <t>MTR-DOM-006</t>
        </is>
      </c>
      <c r="C866" s="8" t="inlineStr">
        <is>
          <t>2024-05-15</t>
        </is>
      </c>
      <c r="D866" s="12" t="n">
        <v>11.03</v>
      </c>
      <c r="E866" s="12" t="n">
        <v>10</v>
      </c>
      <c r="F866" s="12">
        <f>ROUND(D866-E866,2)</f>
        <v/>
      </c>
      <c r="G866" s="15">
        <f>IFERROR(ROUND(F866/E866,4),"")</f>
        <v/>
      </c>
      <c r="H866" s="16">
        <f>IF(D866=0,"NO DATA",IF(D866&gt;E866*1.5,"OVER",IF(D866&gt;E866*1.1,"HIGH",IF(D866&lt;E866*0.5,"LOW","OK"))))</f>
        <v/>
      </c>
    </row>
    <row r="867" ht="22" customHeight="1">
      <c r="B867" s="5" t="inlineStr">
        <is>
          <t>MTR-DOM-006</t>
        </is>
      </c>
      <c r="C867" s="5" t="inlineStr">
        <is>
          <t>2024-05-16</t>
        </is>
      </c>
      <c r="D867" s="11" t="n">
        <v>9.460000000000001</v>
      </c>
      <c r="E867" s="11" t="n">
        <v>10</v>
      </c>
      <c r="F867" s="11">
        <f>ROUND(D867-E867,2)</f>
        <v/>
      </c>
      <c r="G867" s="13">
        <f>IFERROR(ROUND(F867/E867,4),"")</f>
        <v/>
      </c>
      <c r="H867" s="14">
        <f>IF(D867=0,"NO DATA",IF(D867&gt;E867*1.5,"OVER",IF(D867&gt;E867*1.1,"HIGH",IF(D867&lt;E867*0.5,"LOW","OK"))))</f>
        <v/>
      </c>
    </row>
    <row r="868" ht="22" customHeight="1">
      <c r="B868" s="8" t="inlineStr">
        <is>
          <t>MTR-DOM-006</t>
        </is>
      </c>
      <c r="C868" s="8" t="inlineStr">
        <is>
          <t>2024-05-17</t>
        </is>
      </c>
      <c r="D868" s="12" t="n">
        <v>12.15</v>
      </c>
      <c r="E868" s="12" t="n">
        <v>10</v>
      </c>
      <c r="F868" s="12">
        <f>ROUND(D868-E868,2)</f>
        <v/>
      </c>
      <c r="G868" s="15">
        <f>IFERROR(ROUND(F868/E868,4),"")</f>
        <v/>
      </c>
      <c r="H868" s="16">
        <f>IF(D868=0,"NO DATA",IF(D868&gt;E868*1.5,"OVER",IF(D868&gt;E868*1.1,"HIGH",IF(D868&lt;E868*0.5,"LOW","OK"))))</f>
        <v/>
      </c>
    </row>
    <row r="869" ht="22" customHeight="1">
      <c r="B869" s="5" t="inlineStr">
        <is>
          <t>MTR-DOM-006</t>
        </is>
      </c>
      <c r="C869" s="5" t="inlineStr">
        <is>
          <t>2024-05-18</t>
        </is>
      </c>
      <c r="D869" s="11" t="n">
        <v>9.07</v>
      </c>
      <c r="E869" s="11" t="n">
        <v>10</v>
      </c>
      <c r="F869" s="11">
        <f>ROUND(D869-E869,2)</f>
        <v/>
      </c>
      <c r="G869" s="13">
        <f>IFERROR(ROUND(F869/E869,4),"")</f>
        <v/>
      </c>
      <c r="H869" s="14">
        <f>IF(D869=0,"NO DATA",IF(D869&gt;E869*1.5,"OVER",IF(D869&gt;E869*1.1,"HIGH",IF(D869&lt;E869*0.5,"LOW","OK"))))</f>
        <v/>
      </c>
    </row>
    <row r="870" ht="22" customHeight="1">
      <c r="B870" s="8" t="inlineStr">
        <is>
          <t>MTR-DOM-006</t>
        </is>
      </c>
      <c r="C870" s="8" t="inlineStr">
        <is>
          <t>2024-05-19</t>
        </is>
      </c>
      <c r="D870" s="12" t="n">
        <v>5.73</v>
      </c>
      <c r="E870" s="12" t="n">
        <v>10</v>
      </c>
      <c r="F870" s="12">
        <f>ROUND(D870-E870,2)</f>
        <v/>
      </c>
      <c r="G870" s="15">
        <f>IFERROR(ROUND(F870/E870,4),"")</f>
        <v/>
      </c>
      <c r="H870" s="16">
        <f>IF(D870=0,"NO DATA",IF(D870&gt;E870*1.5,"OVER",IF(D870&gt;E870*1.1,"HIGH",IF(D870&lt;E870*0.5,"LOW","OK"))))</f>
        <v/>
      </c>
    </row>
    <row r="871" ht="22" customHeight="1">
      <c r="B871" s="5" t="inlineStr">
        <is>
          <t>MTR-DOM-006</t>
        </is>
      </c>
      <c r="C871" s="5" t="inlineStr">
        <is>
          <t>2024-05-20</t>
        </is>
      </c>
      <c r="D871" s="11" t="n">
        <v>11.65</v>
      </c>
      <c r="E871" s="11" t="n">
        <v>10</v>
      </c>
      <c r="F871" s="11">
        <f>ROUND(D871-E871,2)</f>
        <v/>
      </c>
      <c r="G871" s="13">
        <f>IFERROR(ROUND(F871/E871,4),"")</f>
        <v/>
      </c>
      <c r="H871" s="14">
        <f>IF(D871=0,"NO DATA",IF(D871&gt;E871*1.5,"OVER",IF(D871&gt;E871*1.1,"HIGH",IF(D871&lt;E871*0.5,"LOW","OK"))))</f>
        <v/>
      </c>
    </row>
    <row r="872" ht="22" customHeight="1">
      <c r="B872" s="8" t="inlineStr">
        <is>
          <t>MTR-DOM-006</t>
        </is>
      </c>
      <c r="C872" s="8" t="inlineStr">
        <is>
          <t>2024-05-21</t>
        </is>
      </c>
      <c r="D872" s="12" t="n">
        <v>10.81</v>
      </c>
      <c r="E872" s="12" t="n">
        <v>10</v>
      </c>
      <c r="F872" s="12">
        <f>ROUND(D872-E872,2)</f>
        <v/>
      </c>
      <c r="G872" s="15">
        <f>IFERROR(ROUND(F872/E872,4),"")</f>
        <v/>
      </c>
      <c r="H872" s="16">
        <f>IF(D872=0,"NO DATA",IF(D872&gt;E872*1.5,"OVER",IF(D872&gt;E872*1.1,"HIGH",IF(D872&lt;E872*0.5,"LOW","OK"))))</f>
        <v/>
      </c>
    </row>
    <row r="873" ht="22" customHeight="1">
      <c r="B873" s="5" t="inlineStr">
        <is>
          <t>MTR-DOM-006</t>
        </is>
      </c>
      <c r="C873" s="5" t="inlineStr">
        <is>
          <t>2024-05-22</t>
        </is>
      </c>
      <c r="D873" s="11" t="n">
        <v>11.77</v>
      </c>
      <c r="E873" s="11" t="n">
        <v>10</v>
      </c>
      <c r="F873" s="11">
        <f>ROUND(D873-E873,2)</f>
        <v/>
      </c>
      <c r="G873" s="13">
        <f>IFERROR(ROUND(F873/E873,4),"")</f>
        <v/>
      </c>
      <c r="H873" s="14">
        <f>IF(D873=0,"NO DATA",IF(D873&gt;E873*1.5,"OVER",IF(D873&gt;E873*1.1,"HIGH",IF(D873&lt;E873*0.5,"LOW","OK"))))</f>
        <v/>
      </c>
    </row>
    <row r="874" ht="22" customHeight="1">
      <c r="B874" s="8" t="inlineStr">
        <is>
          <t>MTR-DOM-006</t>
        </is>
      </c>
      <c r="C874" s="8" t="inlineStr">
        <is>
          <t>2024-05-23</t>
        </is>
      </c>
      <c r="D874" s="12" t="n">
        <v>11.45</v>
      </c>
      <c r="E874" s="12" t="n">
        <v>10</v>
      </c>
      <c r="F874" s="12">
        <f>ROUND(D874-E874,2)</f>
        <v/>
      </c>
      <c r="G874" s="15">
        <f>IFERROR(ROUND(F874/E874,4),"")</f>
        <v/>
      </c>
      <c r="H874" s="16">
        <f>IF(D874=0,"NO DATA",IF(D874&gt;E874*1.5,"OVER",IF(D874&gt;E874*1.1,"HIGH",IF(D874&lt;E874*0.5,"LOW","OK"))))</f>
        <v/>
      </c>
    </row>
    <row r="875" ht="22" customHeight="1">
      <c r="B875" s="5" t="inlineStr">
        <is>
          <t>MTR-DOM-006</t>
        </is>
      </c>
      <c r="C875" s="5" t="inlineStr">
        <is>
          <t>2024-05-24</t>
        </is>
      </c>
      <c r="D875" s="11" t="n">
        <v>10.52</v>
      </c>
      <c r="E875" s="11" t="n">
        <v>10</v>
      </c>
      <c r="F875" s="11">
        <f>ROUND(D875-E875,2)</f>
        <v/>
      </c>
      <c r="G875" s="13">
        <f>IFERROR(ROUND(F875/E875,4),"")</f>
        <v/>
      </c>
      <c r="H875" s="14">
        <f>IF(D875=0,"NO DATA",IF(D875&gt;E875*1.5,"OVER",IF(D875&gt;E875*1.1,"HIGH",IF(D875&lt;E875*0.5,"LOW","OK"))))</f>
        <v/>
      </c>
    </row>
    <row r="876" ht="22" customHeight="1">
      <c r="B876" s="8" t="inlineStr">
        <is>
          <t>MTR-DOM-006</t>
        </is>
      </c>
      <c r="C876" s="8" t="inlineStr">
        <is>
          <t>2024-05-25</t>
        </is>
      </c>
      <c r="D876" s="12" t="n">
        <v>9.68</v>
      </c>
      <c r="E876" s="12" t="n">
        <v>10</v>
      </c>
      <c r="F876" s="12">
        <f>ROUND(D876-E876,2)</f>
        <v/>
      </c>
      <c r="G876" s="15">
        <f>IFERROR(ROUND(F876/E876,4),"")</f>
        <v/>
      </c>
      <c r="H876" s="16">
        <f>IF(D876=0,"NO DATA",IF(D876&gt;E876*1.5,"OVER",IF(D876&gt;E876*1.1,"HIGH",IF(D876&lt;E876*0.5,"LOW","OK"))))</f>
        <v/>
      </c>
    </row>
    <row r="877" ht="22" customHeight="1">
      <c r="B877" s="5" t="inlineStr">
        <is>
          <t>MTR-DOM-006</t>
        </is>
      </c>
      <c r="C877" s="5" t="inlineStr">
        <is>
          <t>2024-05-26</t>
        </is>
      </c>
      <c r="D877" s="11" t="n">
        <v>5.17</v>
      </c>
      <c r="E877" s="11" t="n">
        <v>10</v>
      </c>
      <c r="F877" s="11">
        <f>ROUND(D877-E877,2)</f>
        <v/>
      </c>
      <c r="G877" s="13">
        <f>IFERROR(ROUND(F877/E877,4),"")</f>
        <v/>
      </c>
      <c r="H877" s="14">
        <f>IF(D877=0,"NO DATA",IF(D877&gt;E877*1.5,"OVER",IF(D877&gt;E877*1.1,"HIGH",IF(D877&lt;E877*0.5,"LOW","OK"))))</f>
        <v/>
      </c>
    </row>
    <row r="878" ht="22" customHeight="1">
      <c r="B878" s="8" t="inlineStr">
        <is>
          <t>MTR-DOM-006</t>
        </is>
      </c>
      <c r="C878" s="8" t="inlineStr">
        <is>
          <t>2024-05-27</t>
        </is>
      </c>
      <c r="D878" s="12" t="n">
        <v>9.84</v>
      </c>
      <c r="E878" s="12" t="n">
        <v>10</v>
      </c>
      <c r="F878" s="12">
        <f>ROUND(D878-E878,2)</f>
        <v/>
      </c>
      <c r="G878" s="15">
        <f>IFERROR(ROUND(F878/E878,4),"")</f>
        <v/>
      </c>
      <c r="H878" s="16">
        <f>IF(D878=0,"NO DATA",IF(D878&gt;E878*1.5,"OVER",IF(D878&gt;E878*1.1,"HIGH",IF(D878&lt;E878*0.5,"LOW","OK"))))</f>
        <v/>
      </c>
    </row>
    <row r="879" ht="22" customHeight="1">
      <c r="B879" s="5" t="inlineStr">
        <is>
          <t>MTR-DOM-006</t>
        </is>
      </c>
      <c r="C879" s="5" t="inlineStr">
        <is>
          <t>2024-05-28</t>
        </is>
      </c>
      <c r="D879" s="11" t="n">
        <v>10.41</v>
      </c>
      <c r="E879" s="11" t="n">
        <v>10</v>
      </c>
      <c r="F879" s="11">
        <f>ROUND(D879-E879,2)</f>
        <v/>
      </c>
      <c r="G879" s="13">
        <f>IFERROR(ROUND(F879/E879,4),"")</f>
        <v/>
      </c>
      <c r="H879" s="14">
        <f>IF(D879=0,"NO DATA",IF(D879&gt;E879*1.5,"OVER",IF(D879&gt;E879*1.1,"HIGH",IF(D879&lt;E879*0.5,"LOW","OK"))))</f>
        <v/>
      </c>
    </row>
    <row r="880" ht="22" customHeight="1">
      <c r="B880" s="8" t="inlineStr">
        <is>
          <t>MTR-DOM-006</t>
        </is>
      </c>
      <c r="C880" s="8" t="inlineStr">
        <is>
          <t>2024-05-29</t>
        </is>
      </c>
      <c r="D880" s="12" t="n">
        <v>9.23</v>
      </c>
      <c r="E880" s="12" t="n">
        <v>10</v>
      </c>
      <c r="F880" s="12">
        <f>ROUND(D880-E880,2)</f>
        <v/>
      </c>
      <c r="G880" s="15">
        <f>IFERROR(ROUND(F880/E880,4),"")</f>
        <v/>
      </c>
      <c r="H880" s="16">
        <f>IF(D880=0,"NO DATA",IF(D880&gt;E880*1.5,"OVER",IF(D880&gt;E880*1.1,"HIGH",IF(D880&lt;E880*0.5,"LOW","OK"))))</f>
        <v/>
      </c>
    </row>
    <row r="881" ht="22" customHeight="1">
      <c r="B881" s="5" t="inlineStr">
        <is>
          <t>MTR-DOM-006</t>
        </is>
      </c>
      <c r="C881" s="5" t="inlineStr">
        <is>
          <t>2024-05-30</t>
        </is>
      </c>
      <c r="D881" s="11" t="n">
        <v>9.109999999999999</v>
      </c>
      <c r="E881" s="11" t="n">
        <v>10</v>
      </c>
      <c r="F881" s="11">
        <f>ROUND(D881-E881,2)</f>
        <v/>
      </c>
      <c r="G881" s="13">
        <f>IFERROR(ROUND(F881/E881,4),"")</f>
        <v/>
      </c>
      <c r="H881" s="14">
        <f>IF(D881=0,"NO DATA",IF(D881&gt;E881*1.5,"OVER",IF(D881&gt;E881*1.1,"HIGH",IF(D881&lt;E881*0.5,"LOW","OK"))))</f>
        <v/>
      </c>
    </row>
    <row r="882" ht="22" customHeight="1">
      <c r="B882" s="8" t="inlineStr">
        <is>
          <t>MTR-DOM-006</t>
        </is>
      </c>
      <c r="C882" s="8" t="inlineStr">
        <is>
          <t>2024-05-31</t>
        </is>
      </c>
      <c r="D882" s="12" t="n">
        <v>10.18</v>
      </c>
      <c r="E882" s="12" t="n">
        <v>10</v>
      </c>
      <c r="F882" s="12">
        <f>ROUND(D882-E882,2)</f>
        <v/>
      </c>
      <c r="G882" s="15">
        <f>IFERROR(ROUND(F882/E882,4),"")</f>
        <v/>
      </c>
      <c r="H882" s="16">
        <f>IF(D882=0,"NO DATA",IF(D882&gt;E882*1.5,"OVER",IF(D882&gt;E882*1.1,"HIGH",IF(D882&lt;E882*0.5,"LOW","OK"))))</f>
        <v/>
      </c>
    </row>
    <row r="883" ht="22" customHeight="1">
      <c r="B883" s="5" t="inlineStr">
        <is>
          <t>MTR-DOM-006</t>
        </is>
      </c>
      <c r="C883" s="5" t="inlineStr">
        <is>
          <t>2024-06-01</t>
        </is>
      </c>
      <c r="D883" s="11" t="n">
        <v>8.84</v>
      </c>
      <c r="E883" s="11" t="n">
        <v>10</v>
      </c>
      <c r="F883" s="11">
        <f>ROUND(D883-E883,2)</f>
        <v/>
      </c>
      <c r="G883" s="13">
        <f>IFERROR(ROUND(F883/E883,4),"")</f>
        <v/>
      </c>
      <c r="H883" s="14">
        <f>IF(D883=0,"NO DATA",IF(D883&gt;E883*1.5,"OVER",IF(D883&gt;E883*1.1,"HIGH",IF(D883&lt;E883*0.5,"LOW","OK"))))</f>
        <v/>
      </c>
    </row>
    <row r="884" ht="22" customHeight="1">
      <c r="B884" s="8" t="inlineStr">
        <is>
          <t>MTR-DOM-006</t>
        </is>
      </c>
      <c r="C884" s="8" t="inlineStr">
        <is>
          <t>2024-06-02</t>
        </is>
      </c>
      <c r="D884" s="12" t="n">
        <v>6.3</v>
      </c>
      <c r="E884" s="12" t="n">
        <v>10</v>
      </c>
      <c r="F884" s="12">
        <f>ROUND(D884-E884,2)</f>
        <v/>
      </c>
      <c r="G884" s="15">
        <f>IFERROR(ROUND(F884/E884,4),"")</f>
        <v/>
      </c>
      <c r="H884" s="16">
        <f>IF(D884=0,"NO DATA",IF(D884&gt;E884*1.5,"OVER",IF(D884&gt;E884*1.1,"HIGH",IF(D884&lt;E884*0.5,"LOW","OK"))))</f>
        <v/>
      </c>
    </row>
    <row r="885" ht="22" customHeight="1">
      <c r="B885" s="5" t="inlineStr">
        <is>
          <t>MTR-DOM-006</t>
        </is>
      </c>
      <c r="C885" s="5" t="inlineStr">
        <is>
          <t>2024-06-03</t>
        </is>
      </c>
      <c r="D885" s="11" t="n">
        <v>10.18</v>
      </c>
      <c r="E885" s="11" t="n">
        <v>10</v>
      </c>
      <c r="F885" s="11">
        <f>ROUND(D885-E885,2)</f>
        <v/>
      </c>
      <c r="G885" s="13">
        <f>IFERROR(ROUND(F885/E885,4),"")</f>
        <v/>
      </c>
      <c r="H885" s="14">
        <f>IF(D885=0,"NO DATA",IF(D885&gt;E885*1.5,"OVER",IF(D885&gt;E885*1.1,"HIGH",IF(D885&lt;E885*0.5,"LOW","OK"))))</f>
        <v/>
      </c>
    </row>
    <row r="886" ht="22" customHeight="1">
      <c r="B886" s="8" t="inlineStr">
        <is>
          <t>MTR-DOM-006</t>
        </is>
      </c>
      <c r="C886" s="8" t="inlineStr">
        <is>
          <t>2024-06-04</t>
        </is>
      </c>
      <c r="D886" s="12" t="n">
        <v>10.01</v>
      </c>
      <c r="E886" s="12" t="n">
        <v>10</v>
      </c>
      <c r="F886" s="12">
        <f>ROUND(D886-E886,2)</f>
        <v/>
      </c>
      <c r="G886" s="15">
        <f>IFERROR(ROUND(F886/E886,4),"")</f>
        <v/>
      </c>
      <c r="H886" s="16">
        <f>IF(D886=0,"NO DATA",IF(D886&gt;E886*1.5,"OVER",IF(D886&gt;E886*1.1,"HIGH",IF(D886&lt;E886*0.5,"LOW","OK"))))</f>
        <v/>
      </c>
    </row>
    <row r="887" ht="22" customHeight="1">
      <c r="B887" s="5" t="inlineStr">
        <is>
          <t>MTR-DOM-006</t>
        </is>
      </c>
      <c r="C887" s="5" t="inlineStr">
        <is>
          <t>2024-06-05</t>
        </is>
      </c>
      <c r="D887" s="11" t="n">
        <v>12.5</v>
      </c>
      <c r="E887" s="11" t="n">
        <v>10</v>
      </c>
      <c r="F887" s="11">
        <f>ROUND(D887-E887,2)</f>
        <v/>
      </c>
      <c r="G887" s="13">
        <f>IFERROR(ROUND(F887/E887,4),"")</f>
        <v/>
      </c>
      <c r="H887" s="14">
        <f>IF(D887=0,"NO DATA",IF(D887&gt;E887*1.5,"OVER",IF(D887&gt;E887*1.1,"HIGH",IF(D887&lt;E887*0.5,"LOW","OK"))))</f>
        <v/>
      </c>
    </row>
    <row r="888" ht="22" customHeight="1">
      <c r="B888" s="8" t="inlineStr">
        <is>
          <t>MTR-DOM-006</t>
        </is>
      </c>
      <c r="C888" s="8" t="inlineStr">
        <is>
          <t>2024-06-06</t>
        </is>
      </c>
      <c r="D888" s="12" t="n">
        <v>10.36</v>
      </c>
      <c r="E888" s="12" t="n">
        <v>10</v>
      </c>
      <c r="F888" s="12">
        <f>ROUND(D888-E888,2)</f>
        <v/>
      </c>
      <c r="G888" s="15">
        <f>IFERROR(ROUND(F888/E888,4),"")</f>
        <v/>
      </c>
      <c r="H888" s="16">
        <f>IF(D888=0,"NO DATA",IF(D888&gt;E888*1.5,"OVER",IF(D888&gt;E888*1.1,"HIGH",IF(D888&lt;E888*0.5,"LOW","OK"))))</f>
        <v/>
      </c>
    </row>
    <row r="889" ht="22" customHeight="1">
      <c r="B889" s="5" t="inlineStr">
        <is>
          <t>MTR-DOM-006</t>
        </is>
      </c>
      <c r="C889" s="5" t="inlineStr">
        <is>
          <t>2024-06-07</t>
        </is>
      </c>
      <c r="D889" s="11" t="n">
        <v>9.77</v>
      </c>
      <c r="E889" s="11" t="n">
        <v>10</v>
      </c>
      <c r="F889" s="11">
        <f>ROUND(D889-E889,2)</f>
        <v/>
      </c>
      <c r="G889" s="13">
        <f>IFERROR(ROUND(F889/E889,4),"")</f>
        <v/>
      </c>
      <c r="H889" s="14">
        <f>IF(D889=0,"NO DATA",IF(D889&gt;E889*1.5,"OVER",IF(D889&gt;E889*1.1,"HIGH",IF(D889&lt;E889*0.5,"LOW","OK"))))</f>
        <v/>
      </c>
    </row>
    <row r="890" ht="22" customHeight="1">
      <c r="B890" s="8" t="inlineStr">
        <is>
          <t>MTR-DOM-006</t>
        </is>
      </c>
      <c r="C890" s="8" t="inlineStr">
        <is>
          <t>2024-06-08</t>
        </is>
      </c>
      <c r="D890" s="12" t="n">
        <v>9.1</v>
      </c>
      <c r="E890" s="12" t="n">
        <v>10</v>
      </c>
      <c r="F890" s="12">
        <f>ROUND(D890-E890,2)</f>
        <v/>
      </c>
      <c r="G890" s="15">
        <f>IFERROR(ROUND(F890/E890,4),"")</f>
        <v/>
      </c>
      <c r="H890" s="16">
        <f>IF(D890=0,"NO DATA",IF(D890&gt;E890*1.5,"OVER",IF(D890&gt;E890*1.1,"HIGH",IF(D890&lt;E890*0.5,"LOW","OK"))))</f>
        <v/>
      </c>
    </row>
    <row r="891" ht="22" customHeight="1">
      <c r="B891" s="5" t="inlineStr">
        <is>
          <t>MTR-DOM-006</t>
        </is>
      </c>
      <c r="C891" s="5" t="inlineStr">
        <is>
          <t>2024-06-09</t>
        </is>
      </c>
      <c r="D891" s="11" t="n">
        <v>4.91</v>
      </c>
      <c r="E891" s="11" t="n">
        <v>10</v>
      </c>
      <c r="F891" s="11">
        <f>ROUND(D891-E891,2)</f>
        <v/>
      </c>
      <c r="G891" s="13">
        <f>IFERROR(ROUND(F891/E891,4),"")</f>
        <v/>
      </c>
      <c r="H891" s="14">
        <f>IF(D891=0,"NO DATA",IF(D891&gt;E891*1.5,"OVER",IF(D891&gt;E891*1.1,"HIGH",IF(D891&lt;E891*0.5,"LOW","OK"))))</f>
        <v/>
      </c>
    </row>
    <row r="892" ht="22" customHeight="1">
      <c r="B892" s="8" t="inlineStr">
        <is>
          <t>MTR-DOM-006</t>
        </is>
      </c>
      <c r="C892" s="8" t="inlineStr">
        <is>
          <t>2024-06-10</t>
        </is>
      </c>
      <c r="D892" s="12" t="n">
        <v>11.02</v>
      </c>
      <c r="E892" s="12" t="n">
        <v>10</v>
      </c>
      <c r="F892" s="12">
        <f>ROUND(D892-E892,2)</f>
        <v/>
      </c>
      <c r="G892" s="15">
        <f>IFERROR(ROUND(F892/E892,4),"")</f>
        <v/>
      </c>
      <c r="H892" s="16">
        <f>IF(D892=0,"NO DATA",IF(D892&gt;E892*1.5,"OVER",IF(D892&gt;E892*1.1,"HIGH",IF(D892&lt;E892*0.5,"LOW","OK"))))</f>
        <v/>
      </c>
    </row>
    <row r="893" ht="22" customHeight="1">
      <c r="B893" s="5" t="inlineStr">
        <is>
          <t>MTR-DOM-006</t>
        </is>
      </c>
      <c r="C893" s="5" t="inlineStr">
        <is>
          <t>2024-06-11</t>
        </is>
      </c>
      <c r="D893" s="11" t="n">
        <v>10.82</v>
      </c>
      <c r="E893" s="11" t="n">
        <v>10</v>
      </c>
      <c r="F893" s="11">
        <f>ROUND(D893-E893,2)</f>
        <v/>
      </c>
      <c r="G893" s="13">
        <f>IFERROR(ROUND(F893/E893,4),"")</f>
        <v/>
      </c>
      <c r="H893" s="14">
        <f>IF(D893=0,"NO DATA",IF(D893&gt;E893*1.5,"OVER",IF(D893&gt;E893*1.1,"HIGH",IF(D893&lt;E893*0.5,"LOW","OK"))))</f>
        <v/>
      </c>
    </row>
    <row r="894" ht="22" customHeight="1">
      <c r="B894" s="8" t="inlineStr">
        <is>
          <t>MTR-DOM-006</t>
        </is>
      </c>
      <c r="C894" s="8" t="inlineStr">
        <is>
          <t>2024-06-12</t>
        </is>
      </c>
      <c r="D894" s="12" t="n">
        <v>11.07</v>
      </c>
      <c r="E894" s="12" t="n">
        <v>10</v>
      </c>
      <c r="F894" s="12">
        <f>ROUND(D894-E894,2)</f>
        <v/>
      </c>
      <c r="G894" s="15">
        <f>IFERROR(ROUND(F894/E894,4),"")</f>
        <v/>
      </c>
      <c r="H894" s="16">
        <f>IF(D894=0,"NO DATA",IF(D894&gt;E894*1.5,"OVER",IF(D894&gt;E894*1.1,"HIGH",IF(D894&lt;E894*0.5,"LOW","OK"))))</f>
        <v/>
      </c>
    </row>
    <row r="895" ht="22" customHeight="1">
      <c r="B895" s="5" t="inlineStr">
        <is>
          <t>MTR-DOM-006</t>
        </is>
      </c>
      <c r="C895" s="5" t="inlineStr">
        <is>
          <t>2024-06-13</t>
        </is>
      </c>
      <c r="D895" s="11" t="n">
        <v>10.05</v>
      </c>
      <c r="E895" s="11" t="n">
        <v>10</v>
      </c>
      <c r="F895" s="11">
        <f>ROUND(D895-E895,2)</f>
        <v/>
      </c>
      <c r="G895" s="13">
        <f>IFERROR(ROUND(F895/E895,4),"")</f>
        <v/>
      </c>
      <c r="H895" s="14">
        <f>IF(D895=0,"NO DATA",IF(D895&gt;E895*1.5,"OVER",IF(D895&gt;E895*1.1,"HIGH",IF(D895&lt;E895*0.5,"LOW","OK"))))</f>
        <v/>
      </c>
    </row>
    <row r="896" ht="22" customHeight="1">
      <c r="B896" s="8" t="inlineStr">
        <is>
          <t>MTR-DOM-006</t>
        </is>
      </c>
      <c r="C896" s="8" t="inlineStr">
        <is>
          <t>2024-06-14</t>
        </is>
      </c>
      <c r="D896" s="12" t="n">
        <v>10.86</v>
      </c>
      <c r="E896" s="12" t="n">
        <v>10</v>
      </c>
      <c r="F896" s="12">
        <f>ROUND(D896-E896,2)</f>
        <v/>
      </c>
      <c r="G896" s="15">
        <f>IFERROR(ROUND(F896/E896,4),"")</f>
        <v/>
      </c>
      <c r="H896" s="16">
        <f>IF(D896=0,"NO DATA",IF(D896&gt;E896*1.5,"OVER",IF(D896&gt;E896*1.1,"HIGH",IF(D896&lt;E896*0.5,"LOW","OK"))))</f>
        <v/>
      </c>
    </row>
    <row r="897" ht="22" customHeight="1">
      <c r="B897" s="5" t="inlineStr">
        <is>
          <t>MTR-DOM-006</t>
        </is>
      </c>
      <c r="C897" s="5" t="inlineStr">
        <is>
          <t>2024-06-15</t>
        </is>
      </c>
      <c r="D897" s="11" t="n">
        <v>9.25</v>
      </c>
      <c r="E897" s="11" t="n">
        <v>10</v>
      </c>
      <c r="F897" s="11">
        <f>ROUND(D897-E897,2)</f>
        <v/>
      </c>
      <c r="G897" s="13">
        <f>IFERROR(ROUND(F897/E897,4),"")</f>
        <v/>
      </c>
      <c r="H897" s="14">
        <f>IF(D897=0,"NO DATA",IF(D897&gt;E897*1.5,"OVER",IF(D897&gt;E897*1.1,"HIGH",IF(D897&lt;E897*0.5,"LOW","OK"))))</f>
        <v/>
      </c>
    </row>
    <row r="898" ht="22" customHeight="1">
      <c r="B898" s="8" t="inlineStr">
        <is>
          <t>MTR-DOM-006</t>
        </is>
      </c>
      <c r="C898" s="8" t="inlineStr">
        <is>
          <t>2024-06-16</t>
        </is>
      </c>
      <c r="D898" s="12" t="n">
        <v>5.17</v>
      </c>
      <c r="E898" s="12" t="n">
        <v>10</v>
      </c>
      <c r="F898" s="12">
        <f>ROUND(D898-E898,2)</f>
        <v/>
      </c>
      <c r="G898" s="15">
        <f>IFERROR(ROUND(F898/E898,4),"")</f>
        <v/>
      </c>
      <c r="H898" s="16">
        <f>IF(D898=0,"NO DATA",IF(D898&gt;E898*1.5,"OVER",IF(D898&gt;E898*1.1,"HIGH",IF(D898&lt;E898*0.5,"LOW","OK"))))</f>
        <v/>
      </c>
    </row>
    <row r="899" ht="22" customHeight="1">
      <c r="B899" s="5" t="inlineStr">
        <is>
          <t>MTR-DOM-006</t>
        </is>
      </c>
      <c r="C899" s="5" t="inlineStr">
        <is>
          <t>2024-06-17</t>
        </is>
      </c>
      <c r="D899" s="11" t="n">
        <v>10.52</v>
      </c>
      <c r="E899" s="11" t="n">
        <v>10</v>
      </c>
      <c r="F899" s="11">
        <f>ROUND(D899-E899,2)</f>
        <v/>
      </c>
      <c r="G899" s="13">
        <f>IFERROR(ROUND(F899/E899,4),"")</f>
        <v/>
      </c>
      <c r="H899" s="14">
        <f>IF(D899=0,"NO DATA",IF(D899&gt;E899*1.5,"OVER",IF(D899&gt;E899*1.1,"HIGH",IF(D899&lt;E899*0.5,"LOW","OK"))))</f>
        <v/>
      </c>
    </row>
    <row r="900" ht="22" customHeight="1">
      <c r="B900" s="8" t="inlineStr">
        <is>
          <t>MTR-DOM-006</t>
        </is>
      </c>
      <c r="C900" s="8" t="inlineStr">
        <is>
          <t>2024-06-18</t>
        </is>
      </c>
      <c r="D900" s="12" t="n">
        <v>10.32</v>
      </c>
      <c r="E900" s="12" t="n">
        <v>10</v>
      </c>
      <c r="F900" s="12">
        <f>ROUND(D900-E900,2)</f>
        <v/>
      </c>
      <c r="G900" s="15">
        <f>IFERROR(ROUND(F900/E900,4),"")</f>
        <v/>
      </c>
      <c r="H900" s="16">
        <f>IF(D900=0,"NO DATA",IF(D900&gt;E900*1.5,"OVER",IF(D900&gt;E900*1.1,"HIGH",IF(D900&lt;E900*0.5,"LOW","OK"))))</f>
        <v/>
      </c>
    </row>
    <row r="901" ht="22" customHeight="1">
      <c r="B901" s="5" t="inlineStr">
        <is>
          <t>MTR-DOM-006</t>
        </is>
      </c>
      <c r="C901" s="5" t="inlineStr">
        <is>
          <t>2024-06-19</t>
        </is>
      </c>
      <c r="D901" s="11" t="n">
        <v>11.98</v>
      </c>
      <c r="E901" s="11" t="n">
        <v>10</v>
      </c>
      <c r="F901" s="11">
        <f>ROUND(D901-E901,2)</f>
        <v/>
      </c>
      <c r="G901" s="13">
        <f>IFERROR(ROUND(F901/E901,4),"")</f>
        <v/>
      </c>
      <c r="H901" s="14">
        <f>IF(D901=0,"NO DATA",IF(D901&gt;E901*1.5,"OVER",IF(D901&gt;E901*1.1,"HIGH",IF(D901&lt;E901*0.5,"LOW","OK"))))</f>
        <v/>
      </c>
    </row>
    <row r="902" ht="22" customHeight="1">
      <c r="B902" s="8" t="inlineStr">
        <is>
          <t>MTR-DOM-006</t>
        </is>
      </c>
      <c r="C902" s="8" t="inlineStr">
        <is>
          <t>2024-06-20</t>
        </is>
      </c>
      <c r="D902" s="12" t="n">
        <v>12.43</v>
      </c>
      <c r="E902" s="12" t="n">
        <v>10</v>
      </c>
      <c r="F902" s="12">
        <f>ROUND(D902-E902,2)</f>
        <v/>
      </c>
      <c r="G902" s="15">
        <f>IFERROR(ROUND(F902/E902,4),"")</f>
        <v/>
      </c>
      <c r="H902" s="16">
        <f>IF(D902=0,"NO DATA",IF(D902&gt;E902*1.5,"OVER",IF(D902&gt;E902*1.1,"HIGH",IF(D902&lt;E902*0.5,"LOW","OK"))))</f>
        <v/>
      </c>
    </row>
    <row r="903" ht="22" customHeight="1">
      <c r="B903" s="5" t="inlineStr">
        <is>
          <t>MTR-DOM-006</t>
        </is>
      </c>
      <c r="C903" s="5" t="inlineStr">
        <is>
          <t>2024-06-21</t>
        </is>
      </c>
      <c r="D903" s="11" t="n">
        <v>11.12</v>
      </c>
      <c r="E903" s="11" t="n">
        <v>10</v>
      </c>
      <c r="F903" s="11">
        <f>ROUND(D903-E903,2)</f>
        <v/>
      </c>
      <c r="G903" s="13">
        <f>IFERROR(ROUND(F903/E903,4),"")</f>
        <v/>
      </c>
      <c r="H903" s="14">
        <f>IF(D903=0,"NO DATA",IF(D903&gt;E903*1.5,"OVER",IF(D903&gt;E903*1.1,"HIGH",IF(D903&lt;E903*0.5,"LOW","OK"))))</f>
        <v/>
      </c>
    </row>
    <row r="904" ht="22" customHeight="1">
      <c r="B904" s="8" t="inlineStr">
        <is>
          <t>MTR-DOM-006</t>
        </is>
      </c>
      <c r="C904" s="8" t="inlineStr">
        <is>
          <t>2024-06-22</t>
        </is>
      </c>
      <c r="D904" s="12" t="n">
        <v>9.98</v>
      </c>
      <c r="E904" s="12" t="n">
        <v>10</v>
      </c>
      <c r="F904" s="12">
        <f>ROUND(D904-E904,2)</f>
        <v/>
      </c>
      <c r="G904" s="15">
        <f>IFERROR(ROUND(F904/E904,4),"")</f>
        <v/>
      </c>
      <c r="H904" s="16">
        <f>IF(D904=0,"NO DATA",IF(D904&gt;E904*1.5,"OVER",IF(D904&gt;E904*1.1,"HIGH",IF(D904&lt;E904*0.5,"LOW","OK"))))</f>
        <v/>
      </c>
    </row>
    <row r="905" ht="22" customHeight="1">
      <c r="B905" s="5" t="inlineStr">
        <is>
          <t>MTR-DOM-006</t>
        </is>
      </c>
      <c r="C905" s="5" t="inlineStr">
        <is>
          <t>2024-06-23</t>
        </is>
      </c>
      <c r="D905" s="11" t="n">
        <v>6.08</v>
      </c>
      <c r="E905" s="11" t="n">
        <v>10</v>
      </c>
      <c r="F905" s="11">
        <f>ROUND(D905-E905,2)</f>
        <v/>
      </c>
      <c r="G905" s="13">
        <f>IFERROR(ROUND(F905/E905,4),"")</f>
        <v/>
      </c>
      <c r="H905" s="14">
        <f>IF(D905=0,"NO DATA",IF(D905&gt;E905*1.5,"OVER",IF(D905&gt;E905*1.1,"HIGH",IF(D905&lt;E905*0.5,"LOW","OK"))))</f>
        <v/>
      </c>
    </row>
    <row r="906" ht="22" customHeight="1">
      <c r="B906" s="8" t="inlineStr">
        <is>
          <t>MTR-DOM-006</t>
        </is>
      </c>
      <c r="C906" s="8" t="inlineStr">
        <is>
          <t>2024-06-24</t>
        </is>
      </c>
      <c r="D906" s="12" t="n">
        <v>10.35</v>
      </c>
      <c r="E906" s="12" t="n">
        <v>10</v>
      </c>
      <c r="F906" s="12">
        <f>ROUND(D906-E906,2)</f>
        <v/>
      </c>
      <c r="G906" s="15">
        <f>IFERROR(ROUND(F906/E906,4),"")</f>
        <v/>
      </c>
      <c r="H906" s="16">
        <f>IF(D906=0,"NO DATA",IF(D906&gt;E906*1.5,"OVER",IF(D906&gt;E906*1.1,"HIGH",IF(D906&lt;E906*0.5,"LOW","OK"))))</f>
        <v/>
      </c>
    </row>
    <row r="907" ht="22" customHeight="1">
      <c r="B907" s="5" t="inlineStr">
        <is>
          <t>MTR-DOM-006</t>
        </is>
      </c>
      <c r="C907" s="5" t="inlineStr">
        <is>
          <t>2024-06-25</t>
        </is>
      </c>
      <c r="D907" s="11" t="n">
        <v>9.970000000000001</v>
      </c>
      <c r="E907" s="11" t="n">
        <v>10</v>
      </c>
      <c r="F907" s="11">
        <f>ROUND(D907-E907,2)</f>
        <v/>
      </c>
      <c r="G907" s="13">
        <f>IFERROR(ROUND(F907/E907,4),"")</f>
        <v/>
      </c>
      <c r="H907" s="14">
        <f>IF(D907=0,"NO DATA",IF(D907&gt;E907*1.5,"OVER",IF(D907&gt;E907*1.1,"HIGH",IF(D907&lt;E907*0.5,"LOW","OK"))))</f>
        <v/>
      </c>
    </row>
    <row r="908" ht="22" customHeight="1">
      <c r="B908" s="8" t="inlineStr">
        <is>
          <t>MTR-DOM-006</t>
        </is>
      </c>
      <c r="C908" s="8" t="inlineStr">
        <is>
          <t>2024-06-26</t>
        </is>
      </c>
      <c r="D908" s="12" t="n">
        <v>11.11</v>
      </c>
      <c r="E908" s="12" t="n">
        <v>10</v>
      </c>
      <c r="F908" s="12">
        <f>ROUND(D908-E908,2)</f>
        <v/>
      </c>
      <c r="G908" s="15">
        <f>IFERROR(ROUND(F908/E908,4),"")</f>
        <v/>
      </c>
      <c r="H908" s="16">
        <f>IF(D908=0,"NO DATA",IF(D908&gt;E908*1.5,"OVER",IF(D908&gt;E908*1.1,"HIGH",IF(D908&lt;E908*0.5,"LOW","OK"))))</f>
        <v/>
      </c>
    </row>
    <row r="909" ht="22" customHeight="1">
      <c r="B909" s="5" t="inlineStr">
        <is>
          <t>MTR-DOM-006</t>
        </is>
      </c>
      <c r="C909" s="5" t="inlineStr">
        <is>
          <t>2024-06-27</t>
        </is>
      </c>
      <c r="D909" s="11" t="n">
        <v>11.38</v>
      </c>
      <c r="E909" s="11" t="n">
        <v>10</v>
      </c>
      <c r="F909" s="11">
        <f>ROUND(D909-E909,2)</f>
        <v/>
      </c>
      <c r="G909" s="13">
        <f>IFERROR(ROUND(F909/E909,4),"")</f>
        <v/>
      </c>
      <c r="H909" s="14">
        <f>IF(D909=0,"NO DATA",IF(D909&gt;E909*1.5,"OVER",IF(D909&gt;E909*1.1,"HIGH",IF(D909&lt;E909*0.5,"LOW","OK"))))</f>
        <v/>
      </c>
    </row>
    <row r="910" ht="22" customHeight="1">
      <c r="B910" s="8" t="inlineStr">
        <is>
          <t>MTR-DOM-006</t>
        </is>
      </c>
      <c r="C910" s="8" t="inlineStr">
        <is>
          <t>2024-06-28</t>
        </is>
      </c>
      <c r="D910" s="12" t="n">
        <v>10.02</v>
      </c>
      <c r="E910" s="12" t="n">
        <v>10</v>
      </c>
      <c r="F910" s="12">
        <f>ROUND(D910-E910,2)</f>
        <v/>
      </c>
      <c r="G910" s="15">
        <f>IFERROR(ROUND(F910/E910,4),"")</f>
        <v/>
      </c>
      <c r="H910" s="16">
        <f>IF(D910=0,"NO DATA",IF(D910&gt;E910*1.5,"OVER",IF(D910&gt;E910*1.1,"HIGH",IF(D910&lt;E910*0.5,"LOW","OK"))))</f>
        <v/>
      </c>
    </row>
    <row r="911" ht="22" customHeight="1">
      <c r="B911" s="5" t="inlineStr">
        <is>
          <t>MTR-DOM-006</t>
        </is>
      </c>
      <c r="C911" s="5" t="inlineStr">
        <is>
          <t>2024-06-29</t>
        </is>
      </c>
      <c r="D911" s="11" t="n">
        <v>7.49</v>
      </c>
      <c r="E911" s="11" t="n">
        <v>10</v>
      </c>
      <c r="F911" s="11">
        <f>ROUND(D911-E911,2)</f>
        <v/>
      </c>
      <c r="G911" s="13">
        <f>IFERROR(ROUND(F911/E911,4),"")</f>
        <v/>
      </c>
      <c r="H911" s="14">
        <f>IF(D911=0,"NO DATA",IF(D911&gt;E911*1.5,"OVER",IF(D911&gt;E911*1.1,"HIGH",IF(D911&lt;E911*0.5,"LOW","OK"))))</f>
        <v/>
      </c>
    </row>
    <row r="912" ht="22" customHeight="1">
      <c r="B912" s="8" t="inlineStr">
        <is>
          <t>MTR-DOM-006</t>
        </is>
      </c>
      <c r="C912" s="8" t="inlineStr">
        <is>
          <t>2024-06-30</t>
        </is>
      </c>
      <c r="D912" s="12" t="n">
        <v>4.94</v>
      </c>
      <c r="E912" s="12" t="n">
        <v>10</v>
      </c>
      <c r="F912" s="12">
        <f>ROUND(D912-E912,2)</f>
        <v/>
      </c>
      <c r="G912" s="15">
        <f>IFERROR(ROUND(F912/E912,4),"")</f>
        <v/>
      </c>
      <c r="H912" s="16">
        <f>IF(D912=0,"NO DATA",IF(D912&gt;E912*1.5,"OVER",IF(D912&gt;E912*1.1,"HIGH",IF(D912&lt;E912*0.5,"LOW","OK"))))</f>
        <v/>
      </c>
    </row>
    <row r="913" ht="22" customHeight="1">
      <c r="B913" s="5" t="inlineStr">
        <is>
          <t>MTR-DOM-006</t>
        </is>
      </c>
      <c r="C913" s="5" t="inlineStr">
        <is>
          <t>2024-07-01</t>
        </is>
      </c>
      <c r="D913" s="11" t="n">
        <v>12.6</v>
      </c>
      <c r="E913" s="11" t="n">
        <v>10</v>
      </c>
      <c r="F913" s="11">
        <f>ROUND(D913-E913,2)</f>
        <v/>
      </c>
      <c r="G913" s="13">
        <f>IFERROR(ROUND(F913/E913,4),"")</f>
        <v/>
      </c>
      <c r="H913" s="14">
        <f>IF(D913=0,"NO DATA",IF(D913&gt;E913*1.5,"OVER",IF(D913&gt;E913*1.1,"HIGH",IF(D913&lt;E913*0.5,"LOW","OK"))))</f>
        <v/>
      </c>
    </row>
    <row r="914" ht="22" customHeight="1">
      <c r="B914" s="8" t="inlineStr">
        <is>
          <t>MTR-DOM-006</t>
        </is>
      </c>
      <c r="C914" s="8" t="inlineStr">
        <is>
          <t>2024-07-02</t>
        </is>
      </c>
      <c r="D914" s="12" t="n">
        <v>9.84</v>
      </c>
      <c r="E914" s="12" t="n">
        <v>10</v>
      </c>
      <c r="F914" s="12">
        <f>ROUND(D914-E914,2)</f>
        <v/>
      </c>
      <c r="G914" s="15">
        <f>IFERROR(ROUND(F914/E914,4),"")</f>
        <v/>
      </c>
      <c r="H914" s="16">
        <f>IF(D914=0,"NO DATA",IF(D914&gt;E914*1.5,"OVER",IF(D914&gt;E914*1.1,"HIGH",IF(D914&lt;E914*0.5,"LOW","OK"))))</f>
        <v/>
      </c>
    </row>
    <row r="915" ht="22" customHeight="1">
      <c r="B915" s="5" t="inlineStr">
        <is>
          <t>MTR-DOM-006</t>
        </is>
      </c>
      <c r="C915" s="5" t="inlineStr">
        <is>
          <t>2024-07-03</t>
        </is>
      </c>
      <c r="D915" s="11" t="n">
        <v>10.58</v>
      </c>
      <c r="E915" s="11" t="n">
        <v>10</v>
      </c>
      <c r="F915" s="11">
        <f>ROUND(D915-E915,2)</f>
        <v/>
      </c>
      <c r="G915" s="13">
        <f>IFERROR(ROUND(F915/E915,4),"")</f>
        <v/>
      </c>
      <c r="H915" s="14">
        <f>IF(D915=0,"NO DATA",IF(D915&gt;E915*1.5,"OVER",IF(D915&gt;E915*1.1,"HIGH",IF(D915&lt;E915*0.5,"LOW","OK"))))</f>
        <v/>
      </c>
    </row>
    <row r="916" ht="22" customHeight="1">
      <c r="B916" s="8" t="inlineStr">
        <is>
          <t>MTR-DOM-006</t>
        </is>
      </c>
      <c r="C916" s="8" t="inlineStr">
        <is>
          <t>2024-07-04</t>
        </is>
      </c>
      <c r="D916" s="12" t="n">
        <v>12.48</v>
      </c>
      <c r="E916" s="12" t="n">
        <v>10</v>
      </c>
      <c r="F916" s="12">
        <f>ROUND(D916-E916,2)</f>
        <v/>
      </c>
      <c r="G916" s="15">
        <f>IFERROR(ROUND(F916/E916,4),"")</f>
        <v/>
      </c>
      <c r="H916" s="16">
        <f>IF(D916=0,"NO DATA",IF(D916&gt;E916*1.5,"OVER",IF(D916&gt;E916*1.1,"HIGH",IF(D916&lt;E916*0.5,"LOW","OK"))))</f>
        <v/>
      </c>
    </row>
    <row r="917" ht="22" customHeight="1">
      <c r="B917" s="5" t="inlineStr">
        <is>
          <t>MTR-DOM-006</t>
        </is>
      </c>
      <c r="C917" s="5" t="inlineStr">
        <is>
          <t>2024-07-05</t>
        </is>
      </c>
      <c r="D917" s="11" t="n">
        <v>10.27</v>
      </c>
      <c r="E917" s="11" t="n">
        <v>10</v>
      </c>
      <c r="F917" s="11">
        <f>ROUND(D917-E917,2)</f>
        <v/>
      </c>
      <c r="G917" s="13">
        <f>IFERROR(ROUND(F917/E917,4),"")</f>
        <v/>
      </c>
      <c r="H917" s="14">
        <f>IF(D917=0,"NO DATA",IF(D917&gt;E917*1.5,"OVER",IF(D917&gt;E917*1.1,"HIGH",IF(D917&lt;E917*0.5,"LOW","OK"))))</f>
        <v/>
      </c>
    </row>
    <row r="918" ht="22" customHeight="1">
      <c r="B918" s="8" t="inlineStr">
        <is>
          <t>MTR-DOM-006</t>
        </is>
      </c>
      <c r="C918" s="8" t="inlineStr">
        <is>
          <t>2024-07-06</t>
        </is>
      </c>
      <c r="D918" s="12" t="n">
        <v>8.93</v>
      </c>
      <c r="E918" s="12" t="n">
        <v>10</v>
      </c>
      <c r="F918" s="12">
        <f>ROUND(D918-E918,2)</f>
        <v/>
      </c>
      <c r="G918" s="15">
        <f>IFERROR(ROUND(F918/E918,4),"")</f>
        <v/>
      </c>
      <c r="H918" s="16">
        <f>IF(D918=0,"NO DATA",IF(D918&gt;E918*1.5,"OVER",IF(D918&gt;E918*1.1,"HIGH",IF(D918&lt;E918*0.5,"LOW","OK"))))</f>
        <v/>
      </c>
    </row>
    <row r="919" ht="22" customHeight="1">
      <c r="B919" s="5" t="inlineStr">
        <is>
          <t>MTR-DOM-006</t>
        </is>
      </c>
      <c r="C919" s="5" t="inlineStr">
        <is>
          <t>2024-07-07</t>
        </is>
      </c>
      <c r="D919" s="11" t="n">
        <v>5.35</v>
      </c>
      <c r="E919" s="11" t="n">
        <v>10</v>
      </c>
      <c r="F919" s="11">
        <f>ROUND(D919-E919,2)</f>
        <v/>
      </c>
      <c r="G919" s="13">
        <f>IFERROR(ROUND(F919/E919,4),"")</f>
        <v/>
      </c>
      <c r="H919" s="14">
        <f>IF(D919=0,"NO DATA",IF(D919&gt;E919*1.5,"OVER",IF(D919&gt;E919*1.1,"HIGH",IF(D919&lt;E919*0.5,"LOW","OK"))))</f>
        <v/>
      </c>
    </row>
    <row r="920" ht="22" customHeight="1">
      <c r="B920" s="8" t="inlineStr">
        <is>
          <t>MTR-DOM-006</t>
        </is>
      </c>
      <c r="C920" s="8" t="inlineStr">
        <is>
          <t>2024-07-08</t>
        </is>
      </c>
      <c r="D920" s="12" t="n">
        <v>12.24</v>
      </c>
      <c r="E920" s="12" t="n">
        <v>10</v>
      </c>
      <c r="F920" s="12">
        <f>ROUND(D920-E920,2)</f>
        <v/>
      </c>
      <c r="G920" s="15">
        <f>IFERROR(ROUND(F920/E920,4),"")</f>
        <v/>
      </c>
      <c r="H920" s="16">
        <f>IF(D920=0,"NO DATA",IF(D920&gt;E920*1.5,"OVER",IF(D920&gt;E920*1.1,"HIGH",IF(D920&lt;E920*0.5,"LOW","OK"))))</f>
        <v/>
      </c>
    </row>
    <row r="921" ht="22" customHeight="1">
      <c r="B921" s="5" t="inlineStr">
        <is>
          <t>MTR-DOM-006</t>
        </is>
      </c>
      <c r="C921" s="5" t="inlineStr">
        <is>
          <t>2024-07-09</t>
        </is>
      </c>
      <c r="D921" s="11" t="n">
        <v>9.68</v>
      </c>
      <c r="E921" s="11" t="n">
        <v>10</v>
      </c>
      <c r="F921" s="11">
        <f>ROUND(D921-E921,2)</f>
        <v/>
      </c>
      <c r="G921" s="13">
        <f>IFERROR(ROUND(F921/E921,4),"")</f>
        <v/>
      </c>
      <c r="H921" s="14">
        <f>IF(D921=0,"NO DATA",IF(D921&gt;E921*1.5,"OVER",IF(D921&gt;E921*1.1,"HIGH",IF(D921&lt;E921*0.5,"LOW","OK"))))</f>
        <v/>
      </c>
    </row>
    <row r="922" ht="22" customHeight="1">
      <c r="B922" s="8" t="inlineStr">
        <is>
          <t>MTR-DOM-006</t>
        </is>
      </c>
      <c r="C922" s="8" t="inlineStr">
        <is>
          <t>2024-07-10</t>
        </is>
      </c>
      <c r="D922" s="12" t="n">
        <v>11.11</v>
      </c>
      <c r="E922" s="12" t="n">
        <v>10</v>
      </c>
      <c r="F922" s="12">
        <f>ROUND(D922-E922,2)</f>
        <v/>
      </c>
      <c r="G922" s="15">
        <f>IFERROR(ROUND(F922/E922,4),"")</f>
        <v/>
      </c>
      <c r="H922" s="16">
        <f>IF(D922=0,"NO DATA",IF(D922&gt;E922*1.5,"OVER",IF(D922&gt;E922*1.1,"HIGH",IF(D922&lt;E922*0.5,"LOW","OK"))))</f>
        <v/>
      </c>
    </row>
    <row r="923" ht="22" customHeight="1">
      <c r="B923" s="5" t="inlineStr">
        <is>
          <t>MTR-DOM-006</t>
        </is>
      </c>
      <c r="C923" s="5" t="inlineStr">
        <is>
          <t>2024-07-11</t>
        </is>
      </c>
      <c r="D923" s="11" t="n">
        <v>11.9</v>
      </c>
      <c r="E923" s="11" t="n">
        <v>10</v>
      </c>
      <c r="F923" s="11">
        <f>ROUND(D923-E923,2)</f>
        <v/>
      </c>
      <c r="G923" s="13">
        <f>IFERROR(ROUND(F923/E923,4),"")</f>
        <v/>
      </c>
      <c r="H923" s="14">
        <f>IF(D923=0,"NO DATA",IF(D923&gt;E923*1.5,"OVER",IF(D923&gt;E923*1.1,"HIGH",IF(D923&lt;E923*0.5,"LOW","OK"))))</f>
        <v/>
      </c>
    </row>
    <row r="924" ht="22" customHeight="1">
      <c r="B924" s="8" t="inlineStr">
        <is>
          <t>MTR-DOM-006</t>
        </is>
      </c>
      <c r="C924" s="8" t="inlineStr">
        <is>
          <t>2024-07-12</t>
        </is>
      </c>
      <c r="D924" s="12" t="n">
        <v>12.6</v>
      </c>
      <c r="E924" s="12" t="n">
        <v>10</v>
      </c>
      <c r="F924" s="12">
        <f>ROUND(D924-E924,2)</f>
        <v/>
      </c>
      <c r="G924" s="15">
        <f>IFERROR(ROUND(F924/E924,4),"")</f>
        <v/>
      </c>
      <c r="H924" s="16">
        <f>IF(D924=0,"NO DATA",IF(D924&gt;E924*1.5,"OVER",IF(D924&gt;E924*1.1,"HIGH",IF(D924&lt;E924*0.5,"LOW","OK"))))</f>
        <v/>
      </c>
    </row>
    <row r="925" ht="22" customHeight="1">
      <c r="B925" s="5" t="inlineStr">
        <is>
          <t>MTR-DOM-006</t>
        </is>
      </c>
      <c r="C925" s="5" t="inlineStr">
        <is>
          <t>2024-07-13</t>
        </is>
      </c>
      <c r="D925" s="11" t="n">
        <v>8.69</v>
      </c>
      <c r="E925" s="11" t="n">
        <v>10</v>
      </c>
      <c r="F925" s="11">
        <f>ROUND(D925-E925,2)</f>
        <v/>
      </c>
      <c r="G925" s="13">
        <f>IFERROR(ROUND(F925/E925,4),"")</f>
        <v/>
      </c>
      <c r="H925" s="14">
        <f>IF(D925=0,"NO DATA",IF(D925&gt;E925*1.5,"OVER",IF(D925&gt;E925*1.1,"HIGH",IF(D925&lt;E925*0.5,"LOW","OK"))))</f>
        <v/>
      </c>
    </row>
    <row r="926" ht="22" customHeight="1">
      <c r="B926" s="8" t="inlineStr">
        <is>
          <t>MTR-DOM-006</t>
        </is>
      </c>
      <c r="C926" s="8" t="inlineStr">
        <is>
          <t>2024-07-14</t>
        </is>
      </c>
      <c r="D926" s="12" t="n">
        <v>5.65</v>
      </c>
      <c r="E926" s="12" t="n">
        <v>10</v>
      </c>
      <c r="F926" s="12">
        <f>ROUND(D926-E926,2)</f>
        <v/>
      </c>
      <c r="G926" s="15">
        <f>IFERROR(ROUND(F926/E926,4),"")</f>
        <v/>
      </c>
      <c r="H926" s="16">
        <f>IF(D926=0,"NO DATA",IF(D926&gt;E926*1.5,"OVER",IF(D926&gt;E926*1.1,"HIGH",IF(D926&lt;E926*0.5,"LOW","OK"))))</f>
        <v/>
      </c>
    </row>
    <row r="927" ht="22" customHeight="1">
      <c r="B927" s="5" t="inlineStr">
        <is>
          <t>MTR-DOM-006</t>
        </is>
      </c>
      <c r="C927" s="5" t="inlineStr">
        <is>
          <t>2024-07-15</t>
        </is>
      </c>
      <c r="D927" s="11" t="n">
        <v>12.23</v>
      </c>
      <c r="E927" s="11" t="n">
        <v>10</v>
      </c>
      <c r="F927" s="11">
        <f>ROUND(D927-E927,2)</f>
        <v/>
      </c>
      <c r="G927" s="13">
        <f>IFERROR(ROUND(F927/E927,4),"")</f>
        <v/>
      </c>
      <c r="H927" s="14">
        <f>IF(D927=0,"NO DATA",IF(D927&gt;E927*1.5,"OVER",IF(D927&gt;E927*1.1,"HIGH",IF(D927&lt;E927*0.5,"LOW","OK"))))</f>
        <v/>
      </c>
    </row>
    <row r="928" ht="22" customHeight="1">
      <c r="B928" s="8" t="inlineStr">
        <is>
          <t>MTR-DOM-006</t>
        </is>
      </c>
      <c r="C928" s="8" t="inlineStr">
        <is>
          <t>2024-07-16</t>
        </is>
      </c>
      <c r="D928" s="12" t="n">
        <v>10.28</v>
      </c>
      <c r="E928" s="12" t="n">
        <v>10</v>
      </c>
      <c r="F928" s="12">
        <f>ROUND(D928-E928,2)</f>
        <v/>
      </c>
      <c r="G928" s="15">
        <f>IFERROR(ROUND(F928/E928,4),"")</f>
        <v/>
      </c>
      <c r="H928" s="16">
        <f>IF(D928=0,"NO DATA",IF(D928&gt;E928*1.5,"OVER",IF(D928&gt;E928*1.1,"HIGH",IF(D928&lt;E928*0.5,"LOW","OK"))))</f>
        <v/>
      </c>
    </row>
    <row r="929" ht="22" customHeight="1">
      <c r="B929" s="5" t="inlineStr">
        <is>
          <t>MTR-DOM-006</t>
        </is>
      </c>
      <c r="C929" s="5" t="inlineStr">
        <is>
          <t>2024-07-17</t>
        </is>
      </c>
      <c r="D929" s="11" t="n">
        <v>11.28</v>
      </c>
      <c r="E929" s="11" t="n">
        <v>10</v>
      </c>
      <c r="F929" s="11">
        <f>ROUND(D929-E929,2)</f>
        <v/>
      </c>
      <c r="G929" s="13">
        <f>IFERROR(ROUND(F929/E929,4),"")</f>
        <v/>
      </c>
      <c r="H929" s="14">
        <f>IF(D929=0,"NO DATA",IF(D929&gt;E929*1.5,"OVER",IF(D929&gt;E929*1.1,"HIGH",IF(D929&lt;E929*0.5,"LOW","OK"))))</f>
        <v/>
      </c>
    </row>
    <row r="930" ht="22" customHeight="1">
      <c r="B930" s="8" t="inlineStr">
        <is>
          <t>MTR-DOM-006</t>
        </is>
      </c>
      <c r="C930" s="8" t="inlineStr">
        <is>
          <t>2024-07-18</t>
        </is>
      </c>
      <c r="D930" s="12" t="n">
        <v>10.49</v>
      </c>
      <c r="E930" s="12" t="n">
        <v>10</v>
      </c>
      <c r="F930" s="12">
        <f>ROUND(D930-E930,2)</f>
        <v/>
      </c>
      <c r="G930" s="15">
        <f>IFERROR(ROUND(F930/E930,4),"")</f>
        <v/>
      </c>
      <c r="H930" s="16">
        <f>IF(D930=0,"NO DATA",IF(D930&gt;E930*1.5,"OVER",IF(D930&gt;E930*1.1,"HIGH",IF(D930&lt;E930*0.5,"LOW","OK"))))</f>
        <v/>
      </c>
    </row>
    <row r="931" ht="22" customHeight="1">
      <c r="B931" s="5" t="inlineStr">
        <is>
          <t>MTR-DOM-006</t>
        </is>
      </c>
      <c r="C931" s="5" t="inlineStr">
        <is>
          <t>2024-07-19</t>
        </is>
      </c>
      <c r="D931" s="11" t="n">
        <v>11.75</v>
      </c>
      <c r="E931" s="11" t="n">
        <v>10</v>
      </c>
      <c r="F931" s="11">
        <f>ROUND(D931-E931,2)</f>
        <v/>
      </c>
      <c r="G931" s="13">
        <f>IFERROR(ROUND(F931/E931,4),"")</f>
        <v/>
      </c>
      <c r="H931" s="14">
        <f>IF(D931=0,"NO DATA",IF(D931&gt;E931*1.5,"OVER",IF(D931&gt;E931*1.1,"HIGH",IF(D931&lt;E931*0.5,"LOW","OK"))))</f>
        <v/>
      </c>
    </row>
    <row r="932" ht="22" customHeight="1">
      <c r="B932" s="8" t="inlineStr">
        <is>
          <t>MTR-DOM-006</t>
        </is>
      </c>
      <c r="C932" s="8" t="inlineStr">
        <is>
          <t>2024-07-20</t>
        </is>
      </c>
      <c r="D932" s="12" t="n">
        <v>8.69</v>
      </c>
      <c r="E932" s="12" t="n">
        <v>10</v>
      </c>
      <c r="F932" s="12">
        <f>ROUND(D932-E932,2)</f>
        <v/>
      </c>
      <c r="G932" s="15">
        <f>IFERROR(ROUND(F932/E932,4),"")</f>
        <v/>
      </c>
      <c r="H932" s="16">
        <f>IF(D932=0,"NO DATA",IF(D932&gt;E932*1.5,"OVER",IF(D932&gt;E932*1.1,"HIGH",IF(D932&lt;E932*0.5,"LOW","OK"))))</f>
        <v/>
      </c>
    </row>
    <row r="933" ht="22" customHeight="1">
      <c r="B933" s="5" t="inlineStr">
        <is>
          <t>MTR-DOM-006</t>
        </is>
      </c>
      <c r="C933" s="5" t="inlineStr">
        <is>
          <t>2024-07-21</t>
        </is>
      </c>
      <c r="D933" s="11" t="n">
        <v>5.94</v>
      </c>
      <c r="E933" s="11" t="n">
        <v>10</v>
      </c>
      <c r="F933" s="11">
        <f>ROUND(D933-E933,2)</f>
        <v/>
      </c>
      <c r="G933" s="13">
        <f>IFERROR(ROUND(F933/E933,4),"")</f>
        <v/>
      </c>
      <c r="H933" s="14">
        <f>IF(D933=0,"NO DATA",IF(D933&gt;E933*1.5,"OVER",IF(D933&gt;E933*1.1,"HIGH",IF(D933&lt;E933*0.5,"LOW","OK"))))</f>
        <v/>
      </c>
    </row>
    <row r="934" ht="22" customHeight="1">
      <c r="B934" s="8" t="inlineStr">
        <is>
          <t>MTR-DOM-006</t>
        </is>
      </c>
      <c r="C934" s="8" t="inlineStr">
        <is>
          <t>2024-07-22</t>
        </is>
      </c>
      <c r="D934" s="12" t="n">
        <v>9.65</v>
      </c>
      <c r="E934" s="12" t="n">
        <v>10</v>
      </c>
      <c r="F934" s="12">
        <f>ROUND(D934-E934,2)</f>
        <v/>
      </c>
      <c r="G934" s="15">
        <f>IFERROR(ROUND(F934/E934,4),"")</f>
        <v/>
      </c>
      <c r="H934" s="16">
        <f>IF(D934=0,"NO DATA",IF(D934&gt;E934*1.5,"OVER",IF(D934&gt;E934*1.1,"HIGH",IF(D934&lt;E934*0.5,"LOW","OK"))))</f>
        <v/>
      </c>
    </row>
    <row r="935" ht="22" customHeight="1">
      <c r="B935" s="5" t="inlineStr">
        <is>
          <t>MTR-DOM-006</t>
        </is>
      </c>
      <c r="C935" s="5" t="inlineStr">
        <is>
          <t>2024-07-23</t>
        </is>
      </c>
      <c r="D935" s="11" t="n">
        <v>12.39</v>
      </c>
      <c r="E935" s="11" t="n">
        <v>10</v>
      </c>
      <c r="F935" s="11">
        <f>ROUND(D935-E935,2)</f>
        <v/>
      </c>
      <c r="G935" s="13">
        <f>IFERROR(ROUND(F935/E935,4),"")</f>
        <v/>
      </c>
      <c r="H935" s="14">
        <f>IF(D935=0,"NO DATA",IF(D935&gt;E935*1.5,"OVER",IF(D935&gt;E935*1.1,"HIGH",IF(D935&lt;E935*0.5,"LOW","OK"))))</f>
        <v/>
      </c>
    </row>
    <row r="936" ht="22" customHeight="1">
      <c r="B936" s="8" t="inlineStr">
        <is>
          <t>MTR-DOM-006</t>
        </is>
      </c>
      <c r="C936" s="8" t="inlineStr">
        <is>
          <t>2024-07-24</t>
        </is>
      </c>
      <c r="D936" s="12" t="n">
        <v>11.5</v>
      </c>
      <c r="E936" s="12" t="n">
        <v>10</v>
      </c>
      <c r="F936" s="12">
        <f>ROUND(D936-E936,2)</f>
        <v/>
      </c>
      <c r="G936" s="15">
        <f>IFERROR(ROUND(F936/E936,4),"")</f>
        <v/>
      </c>
      <c r="H936" s="16">
        <f>IF(D936=0,"NO DATA",IF(D936&gt;E936*1.5,"OVER",IF(D936&gt;E936*1.1,"HIGH",IF(D936&lt;E936*0.5,"LOW","OK"))))</f>
        <v/>
      </c>
    </row>
    <row r="937" ht="22" customHeight="1">
      <c r="B937" s="5" t="inlineStr">
        <is>
          <t>MTR-DOM-006</t>
        </is>
      </c>
      <c r="C937" s="5" t="inlineStr">
        <is>
          <t>2024-07-25</t>
        </is>
      </c>
      <c r="D937" s="11" t="n">
        <v>12.43</v>
      </c>
      <c r="E937" s="11" t="n">
        <v>10</v>
      </c>
      <c r="F937" s="11">
        <f>ROUND(D937-E937,2)</f>
        <v/>
      </c>
      <c r="G937" s="13">
        <f>IFERROR(ROUND(F937/E937,4),"")</f>
        <v/>
      </c>
      <c r="H937" s="14">
        <f>IF(D937=0,"NO DATA",IF(D937&gt;E937*1.5,"OVER",IF(D937&gt;E937*1.1,"HIGH",IF(D937&lt;E937*0.5,"LOW","OK"))))</f>
        <v/>
      </c>
    </row>
    <row r="938" ht="22" customHeight="1">
      <c r="B938" s="8" t="inlineStr">
        <is>
          <t>MTR-DOM-006</t>
        </is>
      </c>
      <c r="C938" s="8" t="inlineStr">
        <is>
          <t>2024-07-26</t>
        </is>
      </c>
      <c r="D938" s="12" t="n">
        <v>11.96</v>
      </c>
      <c r="E938" s="12" t="n">
        <v>10</v>
      </c>
      <c r="F938" s="12">
        <f>ROUND(D938-E938,2)</f>
        <v/>
      </c>
      <c r="G938" s="15">
        <f>IFERROR(ROUND(F938/E938,4),"")</f>
        <v/>
      </c>
      <c r="H938" s="16">
        <f>IF(D938=0,"NO DATA",IF(D938&gt;E938*1.5,"OVER",IF(D938&gt;E938*1.1,"HIGH",IF(D938&lt;E938*0.5,"LOW","OK"))))</f>
        <v/>
      </c>
    </row>
    <row r="939" ht="22" customHeight="1">
      <c r="B939" s="5" t="inlineStr">
        <is>
          <t>MTR-DOM-006</t>
        </is>
      </c>
      <c r="C939" s="5" t="inlineStr">
        <is>
          <t>2024-07-27</t>
        </is>
      </c>
      <c r="D939" s="11" t="n">
        <v>9.029999999999999</v>
      </c>
      <c r="E939" s="11" t="n">
        <v>10</v>
      </c>
      <c r="F939" s="11">
        <f>ROUND(D939-E939,2)</f>
        <v/>
      </c>
      <c r="G939" s="13">
        <f>IFERROR(ROUND(F939/E939,4),"")</f>
        <v/>
      </c>
      <c r="H939" s="14">
        <f>IF(D939=0,"NO DATA",IF(D939&gt;E939*1.5,"OVER",IF(D939&gt;E939*1.1,"HIGH",IF(D939&lt;E939*0.5,"LOW","OK"))))</f>
        <v/>
      </c>
    </row>
    <row r="940" ht="22" customHeight="1">
      <c r="B940" s="8" t="inlineStr">
        <is>
          <t>MTR-DOM-006</t>
        </is>
      </c>
      <c r="C940" s="8" t="inlineStr">
        <is>
          <t>2024-07-28</t>
        </is>
      </c>
      <c r="D940" s="12" t="n">
        <v>5.26</v>
      </c>
      <c r="E940" s="12" t="n">
        <v>10</v>
      </c>
      <c r="F940" s="12">
        <f>ROUND(D940-E940,2)</f>
        <v/>
      </c>
      <c r="G940" s="15">
        <f>IFERROR(ROUND(F940/E940,4),"")</f>
        <v/>
      </c>
      <c r="H940" s="16">
        <f>IF(D940=0,"NO DATA",IF(D940&gt;E940*1.5,"OVER",IF(D940&gt;E940*1.1,"HIGH",IF(D940&lt;E940*0.5,"LOW","OK"))))</f>
        <v/>
      </c>
    </row>
    <row r="941" ht="22" customHeight="1">
      <c r="B941" s="5" t="inlineStr">
        <is>
          <t>MTR-DOM-006</t>
        </is>
      </c>
      <c r="C941" s="5" t="inlineStr">
        <is>
          <t>2024-07-29</t>
        </is>
      </c>
      <c r="D941" s="11" t="n">
        <v>9.640000000000001</v>
      </c>
      <c r="E941" s="11" t="n">
        <v>10</v>
      </c>
      <c r="F941" s="11">
        <f>ROUND(D941-E941,2)</f>
        <v/>
      </c>
      <c r="G941" s="13">
        <f>IFERROR(ROUND(F941/E941,4),"")</f>
        <v/>
      </c>
      <c r="H941" s="14">
        <f>IF(D941=0,"NO DATA",IF(D941&gt;E941*1.5,"OVER",IF(D941&gt;E941*1.1,"HIGH",IF(D941&lt;E941*0.5,"LOW","OK"))))</f>
        <v/>
      </c>
    </row>
    <row r="942" ht="22" customHeight="1">
      <c r="B942" s="8" t="inlineStr">
        <is>
          <t>MTR-DOM-006</t>
        </is>
      </c>
      <c r="C942" s="8" t="inlineStr">
        <is>
          <t>2024-07-30</t>
        </is>
      </c>
      <c r="D942" s="12" t="n">
        <v>11.71</v>
      </c>
      <c r="E942" s="12" t="n">
        <v>10</v>
      </c>
      <c r="F942" s="12">
        <f>ROUND(D942-E942,2)</f>
        <v/>
      </c>
      <c r="G942" s="15">
        <f>IFERROR(ROUND(F942/E942,4),"")</f>
        <v/>
      </c>
      <c r="H942" s="16">
        <f>IF(D942=0,"NO DATA",IF(D942&gt;E942*1.5,"OVER",IF(D942&gt;E942*1.1,"HIGH",IF(D942&lt;E942*0.5,"LOW","OK"))))</f>
        <v/>
      </c>
    </row>
    <row r="943" ht="22" customHeight="1">
      <c r="B943" s="5" t="inlineStr">
        <is>
          <t>MTR-DOM-006</t>
        </is>
      </c>
      <c r="C943" s="5" t="inlineStr">
        <is>
          <t>2024-07-31</t>
        </is>
      </c>
      <c r="D943" s="11" t="n">
        <v>12.75</v>
      </c>
      <c r="E943" s="11" t="n">
        <v>10</v>
      </c>
      <c r="F943" s="11">
        <f>ROUND(D943-E943,2)</f>
        <v/>
      </c>
      <c r="G943" s="13">
        <f>IFERROR(ROUND(F943/E943,4),"")</f>
        <v/>
      </c>
      <c r="H943" s="14">
        <f>IF(D943=0,"NO DATA",IF(D943&gt;E943*1.5,"OVER",IF(D943&gt;E943*1.1,"HIGH",IF(D943&lt;E943*0.5,"LOW","OK"))))</f>
        <v/>
      </c>
    </row>
    <row r="944" ht="22" customHeight="1">
      <c r="B944" s="8" t="inlineStr">
        <is>
          <t>MTR-DOM-006</t>
        </is>
      </c>
      <c r="C944" s="8" t="inlineStr">
        <is>
          <t>2024-08-01</t>
        </is>
      </c>
      <c r="D944" s="12" t="n">
        <v>10.06</v>
      </c>
      <c r="E944" s="12" t="n">
        <v>10</v>
      </c>
      <c r="F944" s="12">
        <f>ROUND(D944-E944,2)</f>
        <v/>
      </c>
      <c r="G944" s="15">
        <f>IFERROR(ROUND(F944/E944,4),"")</f>
        <v/>
      </c>
      <c r="H944" s="16">
        <f>IF(D944=0,"NO DATA",IF(D944&gt;E944*1.5,"OVER",IF(D944&gt;E944*1.1,"HIGH",IF(D944&lt;E944*0.5,"LOW","OK"))))</f>
        <v/>
      </c>
    </row>
    <row r="945" ht="22" customHeight="1">
      <c r="B945" s="5" t="inlineStr">
        <is>
          <t>MTR-DOM-006</t>
        </is>
      </c>
      <c r="C945" s="5" t="inlineStr">
        <is>
          <t>2024-08-02</t>
        </is>
      </c>
      <c r="D945" s="11" t="n">
        <v>11.37</v>
      </c>
      <c r="E945" s="11" t="n">
        <v>10</v>
      </c>
      <c r="F945" s="11">
        <f>ROUND(D945-E945,2)</f>
        <v/>
      </c>
      <c r="G945" s="13">
        <f>IFERROR(ROUND(F945/E945,4),"")</f>
        <v/>
      </c>
      <c r="H945" s="14">
        <f>IF(D945=0,"NO DATA",IF(D945&gt;E945*1.5,"OVER",IF(D945&gt;E945*1.1,"HIGH",IF(D945&lt;E945*0.5,"LOW","OK"))))</f>
        <v/>
      </c>
    </row>
    <row r="946" ht="22" customHeight="1">
      <c r="B946" s="8" t="inlineStr">
        <is>
          <t>MTR-DOM-006</t>
        </is>
      </c>
      <c r="C946" s="8" t="inlineStr">
        <is>
          <t>2024-08-03</t>
        </is>
      </c>
      <c r="D946" s="12" t="n">
        <v>9.710000000000001</v>
      </c>
      <c r="E946" s="12" t="n">
        <v>10</v>
      </c>
      <c r="F946" s="12">
        <f>ROUND(D946-E946,2)</f>
        <v/>
      </c>
      <c r="G946" s="15">
        <f>IFERROR(ROUND(F946/E946,4),"")</f>
        <v/>
      </c>
      <c r="H946" s="16">
        <f>IF(D946=0,"NO DATA",IF(D946&gt;E946*1.5,"OVER",IF(D946&gt;E946*1.1,"HIGH",IF(D946&lt;E946*0.5,"LOW","OK"))))</f>
        <v/>
      </c>
    </row>
    <row r="947" ht="22" customHeight="1">
      <c r="B947" s="5" t="inlineStr">
        <is>
          <t>MTR-DOM-006</t>
        </is>
      </c>
      <c r="C947" s="5" t="inlineStr">
        <is>
          <t>2024-08-04</t>
        </is>
      </c>
      <c r="D947" s="11" t="n">
        <v>5.3</v>
      </c>
      <c r="E947" s="11" t="n">
        <v>10</v>
      </c>
      <c r="F947" s="11">
        <f>ROUND(D947-E947,2)</f>
        <v/>
      </c>
      <c r="G947" s="13">
        <f>IFERROR(ROUND(F947/E947,4),"")</f>
        <v/>
      </c>
      <c r="H947" s="14">
        <f>IF(D947=0,"NO DATA",IF(D947&gt;E947*1.5,"OVER",IF(D947&gt;E947*1.1,"HIGH",IF(D947&lt;E947*0.5,"LOW","OK"))))</f>
        <v/>
      </c>
    </row>
    <row r="948" ht="22" customHeight="1">
      <c r="B948" s="8" t="inlineStr">
        <is>
          <t>MTR-DOM-006</t>
        </is>
      </c>
      <c r="C948" s="8" t="inlineStr">
        <is>
          <t>2024-08-05</t>
        </is>
      </c>
      <c r="D948" s="12" t="n">
        <v>11.15</v>
      </c>
      <c r="E948" s="12" t="n">
        <v>10</v>
      </c>
      <c r="F948" s="12">
        <f>ROUND(D948-E948,2)</f>
        <v/>
      </c>
      <c r="G948" s="15">
        <f>IFERROR(ROUND(F948/E948,4),"")</f>
        <v/>
      </c>
      <c r="H948" s="16">
        <f>IF(D948=0,"NO DATA",IF(D948&gt;E948*1.5,"OVER",IF(D948&gt;E948*1.1,"HIGH",IF(D948&lt;E948*0.5,"LOW","OK"))))</f>
        <v/>
      </c>
    </row>
    <row r="949" ht="22" customHeight="1">
      <c r="B949" s="5" t="inlineStr">
        <is>
          <t>MTR-DOM-006</t>
        </is>
      </c>
      <c r="C949" s="5" t="inlineStr">
        <is>
          <t>2024-08-06</t>
        </is>
      </c>
      <c r="D949" s="11" t="n">
        <v>9.69</v>
      </c>
      <c r="E949" s="11" t="n">
        <v>10</v>
      </c>
      <c r="F949" s="11">
        <f>ROUND(D949-E949,2)</f>
        <v/>
      </c>
      <c r="G949" s="13">
        <f>IFERROR(ROUND(F949/E949,4),"")</f>
        <v/>
      </c>
      <c r="H949" s="14">
        <f>IF(D949=0,"NO DATA",IF(D949&gt;E949*1.5,"OVER",IF(D949&gt;E949*1.1,"HIGH",IF(D949&lt;E949*0.5,"LOW","OK"))))</f>
        <v/>
      </c>
    </row>
    <row r="950" ht="22" customHeight="1">
      <c r="B950" s="8" t="inlineStr">
        <is>
          <t>MTR-DOM-006</t>
        </is>
      </c>
      <c r="C950" s="8" t="inlineStr">
        <is>
          <t>2024-08-07</t>
        </is>
      </c>
      <c r="D950" s="12" t="n">
        <v>12.35</v>
      </c>
      <c r="E950" s="12" t="n">
        <v>10</v>
      </c>
      <c r="F950" s="12">
        <f>ROUND(D950-E950,2)</f>
        <v/>
      </c>
      <c r="G950" s="15">
        <f>IFERROR(ROUND(F950/E950,4),"")</f>
        <v/>
      </c>
      <c r="H950" s="16">
        <f>IF(D950=0,"NO DATA",IF(D950&gt;E950*1.5,"OVER",IF(D950&gt;E950*1.1,"HIGH",IF(D950&lt;E950*0.5,"LOW","OK"))))</f>
        <v/>
      </c>
    </row>
    <row r="951" ht="22" customHeight="1">
      <c r="B951" s="5" t="inlineStr">
        <is>
          <t>MTR-DOM-006</t>
        </is>
      </c>
      <c r="C951" s="5" t="inlineStr">
        <is>
          <t>2024-08-08</t>
        </is>
      </c>
      <c r="D951" s="11" t="n">
        <v>10.65</v>
      </c>
      <c r="E951" s="11" t="n">
        <v>10</v>
      </c>
      <c r="F951" s="11">
        <f>ROUND(D951-E951,2)</f>
        <v/>
      </c>
      <c r="G951" s="13">
        <f>IFERROR(ROUND(F951/E951,4),"")</f>
        <v/>
      </c>
      <c r="H951" s="14">
        <f>IF(D951=0,"NO DATA",IF(D951&gt;E951*1.5,"OVER",IF(D951&gt;E951*1.1,"HIGH",IF(D951&lt;E951*0.5,"LOW","OK"))))</f>
        <v/>
      </c>
    </row>
    <row r="952" ht="22" customHeight="1">
      <c r="B952" s="8" t="inlineStr">
        <is>
          <t>MTR-DOM-006</t>
        </is>
      </c>
      <c r="C952" s="8" t="inlineStr">
        <is>
          <t>2024-08-09</t>
        </is>
      </c>
      <c r="D952" s="12" t="n">
        <v>11.56</v>
      </c>
      <c r="E952" s="12" t="n">
        <v>10</v>
      </c>
      <c r="F952" s="12">
        <f>ROUND(D952-E952,2)</f>
        <v/>
      </c>
      <c r="G952" s="15">
        <f>IFERROR(ROUND(F952/E952,4),"")</f>
        <v/>
      </c>
      <c r="H952" s="16">
        <f>IF(D952=0,"NO DATA",IF(D952&gt;E952*1.5,"OVER",IF(D952&gt;E952*1.1,"HIGH",IF(D952&lt;E952*0.5,"LOW","OK"))))</f>
        <v/>
      </c>
    </row>
    <row r="953" ht="22" customHeight="1">
      <c r="B953" s="5" t="inlineStr">
        <is>
          <t>MTR-DOM-006</t>
        </is>
      </c>
      <c r="C953" s="5" t="inlineStr">
        <is>
          <t>2024-08-10</t>
        </is>
      </c>
      <c r="D953" s="11" t="n">
        <v>7.97</v>
      </c>
      <c r="E953" s="11" t="n">
        <v>10</v>
      </c>
      <c r="F953" s="11">
        <f>ROUND(D953-E953,2)</f>
        <v/>
      </c>
      <c r="G953" s="13">
        <f>IFERROR(ROUND(F953/E953,4),"")</f>
        <v/>
      </c>
      <c r="H953" s="14">
        <f>IF(D953=0,"NO DATA",IF(D953&gt;E953*1.5,"OVER",IF(D953&gt;E953*1.1,"HIGH",IF(D953&lt;E953*0.5,"LOW","OK"))))</f>
        <v/>
      </c>
    </row>
    <row r="954" ht="22" customHeight="1">
      <c r="B954" s="8" t="inlineStr">
        <is>
          <t>MTR-DOM-006</t>
        </is>
      </c>
      <c r="C954" s="8" t="inlineStr">
        <is>
          <t>2024-08-11</t>
        </is>
      </c>
      <c r="D954" s="12" t="n">
        <v>4.86</v>
      </c>
      <c r="E954" s="12" t="n">
        <v>10</v>
      </c>
      <c r="F954" s="12">
        <f>ROUND(D954-E954,2)</f>
        <v/>
      </c>
      <c r="G954" s="15">
        <f>IFERROR(ROUND(F954/E954,4),"")</f>
        <v/>
      </c>
      <c r="H954" s="16">
        <f>IF(D954=0,"NO DATA",IF(D954&gt;E954*1.5,"OVER",IF(D954&gt;E954*1.1,"HIGH",IF(D954&lt;E954*0.5,"LOW","OK"))))</f>
        <v/>
      </c>
    </row>
    <row r="955" ht="22" customHeight="1">
      <c r="B955" s="5" t="inlineStr">
        <is>
          <t>MTR-DOM-006</t>
        </is>
      </c>
      <c r="C955" s="5" t="inlineStr">
        <is>
          <t>2024-08-12</t>
        </is>
      </c>
      <c r="D955" s="11" t="n">
        <v>9.69</v>
      </c>
      <c r="E955" s="11" t="n">
        <v>10</v>
      </c>
      <c r="F955" s="11">
        <f>ROUND(D955-E955,2)</f>
        <v/>
      </c>
      <c r="G955" s="13">
        <f>IFERROR(ROUND(F955/E955,4),"")</f>
        <v/>
      </c>
      <c r="H955" s="14">
        <f>IF(D955=0,"NO DATA",IF(D955&gt;E955*1.5,"OVER",IF(D955&gt;E955*1.1,"HIGH",IF(D955&lt;E955*0.5,"LOW","OK"))))</f>
        <v/>
      </c>
    </row>
    <row r="956" ht="22" customHeight="1">
      <c r="B956" s="8" t="inlineStr">
        <is>
          <t>MTR-DOM-006</t>
        </is>
      </c>
      <c r="C956" s="8" t="inlineStr">
        <is>
          <t>2024-08-13</t>
        </is>
      </c>
      <c r="D956" s="12" t="n">
        <v>11.59</v>
      </c>
      <c r="E956" s="12" t="n">
        <v>10</v>
      </c>
      <c r="F956" s="12">
        <f>ROUND(D956-E956,2)</f>
        <v/>
      </c>
      <c r="G956" s="15">
        <f>IFERROR(ROUND(F956/E956,4),"")</f>
        <v/>
      </c>
      <c r="H956" s="16">
        <f>IF(D956=0,"NO DATA",IF(D956&gt;E956*1.5,"OVER",IF(D956&gt;E956*1.1,"HIGH",IF(D956&lt;E956*0.5,"LOW","OK"))))</f>
        <v/>
      </c>
    </row>
    <row r="957" ht="22" customHeight="1">
      <c r="B957" s="5" t="inlineStr">
        <is>
          <t>MTR-DOM-006</t>
        </is>
      </c>
      <c r="C957" s="5" t="inlineStr">
        <is>
          <t>2024-08-14</t>
        </is>
      </c>
      <c r="D957" s="11" t="n">
        <v>10.67</v>
      </c>
      <c r="E957" s="11" t="n">
        <v>10</v>
      </c>
      <c r="F957" s="11">
        <f>ROUND(D957-E957,2)</f>
        <v/>
      </c>
      <c r="G957" s="13">
        <f>IFERROR(ROUND(F957/E957,4),"")</f>
        <v/>
      </c>
      <c r="H957" s="14">
        <f>IF(D957=0,"NO DATA",IF(D957&gt;E957*1.5,"OVER",IF(D957&gt;E957*1.1,"HIGH",IF(D957&lt;E957*0.5,"LOW","OK"))))</f>
        <v/>
      </c>
    </row>
    <row r="958" ht="22" customHeight="1">
      <c r="B958" s="8" t="inlineStr">
        <is>
          <t>MTR-DOM-006</t>
        </is>
      </c>
      <c r="C958" s="8" t="inlineStr">
        <is>
          <t>2024-08-15</t>
        </is>
      </c>
      <c r="D958" s="12" t="n">
        <v>12.38</v>
      </c>
      <c r="E958" s="12" t="n">
        <v>10</v>
      </c>
      <c r="F958" s="12">
        <f>ROUND(D958-E958,2)</f>
        <v/>
      </c>
      <c r="G958" s="15">
        <f>IFERROR(ROUND(F958/E958,4),"")</f>
        <v/>
      </c>
      <c r="H958" s="16">
        <f>IF(D958=0,"NO DATA",IF(D958&gt;E958*1.5,"OVER",IF(D958&gt;E958*1.1,"HIGH",IF(D958&lt;E958*0.5,"LOW","OK"))))</f>
        <v/>
      </c>
    </row>
    <row r="959" ht="22" customHeight="1">
      <c r="B959" s="5" t="inlineStr">
        <is>
          <t>MTR-DOM-006</t>
        </is>
      </c>
      <c r="C959" s="5" t="inlineStr">
        <is>
          <t>2024-08-16</t>
        </is>
      </c>
      <c r="D959" s="11" t="n">
        <v>9.890000000000001</v>
      </c>
      <c r="E959" s="11" t="n">
        <v>10</v>
      </c>
      <c r="F959" s="11">
        <f>ROUND(D959-E959,2)</f>
        <v/>
      </c>
      <c r="G959" s="13">
        <f>IFERROR(ROUND(F959/E959,4),"")</f>
        <v/>
      </c>
      <c r="H959" s="14">
        <f>IF(D959=0,"NO DATA",IF(D959&gt;E959*1.5,"OVER",IF(D959&gt;E959*1.1,"HIGH",IF(D959&lt;E959*0.5,"LOW","OK"))))</f>
        <v/>
      </c>
    </row>
    <row r="960" ht="22" customHeight="1">
      <c r="B960" s="8" t="inlineStr">
        <is>
          <t>MTR-DOM-006</t>
        </is>
      </c>
      <c r="C960" s="8" t="inlineStr">
        <is>
          <t>2024-08-17</t>
        </is>
      </c>
      <c r="D960" s="12" t="n">
        <v>9.640000000000001</v>
      </c>
      <c r="E960" s="12" t="n">
        <v>10</v>
      </c>
      <c r="F960" s="12">
        <f>ROUND(D960-E960,2)</f>
        <v/>
      </c>
      <c r="G960" s="15">
        <f>IFERROR(ROUND(F960/E960,4),"")</f>
        <v/>
      </c>
      <c r="H960" s="16">
        <f>IF(D960=0,"NO DATA",IF(D960&gt;E960*1.5,"OVER",IF(D960&gt;E960*1.1,"HIGH",IF(D960&lt;E960*0.5,"LOW","OK"))))</f>
        <v/>
      </c>
    </row>
    <row r="961" ht="22" customHeight="1">
      <c r="B961" s="5" t="inlineStr">
        <is>
          <t>MTR-DOM-006</t>
        </is>
      </c>
      <c r="C961" s="5" t="inlineStr">
        <is>
          <t>2024-08-18</t>
        </is>
      </c>
      <c r="D961" s="11" t="n">
        <v>5.66</v>
      </c>
      <c r="E961" s="11" t="n">
        <v>10</v>
      </c>
      <c r="F961" s="11">
        <f>ROUND(D961-E961,2)</f>
        <v/>
      </c>
      <c r="G961" s="13">
        <f>IFERROR(ROUND(F961/E961,4),"")</f>
        <v/>
      </c>
      <c r="H961" s="14">
        <f>IF(D961=0,"NO DATA",IF(D961&gt;E961*1.5,"OVER",IF(D961&gt;E961*1.1,"HIGH",IF(D961&lt;E961*0.5,"LOW","OK"))))</f>
        <v/>
      </c>
    </row>
    <row r="962" ht="22" customHeight="1">
      <c r="B962" s="8" t="inlineStr">
        <is>
          <t>MTR-DOM-006</t>
        </is>
      </c>
      <c r="C962" s="8" t="inlineStr">
        <is>
          <t>2024-08-19</t>
        </is>
      </c>
      <c r="D962" s="12" t="n">
        <v>9.59</v>
      </c>
      <c r="E962" s="12" t="n">
        <v>10</v>
      </c>
      <c r="F962" s="12">
        <f>ROUND(D962-E962,2)</f>
        <v/>
      </c>
      <c r="G962" s="15">
        <f>IFERROR(ROUND(F962/E962,4),"")</f>
        <v/>
      </c>
      <c r="H962" s="16">
        <f>IF(D962=0,"NO DATA",IF(D962&gt;E962*1.5,"OVER",IF(D962&gt;E962*1.1,"HIGH",IF(D962&lt;E962*0.5,"LOW","OK"))))</f>
        <v/>
      </c>
    </row>
    <row r="963" ht="22" customHeight="1">
      <c r="B963" s="5" t="inlineStr">
        <is>
          <t>MTR-DOM-006</t>
        </is>
      </c>
      <c r="C963" s="5" t="inlineStr">
        <is>
          <t>2024-08-20</t>
        </is>
      </c>
      <c r="D963" s="11" t="n">
        <v>12.39</v>
      </c>
      <c r="E963" s="11" t="n">
        <v>10</v>
      </c>
      <c r="F963" s="11">
        <f>ROUND(D963-E963,2)</f>
        <v/>
      </c>
      <c r="G963" s="13">
        <f>IFERROR(ROUND(F963/E963,4),"")</f>
        <v/>
      </c>
      <c r="H963" s="14">
        <f>IF(D963=0,"NO DATA",IF(D963&gt;E963*1.5,"OVER",IF(D963&gt;E963*1.1,"HIGH",IF(D963&lt;E963*0.5,"LOW","OK"))))</f>
        <v/>
      </c>
    </row>
    <row r="964" ht="22" customHeight="1">
      <c r="B964" s="8" t="inlineStr">
        <is>
          <t>MTR-DOM-006</t>
        </is>
      </c>
      <c r="C964" s="8" t="inlineStr">
        <is>
          <t>2024-08-21</t>
        </is>
      </c>
      <c r="D964" s="12" t="n">
        <v>10.51</v>
      </c>
      <c r="E964" s="12" t="n">
        <v>10</v>
      </c>
      <c r="F964" s="12">
        <f>ROUND(D964-E964,2)</f>
        <v/>
      </c>
      <c r="G964" s="15">
        <f>IFERROR(ROUND(F964/E964,4),"")</f>
        <v/>
      </c>
      <c r="H964" s="16">
        <f>IF(D964=0,"NO DATA",IF(D964&gt;E964*1.5,"OVER",IF(D964&gt;E964*1.1,"HIGH",IF(D964&lt;E964*0.5,"LOW","OK"))))</f>
        <v/>
      </c>
    </row>
    <row r="965" ht="22" customHeight="1">
      <c r="B965" s="5" t="inlineStr">
        <is>
          <t>MTR-DOM-006</t>
        </is>
      </c>
      <c r="C965" s="5" t="inlineStr">
        <is>
          <t>2024-08-22</t>
        </is>
      </c>
      <c r="D965" s="11" t="n">
        <v>9.699999999999999</v>
      </c>
      <c r="E965" s="11" t="n">
        <v>10</v>
      </c>
      <c r="F965" s="11">
        <f>ROUND(D965-E965,2)</f>
        <v/>
      </c>
      <c r="G965" s="13">
        <f>IFERROR(ROUND(F965/E965,4),"")</f>
        <v/>
      </c>
      <c r="H965" s="14">
        <f>IF(D965=0,"NO DATA",IF(D965&gt;E965*1.5,"OVER",IF(D965&gt;E965*1.1,"HIGH",IF(D965&lt;E965*0.5,"LOW","OK"))))</f>
        <v/>
      </c>
    </row>
    <row r="966" ht="22" customHeight="1">
      <c r="B966" s="8" t="inlineStr">
        <is>
          <t>MTR-DOM-006</t>
        </is>
      </c>
      <c r="C966" s="8" t="inlineStr">
        <is>
          <t>2024-08-23</t>
        </is>
      </c>
      <c r="D966" s="12" t="n">
        <v>9.380000000000001</v>
      </c>
      <c r="E966" s="12" t="n">
        <v>10</v>
      </c>
      <c r="F966" s="12">
        <f>ROUND(D966-E966,2)</f>
        <v/>
      </c>
      <c r="G966" s="15">
        <f>IFERROR(ROUND(F966/E966,4),"")</f>
        <v/>
      </c>
      <c r="H966" s="16">
        <f>IF(D966=0,"NO DATA",IF(D966&gt;E966*1.5,"OVER",IF(D966&gt;E966*1.1,"HIGH",IF(D966&lt;E966*0.5,"LOW","OK"))))</f>
        <v/>
      </c>
    </row>
    <row r="967" ht="22" customHeight="1">
      <c r="B967" s="5" t="inlineStr">
        <is>
          <t>MTR-DOM-006</t>
        </is>
      </c>
      <c r="C967" s="5" t="inlineStr">
        <is>
          <t>2024-08-24</t>
        </is>
      </c>
      <c r="D967" s="11" t="n">
        <v>8.960000000000001</v>
      </c>
      <c r="E967" s="11" t="n">
        <v>10</v>
      </c>
      <c r="F967" s="11">
        <f>ROUND(D967-E967,2)</f>
        <v/>
      </c>
      <c r="G967" s="13">
        <f>IFERROR(ROUND(F967/E967,4),"")</f>
        <v/>
      </c>
      <c r="H967" s="14">
        <f>IF(D967=0,"NO DATA",IF(D967&gt;E967*1.5,"OVER",IF(D967&gt;E967*1.1,"HIGH",IF(D967&lt;E967*0.5,"LOW","OK"))))</f>
        <v/>
      </c>
    </row>
    <row r="968" ht="22" customHeight="1">
      <c r="B968" s="8" t="inlineStr">
        <is>
          <t>MTR-DOM-006</t>
        </is>
      </c>
      <c r="C968" s="8" t="inlineStr">
        <is>
          <t>2024-08-25</t>
        </is>
      </c>
      <c r="D968" s="12" t="n">
        <v>5.61</v>
      </c>
      <c r="E968" s="12" t="n">
        <v>10</v>
      </c>
      <c r="F968" s="12">
        <f>ROUND(D968-E968,2)</f>
        <v/>
      </c>
      <c r="G968" s="15">
        <f>IFERROR(ROUND(F968/E968,4),"")</f>
        <v/>
      </c>
      <c r="H968" s="16">
        <f>IF(D968=0,"NO DATA",IF(D968&gt;E968*1.5,"OVER",IF(D968&gt;E968*1.1,"HIGH",IF(D968&lt;E968*0.5,"LOW","OK"))))</f>
        <v/>
      </c>
    </row>
    <row r="969" ht="22" customHeight="1">
      <c r="B969" s="5" t="inlineStr">
        <is>
          <t>MTR-DOM-006</t>
        </is>
      </c>
      <c r="C969" s="5" t="inlineStr">
        <is>
          <t>2024-08-26</t>
        </is>
      </c>
      <c r="D969" s="11" t="n">
        <v>9.880000000000001</v>
      </c>
      <c r="E969" s="11" t="n">
        <v>10</v>
      </c>
      <c r="F969" s="11">
        <f>ROUND(D969-E969,2)</f>
        <v/>
      </c>
      <c r="G969" s="13">
        <f>IFERROR(ROUND(F969/E969,4),"")</f>
        <v/>
      </c>
      <c r="H969" s="14">
        <f>IF(D969=0,"NO DATA",IF(D969&gt;E969*1.5,"OVER",IF(D969&gt;E969*1.1,"HIGH",IF(D969&lt;E969*0.5,"LOW","OK"))))</f>
        <v/>
      </c>
    </row>
    <row r="970" ht="22" customHeight="1">
      <c r="B970" s="8" t="inlineStr">
        <is>
          <t>MTR-DOM-006</t>
        </is>
      </c>
      <c r="C970" s="8" t="inlineStr">
        <is>
          <t>2024-08-27</t>
        </is>
      </c>
      <c r="D970" s="12" t="n">
        <v>11.99</v>
      </c>
      <c r="E970" s="12" t="n">
        <v>10</v>
      </c>
      <c r="F970" s="12">
        <f>ROUND(D970-E970,2)</f>
        <v/>
      </c>
      <c r="G970" s="15">
        <f>IFERROR(ROUND(F970/E970,4),"")</f>
        <v/>
      </c>
      <c r="H970" s="16">
        <f>IF(D970=0,"NO DATA",IF(D970&gt;E970*1.5,"OVER",IF(D970&gt;E970*1.1,"HIGH",IF(D970&lt;E970*0.5,"LOW","OK"))))</f>
        <v/>
      </c>
    </row>
    <row r="971" ht="22" customHeight="1">
      <c r="B971" s="5" t="inlineStr">
        <is>
          <t>MTR-DOM-006</t>
        </is>
      </c>
      <c r="C971" s="5" t="inlineStr">
        <is>
          <t>2024-08-28</t>
        </is>
      </c>
      <c r="D971" s="11" t="n">
        <v>10.23</v>
      </c>
      <c r="E971" s="11" t="n">
        <v>10</v>
      </c>
      <c r="F971" s="11">
        <f>ROUND(D971-E971,2)</f>
        <v/>
      </c>
      <c r="G971" s="13">
        <f>IFERROR(ROUND(F971/E971,4),"")</f>
        <v/>
      </c>
      <c r="H971" s="14">
        <f>IF(D971=0,"NO DATA",IF(D971&gt;E971*1.5,"OVER",IF(D971&gt;E971*1.1,"HIGH",IF(D971&lt;E971*0.5,"LOW","OK"))))</f>
        <v/>
      </c>
    </row>
    <row r="972" ht="22" customHeight="1">
      <c r="B972" s="8" t="inlineStr">
        <is>
          <t>MTR-DOM-006</t>
        </is>
      </c>
      <c r="C972" s="8" t="inlineStr">
        <is>
          <t>2024-08-29</t>
        </is>
      </c>
      <c r="D972" s="12" t="n">
        <v>11.5</v>
      </c>
      <c r="E972" s="12" t="n">
        <v>10</v>
      </c>
      <c r="F972" s="12">
        <f>ROUND(D972-E972,2)</f>
        <v/>
      </c>
      <c r="G972" s="15">
        <f>IFERROR(ROUND(F972/E972,4),"")</f>
        <v/>
      </c>
      <c r="H972" s="16">
        <f>IF(D972=0,"NO DATA",IF(D972&gt;E972*1.5,"OVER",IF(D972&gt;E972*1.1,"HIGH",IF(D972&lt;E972*0.5,"LOW","OK"))))</f>
        <v/>
      </c>
    </row>
    <row r="973" ht="22" customHeight="1">
      <c r="B973" s="5" t="inlineStr">
        <is>
          <t>MTR-DOM-006</t>
        </is>
      </c>
      <c r="C973" s="5" t="inlineStr">
        <is>
          <t>2024-08-30</t>
        </is>
      </c>
      <c r="D973" s="11" t="n">
        <v>12.34</v>
      </c>
      <c r="E973" s="11" t="n">
        <v>10</v>
      </c>
      <c r="F973" s="11">
        <f>ROUND(D973-E973,2)</f>
        <v/>
      </c>
      <c r="G973" s="13">
        <f>IFERROR(ROUND(F973/E973,4),"")</f>
        <v/>
      </c>
      <c r="H973" s="14">
        <f>IF(D973=0,"NO DATA",IF(D973&gt;E973*1.5,"OVER",IF(D973&gt;E973*1.1,"HIGH",IF(D973&lt;E973*0.5,"LOW","OK"))))</f>
        <v/>
      </c>
    </row>
    <row r="974" ht="22" customHeight="1">
      <c r="B974" s="8" t="inlineStr">
        <is>
          <t>MTR-DOM-006</t>
        </is>
      </c>
      <c r="C974" s="8" t="inlineStr">
        <is>
          <t>2024-08-31</t>
        </is>
      </c>
      <c r="D974" s="12" t="n">
        <v>8.77</v>
      </c>
      <c r="E974" s="12" t="n">
        <v>10</v>
      </c>
      <c r="F974" s="12">
        <f>ROUND(D974-E974,2)</f>
        <v/>
      </c>
      <c r="G974" s="15">
        <f>IFERROR(ROUND(F974/E974,4),"")</f>
        <v/>
      </c>
      <c r="H974" s="16">
        <f>IF(D974=0,"NO DATA",IF(D974&gt;E974*1.5,"OVER",IF(D974&gt;E974*1.1,"HIGH",IF(D974&lt;E974*0.5,"LOW","OK"))))</f>
        <v/>
      </c>
    </row>
    <row r="975" ht="22" customHeight="1">
      <c r="B975" s="5" t="inlineStr">
        <is>
          <t>MTR-DOM-006</t>
        </is>
      </c>
      <c r="C975" s="5" t="inlineStr">
        <is>
          <t>2024-09-01</t>
        </is>
      </c>
      <c r="D975" s="11" t="n">
        <v>5.63</v>
      </c>
      <c r="E975" s="11" t="n">
        <v>10</v>
      </c>
      <c r="F975" s="11">
        <f>ROUND(D975-E975,2)</f>
        <v/>
      </c>
      <c r="G975" s="13">
        <f>IFERROR(ROUND(F975/E975,4),"")</f>
        <v/>
      </c>
      <c r="H975" s="14">
        <f>IF(D975=0,"NO DATA",IF(D975&gt;E975*1.5,"OVER",IF(D975&gt;E975*1.1,"HIGH",IF(D975&lt;E975*0.5,"LOW","OK"))))</f>
        <v/>
      </c>
    </row>
    <row r="976" ht="22" customHeight="1">
      <c r="B976" s="8" t="inlineStr">
        <is>
          <t>MTR-DOM-006</t>
        </is>
      </c>
      <c r="C976" s="8" t="inlineStr">
        <is>
          <t>2024-09-02</t>
        </is>
      </c>
      <c r="D976" s="12" t="n">
        <v>9.32</v>
      </c>
      <c r="E976" s="12" t="n">
        <v>10</v>
      </c>
      <c r="F976" s="12">
        <f>ROUND(D976-E976,2)</f>
        <v/>
      </c>
      <c r="G976" s="15">
        <f>IFERROR(ROUND(F976/E976,4),"")</f>
        <v/>
      </c>
      <c r="H976" s="16">
        <f>IF(D976=0,"NO DATA",IF(D976&gt;E976*1.5,"OVER",IF(D976&gt;E976*1.1,"HIGH",IF(D976&lt;E976*0.5,"LOW","OK"))))</f>
        <v/>
      </c>
    </row>
    <row r="977" ht="22" customHeight="1">
      <c r="B977" s="5" t="inlineStr">
        <is>
          <t>MTR-DOM-006</t>
        </is>
      </c>
      <c r="C977" s="5" t="inlineStr">
        <is>
          <t>2024-09-03</t>
        </is>
      </c>
      <c r="D977" s="11" t="n">
        <v>11.46</v>
      </c>
      <c r="E977" s="11" t="n">
        <v>10</v>
      </c>
      <c r="F977" s="11">
        <f>ROUND(D977-E977,2)</f>
        <v/>
      </c>
      <c r="G977" s="13">
        <f>IFERROR(ROUND(F977/E977,4),"")</f>
        <v/>
      </c>
      <c r="H977" s="14">
        <f>IF(D977=0,"NO DATA",IF(D977&gt;E977*1.5,"OVER",IF(D977&gt;E977*1.1,"HIGH",IF(D977&lt;E977*0.5,"LOW","OK"))))</f>
        <v/>
      </c>
    </row>
    <row r="978" ht="22" customHeight="1">
      <c r="B978" s="8" t="inlineStr">
        <is>
          <t>MTR-DOM-006</t>
        </is>
      </c>
      <c r="C978" s="8" t="inlineStr">
        <is>
          <t>2024-09-04</t>
        </is>
      </c>
      <c r="D978" s="12" t="n">
        <v>11.58</v>
      </c>
      <c r="E978" s="12" t="n">
        <v>10</v>
      </c>
      <c r="F978" s="12">
        <f>ROUND(D978-E978,2)</f>
        <v/>
      </c>
      <c r="G978" s="15">
        <f>IFERROR(ROUND(F978/E978,4),"")</f>
        <v/>
      </c>
      <c r="H978" s="16">
        <f>IF(D978=0,"NO DATA",IF(D978&gt;E978*1.5,"OVER",IF(D978&gt;E978*1.1,"HIGH",IF(D978&lt;E978*0.5,"LOW","OK"))))</f>
        <v/>
      </c>
    </row>
    <row r="979" ht="22" customHeight="1">
      <c r="B979" s="5" t="inlineStr">
        <is>
          <t>MTR-DOM-006</t>
        </is>
      </c>
      <c r="C979" s="5" t="inlineStr">
        <is>
          <t>2024-09-05</t>
        </is>
      </c>
      <c r="D979" s="11" t="n">
        <v>12.13</v>
      </c>
      <c r="E979" s="11" t="n">
        <v>10</v>
      </c>
      <c r="F979" s="11">
        <f>ROUND(D979-E979,2)</f>
        <v/>
      </c>
      <c r="G979" s="13">
        <f>IFERROR(ROUND(F979/E979,4),"")</f>
        <v/>
      </c>
      <c r="H979" s="14">
        <f>IF(D979=0,"NO DATA",IF(D979&gt;E979*1.5,"OVER",IF(D979&gt;E979*1.1,"HIGH",IF(D979&lt;E979*0.5,"LOW","OK"))))</f>
        <v/>
      </c>
    </row>
    <row r="980" ht="22" customHeight="1">
      <c r="B980" s="8" t="inlineStr">
        <is>
          <t>MTR-DOM-006</t>
        </is>
      </c>
      <c r="C980" s="8" t="inlineStr">
        <is>
          <t>2024-09-06</t>
        </is>
      </c>
      <c r="D980" s="12" t="n">
        <v>9.789999999999999</v>
      </c>
      <c r="E980" s="12" t="n">
        <v>10</v>
      </c>
      <c r="F980" s="12">
        <f>ROUND(D980-E980,2)</f>
        <v/>
      </c>
      <c r="G980" s="15">
        <f>IFERROR(ROUND(F980/E980,4),"")</f>
        <v/>
      </c>
      <c r="H980" s="16">
        <f>IF(D980=0,"NO DATA",IF(D980&gt;E980*1.5,"OVER",IF(D980&gt;E980*1.1,"HIGH",IF(D980&lt;E980*0.5,"LOW","OK"))))</f>
        <v/>
      </c>
    </row>
    <row r="981" ht="22" customHeight="1">
      <c r="B981" s="5" t="inlineStr">
        <is>
          <t>MTR-DOM-006</t>
        </is>
      </c>
      <c r="C981" s="5" t="inlineStr">
        <is>
          <t>2024-09-07</t>
        </is>
      </c>
      <c r="D981" s="11" t="n">
        <v>8.44</v>
      </c>
      <c r="E981" s="11" t="n">
        <v>10</v>
      </c>
      <c r="F981" s="11">
        <f>ROUND(D981-E981,2)</f>
        <v/>
      </c>
      <c r="G981" s="13">
        <f>IFERROR(ROUND(F981/E981,4),"")</f>
        <v/>
      </c>
      <c r="H981" s="14">
        <f>IF(D981=0,"NO DATA",IF(D981&gt;E981*1.5,"OVER",IF(D981&gt;E981*1.1,"HIGH",IF(D981&lt;E981*0.5,"LOW","OK"))))</f>
        <v/>
      </c>
    </row>
    <row r="982" ht="22" customHeight="1">
      <c r="B982" s="8" t="inlineStr">
        <is>
          <t>MTR-DOM-006</t>
        </is>
      </c>
      <c r="C982" s="8" t="inlineStr">
        <is>
          <t>2024-09-08</t>
        </is>
      </c>
      <c r="D982" s="12" t="n">
        <v>6.16</v>
      </c>
      <c r="E982" s="12" t="n">
        <v>10</v>
      </c>
      <c r="F982" s="12">
        <f>ROUND(D982-E982,2)</f>
        <v/>
      </c>
      <c r="G982" s="15">
        <f>IFERROR(ROUND(F982/E982,4),"")</f>
        <v/>
      </c>
      <c r="H982" s="16">
        <f>IF(D982=0,"NO DATA",IF(D982&gt;E982*1.5,"OVER",IF(D982&gt;E982*1.1,"HIGH",IF(D982&lt;E982*0.5,"LOW","OK"))))</f>
        <v/>
      </c>
    </row>
    <row r="983" ht="22" customHeight="1">
      <c r="B983" s="5" t="inlineStr">
        <is>
          <t>MTR-DOM-006</t>
        </is>
      </c>
      <c r="C983" s="5" t="inlineStr">
        <is>
          <t>2024-09-09</t>
        </is>
      </c>
      <c r="D983" s="11" t="n">
        <v>11.62</v>
      </c>
      <c r="E983" s="11" t="n">
        <v>10</v>
      </c>
      <c r="F983" s="11">
        <f>ROUND(D983-E983,2)</f>
        <v/>
      </c>
      <c r="G983" s="13">
        <f>IFERROR(ROUND(F983/E983,4),"")</f>
        <v/>
      </c>
      <c r="H983" s="14">
        <f>IF(D983=0,"NO DATA",IF(D983&gt;E983*1.5,"OVER",IF(D983&gt;E983*1.1,"HIGH",IF(D983&lt;E983*0.5,"LOW","OK"))))</f>
        <v/>
      </c>
    </row>
    <row r="984" ht="22" customHeight="1">
      <c r="B984" s="8" t="inlineStr">
        <is>
          <t>MTR-DOM-006</t>
        </is>
      </c>
      <c r="C984" s="8" t="inlineStr">
        <is>
          <t>2024-09-10</t>
        </is>
      </c>
      <c r="D984" s="12" t="n">
        <v>9.31</v>
      </c>
      <c r="E984" s="12" t="n">
        <v>10</v>
      </c>
      <c r="F984" s="12">
        <f>ROUND(D984-E984,2)</f>
        <v/>
      </c>
      <c r="G984" s="15">
        <f>IFERROR(ROUND(F984/E984,4),"")</f>
        <v/>
      </c>
      <c r="H984" s="16">
        <f>IF(D984=0,"NO DATA",IF(D984&gt;E984*1.5,"OVER",IF(D984&gt;E984*1.1,"HIGH",IF(D984&lt;E984*0.5,"LOW","OK"))))</f>
        <v/>
      </c>
    </row>
    <row r="985" ht="22" customHeight="1">
      <c r="B985" s="5" t="inlineStr">
        <is>
          <t>MTR-DOM-006</t>
        </is>
      </c>
      <c r="C985" s="5" t="inlineStr">
        <is>
          <t>2024-09-11</t>
        </is>
      </c>
      <c r="D985" s="11" t="n">
        <v>9.949999999999999</v>
      </c>
      <c r="E985" s="11" t="n">
        <v>10</v>
      </c>
      <c r="F985" s="11">
        <f>ROUND(D985-E985,2)</f>
        <v/>
      </c>
      <c r="G985" s="13">
        <f>IFERROR(ROUND(F985/E985,4),"")</f>
        <v/>
      </c>
      <c r="H985" s="14">
        <f>IF(D985=0,"NO DATA",IF(D985&gt;E985*1.5,"OVER",IF(D985&gt;E985*1.1,"HIGH",IF(D985&lt;E985*0.5,"LOW","OK"))))</f>
        <v/>
      </c>
    </row>
    <row r="986" ht="22" customHeight="1">
      <c r="B986" s="8" t="inlineStr">
        <is>
          <t>MTR-DOM-006</t>
        </is>
      </c>
      <c r="C986" s="8" t="inlineStr">
        <is>
          <t>2024-09-12</t>
        </is>
      </c>
      <c r="D986" s="12" t="n">
        <v>11.22</v>
      </c>
      <c r="E986" s="12" t="n">
        <v>10</v>
      </c>
      <c r="F986" s="12">
        <f>ROUND(D986-E986,2)</f>
        <v/>
      </c>
      <c r="G986" s="15">
        <f>IFERROR(ROUND(F986/E986,4),"")</f>
        <v/>
      </c>
      <c r="H986" s="16">
        <f>IF(D986=0,"NO DATA",IF(D986&gt;E986*1.5,"OVER",IF(D986&gt;E986*1.1,"HIGH",IF(D986&lt;E986*0.5,"LOW","OK"))))</f>
        <v/>
      </c>
    </row>
    <row r="987" ht="22" customHeight="1">
      <c r="B987" s="5" t="inlineStr">
        <is>
          <t>MTR-DOM-006</t>
        </is>
      </c>
      <c r="C987" s="5" t="inlineStr">
        <is>
          <t>2024-09-13</t>
        </is>
      </c>
      <c r="D987" s="11" t="n">
        <v>9.029999999999999</v>
      </c>
      <c r="E987" s="11" t="n">
        <v>10</v>
      </c>
      <c r="F987" s="11">
        <f>ROUND(D987-E987,2)</f>
        <v/>
      </c>
      <c r="G987" s="13">
        <f>IFERROR(ROUND(F987/E987,4),"")</f>
        <v/>
      </c>
      <c r="H987" s="14">
        <f>IF(D987=0,"NO DATA",IF(D987&gt;E987*1.5,"OVER",IF(D987&gt;E987*1.1,"HIGH",IF(D987&lt;E987*0.5,"LOW","OK"))))</f>
        <v/>
      </c>
    </row>
    <row r="988" ht="22" customHeight="1">
      <c r="B988" s="8" t="inlineStr">
        <is>
          <t>MTR-DOM-006</t>
        </is>
      </c>
      <c r="C988" s="8" t="inlineStr">
        <is>
          <t>2024-09-14</t>
        </is>
      </c>
      <c r="D988" s="12" t="n">
        <v>7.55</v>
      </c>
      <c r="E988" s="12" t="n">
        <v>10</v>
      </c>
      <c r="F988" s="12">
        <f>ROUND(D988-E988,2)</f>
        <v/>
      </c>
      <c r="G988" s="15">
        <f>IFERROR(ROUND(F988/E988,4),"")</f>
        <v/>
      </c>
      <c r="H988" s="16">
        <f>IF(D988=0,"NO DATA",IF(D988&gt;E988*1.5,"OVER",IF(D988&gt;E988*1.1,"HIGH",IF(D988&lt;E988*0.5,"LOW","OK"))))</f>
        <v/>
      </c>
    </row>
    <row r="989" ht="22" customHeight="1">
      <c r="B989" s="5" t="inlineStr">
        <is>
          <t>MTR-DOM-006</t>
        </is>
      </c>
      <c r="C989" s="5" t="inlineStr">
        <is>
          <t>2024-09-15</t>
        </is>
      </c>
      <c r="D989" s="11" t="n">
        <v>5.79</v>
      </c>
      <c r="E989" s="11" t="n">
        <v>10</v>
      </c>
      <c r="F989" s="11">
        <f>ROUND(D989-E989,2)</f>
        <v/>
      </c>
      <c r="G989" s="13">
        <f>IFERROR(ROUND(F989/E989,4),"")</f>
        <v/>
      </c>
      <c r="H989" s="14">
        <f>IF(D989=0,"NO DATA",IF(D989&gt;E989*1.5,"OVER",IF(D989&gt;E989*1.1,"HIGH",IF(D989&lt;E989*0.5,"LOW","OK"))))</f>
        <v/>
      </c>
    </row>
    <row r="990" ht="22" customHeight="1">
      <c r="B990" s="8" t="inlineStr">
        <is>
          <t>MTR-DOM-006</t>
        </is>
      </c>
      <c r="C990" s="8" t="inlineStr">
        <is>
          <t>2024-09-16</t>
        </is>
      </c>
      <c r="D990" s="12" t="n">
        <v>9.44</v>
      </c>
      <c r="E990" s="12" t="n">
        <v>10</v>
      </c>
      <c r="F990" s="12">
        <f>ROUND(D990-E990,2)</f>
        <v/>
      </c>
      <c r="G990" s="15">
        <f>IFERROR(ROUND(F990/E990,4),"")</f>
        <v/>
      </c>
      <c r="H990" s="16">
        <f>IF(D990=0,"NO DATA",IF(D990&gt;E990*1.5,"OVER",IF(D990&gt;E990*1.1,"HIGH",IF(D990&lt;E990*0.5,"LOW","OK"))))</f>
        <v/>
      </c>
    </row>
    <row r="991" ht="22" customHeight="1">
      <c r="B991" s="5" t="inlineStr">
        <is>
          <t>MTR-DOM-006</t>
        </is>
      </c>
      <c r="C991" s="5" t="inlineStr">
        <is>
          <t>2024-09-17</t>
        </is>
      </c>
      <c r="D991" s="11" t="n">
        <v>10.9</v>
      </c>
      <c r="E991" s="11" t="n">
        <v>10</v>
      </c>
      <c r="F991" s="11">
        <f>ROUND(D991-E991,2)</f>
        <v/>
      </c>
      <c r="G991" s="13">
        <f>IFERROR(ROUND(F991/E991,4),"")</f>
        <v/>
      </c>
      <c r="H991" s="14">
        <f>IF(D991=0,"NO DATA",IF(D991&gt;E991*1.5,"OVER",IF(D991&gt;E991*1.1,"HIGH",IF(D991&lt;E991*0.5,"LOW","OK"))))</f>
        <v/>
      </c>
    </row>
    <row r="992" ht="22" customHeight="1">
      <c r="B992" s="8" t="inlineStr">
        <is>
          <t>MTR-DOM-006</t>
        </is>
      </c>
      <c r="C992" s="8" t="inlineStr">
        <is>
          <t>2024-09-18</t>
        </is>
      </c>
      <c r="D992" s="12" t="n">
        <v>9.93</v>
      </c>
      <c r="E992" s="12" t="n">
        <v>10</v>
      </c>
      <c r="F992" s="12">
        <f>ROUND(D992-E992,2)</f>
        <v/>
      </c>
      <c r="G992" s="15">
        <f>IFERROR(ROUND(F992/E992,4),"")</f>
        <v/>
      </c>
      <c r="H992" s="16">
        <f>IF(D992=0,"NO DATA",IF(D992&gt;E992*1.5,"OVER",IF(D992&gt;E992*1.1,"HIGH",IF(D992&lt;E992*0.5,"LOW","OK"))))</f>
        <v/>
      </c>
    </row>
    <row r="993" ht="22" customHeight="1">
      <c r="B993" s="5" t="inlineStr">
        <is>
          <t>MTR-DOM-006</t>
        </is>
      </c>
      <c r="C993" s="5" t="inlineStr">
        <is>
          <t>2024-09-19</t>
        </is>
      </c>
      <c r="D993" s="11" t="n">
        <v>12.13</v>
      </c>
      <c r="E993" s="11" t="n">
        <v>10</v>
      </c>
      <c r="F993" s="11">
        <f>ROUND(D993-E993,2)</f>
        <v/>
      </c>
      <c r="G993" s="13">
        <f>IFERROR(ROUND(F993/E993,4),"")</f>
        <v/>
      </c>
      <c r="H993" s="14">
        <f>IF(D993=0,"NO DATA",IF(D993&gt;E993*1.5,"OVER",IF(D993&gt;E993*1.1,"HIGH",IF(D993&lt;E993*0.5,"LOW","OK"))))</f>
        <v/>
      </c>
    </row>
    <row r="994" ht="22" customHeight="1">
      <c r="B994" s="8" t="inlineStr">
        <is>
          <t>MTR-DOM-006</t>
        </is>
      </c>
      <c r="C994" s="8" t="inlineStr">
        <is>
          <t>2024-09-20</t>
        </is>
      </c>
      <c r="D994" s="12" t="n">
        <v>9.039999999999999</v>
      </c>
      <c r="E994" s="12" t="n">
        <v>10</v>
      </c>
      <c r="F994" s="12">
        <f>ROUND(D994-E994,2)</f>
        <v/>
      </c>
      <c r="G994" s="15">
        <f>IFERROR(ROUND(F994/E994,4),"")</f>
        <v/>
      </c>
      <c r="H994" s="16">
        <f>IF(D994=0,"NO DATA",IF(D994&gt;E994*1.5,"OVER",IF(D994&gt;E994*1.1,"HIGH",IF(D994&lt;E994*0.5,"LOW","OK"))))</f>
        <v/>
      </c>
    </row>
    <row r="995" ht="22" customHeight="1">
      <c r="B995" s="5" t="inlineStr">
        <is>
          <t>MTR-DOM-006</t>
        </is>
      </c>
      <c r="C995" s="5" t="inlineStr">
        <is>
          <t>2024-09-21</t>
        </is>
      </c>
      <c r="D995" s="11" t="n">
        <v>7.49</v>
      </c>
      <c r="E995" s="11" t="n">
        <v>10</v>
      </c>
      <c r="F995" s="11">
        <f>ROUND(D995-E995,2)</f>
        <v/>
      </c>
      <c r="G995" s="13">
        <f>IFERROR(ROUND(F995/E995,4),"")</f>
        <v/>
      </c>
      <c r="H995" s="14">
        <f>IF(D995=0,"NO DATA",IF(D995&gt;E995*1.5,"OVER",IF(D995&gt;E995*1.1,"HIGH",IF(D995&lt;E995*0.5,"LOW","OK"))))</f>
        <v/>
      </c>
    </row>
    <row r="996" ht="22" customHeight="1">
      <c r="B996" s="8" t="inlineStr">
        <is>
          <t>MTR-DOM-006</t>
        </is>
      </c>
      <c r="C996" s="8" t="inlineStr">
        <is>
          <t>2024-09-22</t>
        </is>
      </c>
      <c r="D996" s="12" t="n">
        <v>5.69</v>
      </c>
      <c r="E996" s="12" t="n">
        <v>10</v>
      </c>
      <c r="F996" s="12">
        <f>ROUND(D996-E996,2)</f>
        <v/>
      </c>
      <c r="G996" s="15">
        <f>IFERROR(ROUND(F996/E996,4),"")</f>
        <v/>
      </c>
      <c r="H996" s="16">
        <f>IF(D996=0,"NO DATA",IF(D996&gt;E996*1.5,"OVER",IF(D996&gt;E996*1.1,"HIGH",IF(D996&lt;E996*0.5,"LOW","OK"))))</f>
        <v/>
      </c>
    </row>
    <row r="997" ht="22" customHeight="1">
      <c r="B997" s="5" t="inlineStr">
        <is>
          <t>MTR-DOM-006</t>
        </is>
      </c>
      <c r="C997" s="5" t="inlineStr">
        <is>
          <t>2024-09-23</t>
        </is>
      </c>
      <c r="D997" s="11" t="n">
        <v>10.44</v>
      </c>
      <c r="E997" s="11" t="n">
        <v>10</v>
      </c>
      <c r="F997" s="11">
        <f>ROUND(D997-E997,2)</f>
        <v/>
      </c>
      <c r="G997" s="13">
        <f>IFERROR(ROUND(F997/E997,4),"")</f>
        <v/>
      </c>
      <c r="H997" s="14">
        <f>IF(D997=0,"NO DATA",IF(D997&gt;E997*1.5,"OVER",IF(D997&gt;E997*1.1,"HIGH",IF(D997&lt;E997*0.5,"LOW","OK"))))</f>
        <v/>
      </c>
    </row>
    <row r="998" ht="22" customHeight="1">
      <c r="B998" s="8" t="inlineStr">
        <is>
          <t>MTR-DOM-006</t>
        </is>
      </c>
      <c r="C998" s="8" t="inlineStr">
        <is>
          <t>2024-09-24</t>
        </is>
      </c>
      <c r="D998" s="12" t="n">
        <v>12.02</v>
      </c>
      <c r="E998" s="12" t="n">
        <v>10</v>
      </c>
      <c r="F998" s="12">
        <f>ROUND(D998-E998,2)</f>
        <v/>
      </c>
      <c r="G998" s="15">
        <f>IFERROR(ROUND(F998/E998,4),"")</f>
        <v/>
      </c>
      <c r="H998" s="16">
        <f>IF(D998=0,"NO DATA",IF(D998&gt;E998*1.5,"OVER",IF(D998&gt;E998*1.1,"HIGH",IF(D998&lt;E998*0.5,"LOW","OK"))))</f>
        <v/>
      </c>
    </row>
    <row r="999" ht="22" customHeight="1">
      <c r="B999" s="5" t="inlineStr">
        <is>
          <t>MTR-DOM-006</t>
        </is>
      </c>
      <c r="C999" s="5" t="inlineStr">
        <is>
          <t>2024-09-25</t>
        </is>
      </c>
      <c r="D999" s="11" t="n">
        <v>10.06</v>
      </c>
      <c r="E999" s="11" t="n">
        <v>10</v>
      </c>
      <c r="F999" s="11">
        <f>ROUND(D999-E999,2)</f>
        <v/>
      </c>
      <c r="G999" s="13">
        <f>IFERROR(ROUND(F999/E999,4),"")</f>
        <v/>
      </c>
      <c r="H999" s="14">
        <f>IF(D999=0,"NO DATA",IF(D999&gt;E999*1.5,"OVER",IF(D999&gt;E999*1.1,"HIGH",IF(D999&lt;E999*0.5,"LOW","OK"))))</f>
        <v/>
      </c>
    </row>
    <row r="1000" ht="22" customHeight="1">
      <c r="B1000" s="8" t="inlineStr">
        <is>
          <t>MTR-DOM-006</t>
        </is>
      </c>
      <c r="C1000" s="8" t="inlineStr">
        <is>
          <t>2024-09-26</t>
        </is>
      </c>
      <c r="D1000" s="12" t="n">
        <v>9.529999999999999</v>
      </c>
      <c r="E1000" s="12" t="n">
        <v>10</v>
      </c>
      <c r="F1000" s="12">
        <f>ROUND(D1000-E1000,2)</f>
        <v/>
      </c>
      <c r="G1000" s="15">
        <f>IFERROR(ROUND(F1000/E1000,4),"")</f>
        <v/>
      </c>
      <c r="H1000" s="16">
        <f>IF(D1000=0,"NO DATA",IF(D1000&gt;E1000*1.5,"OVER",IF(D1000&gt;E1000*1.1,"HIGH",IF(D1000&lt;E1000*0.5,"LOW","OK"))))</f>
        <v/>
      </c>
    </row>
    <row r="1001" ht="22" customHeight="1">
      <c r="B1001" s="5" t="inlineStr">
        <is>
          <t>MTR-DOM-006</t>
        </is>
      </c>
      <c r="C1001" s="5" t="inlineStr">
        <is>
          <t>2024-09-27</t>
        </is>
      </c>
      <c r="D1001" s="11" t="n">
        <v>9.77</v>
      </c>
      <c r="E1001" s="11" t="n">
        <v>10</v>
      </c>
      <c r="F1001" s="11">
        <f>ROUND(D1001-E1001,2)</f>
        <v/>
      </c>
      <c r="G1001" s="13">
        <f>IFERROR(ROUND(F1001/E1001,4),"")</f>
        <v/>
      </c>
      <c r="H1001" s="14">
        <f>IF(D1001=0,"NO DATA",IF(D1001&gt;E1001*1.5,"OVER",IF(D1001&gt;E1001*1.1,"HIGH",IF(D1001&lt;E1001*0.5,"LOW","OK"))))</f>
        <v/>
      </c>
    </row>
    <row r="1002" ht="22" customHeight="1">
      <c r="B1002" s="8" t="inlineStr">
        <is>
          <t>MTR-DOM-006</t>
        </is>
      </c>
      <c r="C1002" s="8" t="inlineStr">
        <is>
          <t>2024-09-28</t>
        </is>
      </c>
      <c r="D1002" s="12" t="n">
        <v>8.35</v>
      </c>
      <c r="E1002" s="12" t="n">
        <v>10</v>
      </c>
      <c r="F1002" s="12">
        <f>ROUND(D1002-E1002,2)</f>
        <v/>
      </c>
      <c r="G1002" s="15">
        <f>IFERROR(ROUND(F1002/E1002,4),"")</f>
        <v/>
      </c>
      <c r="H1002" s="16">
        <f>IF(D1002=0,"NO DATA",IF(D1002&gt;E1002*1.5,"OVER",IF(D1002&gt;E1002*1.1,"HIGH",IF(D1002&lt;E1002*0.5,"LOW","OK"))))</f>
        <v/>
      </c>
    </row>
    <row r="1003" ht="22" customHeight="1">
      <c r="B1003" s="5" t="inlineStr">
        <is>
          <t>MTR-DOM-006</t>
        </is>
      </c>
      <c r="C1003" s="5" t="inlineStr">
        <is>
          <t>2024-09-29</t>
        </is>
      </c>
      <c r="D1003" s="11" t="n">
        <v>4.83</v>
      </c>
      <c r="E1003" s="11" t="n">
        <v>10</v>
      </c>
      <c r="F1003" s="11">
        <f>ROUND(D1003-E1003,2)</f>
        <v/>
      </c>
      <c r="G1003" s="13">
        <f>IFERROR(ROUND(F1003/E1003,4),"")</f>
        <v/>
      </c>
      <c r="H1003" s="14">
        <f>IF(D1003=0,"NO DATA",IF(D1003&gt;E1003*1.5,"OVER",IF(D1003&gt;E1003*1.1,"HIGH",IF(D1003&lt;E1003*0.5,"LOW","OK"))))</f>
        <v/>
      </c>
    </row>
    <row r="1004" ht="22" customHeight="1">
      <c r="B1004" s="8" t="inlineStr">
        <is>
          <t>MTR-DOM-006</t>
        </is>
      </c>
      <c r="C1004" s="8" t="inlineStr">
        <is>
          <t>2024-09-30</t>
        </is>
      </c>
      <c r="D1004" s="12" t="n">
        <v>10.97</v>
      </c>
      <c r="E1004" s="12" t="n">
        <v>10</v>
      </c>
      <c r="F1004" s="12">
        <f>ROUND(D1004-E1004,2)</f>
        <v/>
      </c>
      <c r="G1004" s="15">
        <f>IFERROR(ROUND(F1004/E1004,4),"")</f>
        <v/>
      </c>
      <c r="H1004" s="16">
        <f>IF(D1004=0,"NO DATA",IF(D1004&gt;E1004*1.5,"OVER",IF(D1004&gt;E1004*1.1,"HIGH",IF(D1004&lt;E1004*0.5,"LOW","OK"))))</f>
        <v/>
      </c>
    </row>
    <row r="1005" ht="22" customHeight="1">
      <c r="B1005" s="5" t="inlineStr">
        <is>
          <t>MTR-DOM-006</t>
        </is>
      </c>
      <c r="C1005" s="5" t="inlineStr">
        <is>
          <t>2024-10-01</t>
        </is>
      </c>
      <c r="D1005" s="11" t="n">
        <v>8.83</v>
      </c>
      <c r="E1005" s="11" t="n">
        <v>10</v>
      </c>
      <c r="F1005" s="11">
        <f>ROUND(D1005-E1005,2)</f>
        <v/>
      </c>
      <c r="G1005" s="13">
        <f>IFERROR(ROUND(F1005/E1005,4),"")</f>
        <v/>
      </c>
      <c r="H1005" s="14">
        <f>IF(D1005=0,"NO DATA",IF(D1005&gt;E1005*1.5,"OVER",IF(D1005&gt;E1005*1.1,"HIGH",IF(D1005&lt;E1005*0.5,"LOW","OK"))))</f>
        <v/>
      </c>
    </row>
    <row r="1006" ht="22" customHeight="1">
      <c r="B1006" s="8" t="inlineStr">
        <is>
          <t>MTR-DOM-006</t>
        </is>
      </c>
      <c r="C1006" s="8" t="inlineStr">
        <is>
          <t>2024-10-02</t>
        </is>
      </c>
      <c r="D1006" s="12" t="n">
        <v>9.390000000000001</v>
      </c>
      <c r="E1006" s="12" t="n">
        <v>10</v>
      </c>
      <c r="F1006" s="12">
        <f>ROUND(D1006-E1006,2)</f>
        <v/>
      </c>
      <c r="G1006" s="15">
        <f>IFERROR(ROUND(F1006/E1006,4),"")</f>
        <v/>
      </c>
      <c r="H1006" s="16">
        <f>IF(D1006=0,"NO DATA",IF(D1006&gt;E1006*1.5,"OVER",IF(D1006&gt;E1006*1.1,"HIGH",IF(D1006&lt;E1006*0.5,"LOW","OK"))))</f>
        <v/>
      </c>
    </row>
    <row r="1007" ht="22" customHeight="1">
      <c r="B1007" s="5" t="inlineStr">
        <is>
          <t>MTR-DOM-006</t>
        </is>
      </c>
      <c r="C1007" s="5" t="inlineStr">
        <is>
          <t>2024-10-03</t>
        </is>
      </c>
      <c r="D1007" s="11" t="n">
        <v>10.03</v>
      </c>
      <c r="E1007" s="11" t="n">
        <v>10</v>
      </c>
      <c r="F1007" s="11">
        <f>ROUND(D1007-E1007,2)</f>
        <v/>
      </c>
      <c r="G1007" s="13">
        <f>IFERROR(ROUND(F1007/E1007,4),"")</f>
        <v/>
      </c>
      <c r="H1007" s="14">
        <f>IF(D1007=0,"NO DATA",IF(D1007&gt;E1007*1.5,"OVER",IF(D1007&gt;E1007*1.1,"HIGH",IF(D1007&lt;E1007*0.5,"LOW","OK"))))</f>
        <v/>
      </c>
    </row>
    <row r="1008" ht="22" customHeight="1">
      <c r="B1008" s="8" t="inlineStr">
        <is>
          <t>MTR-DOM-006</t>
        </is>
      </c>
      <c r="C1008" s="8" t="inlineStr">
        <is>
          <t>2024-10-04</t>
        </is>
      </c>
      <c r="D1008" s="12" t="n">
        <v>10.1</v>
      </c>
      <c r="E1008" s="12" t="n">
        <v>10</v>
      </c>
      <c r="F1008" s="12">
        <f>ROUND(D1008-E1008,2)</f>
        <v/>
      </c>
      <c r="G1008" s="15">
        <f>IFERROR(ROUND(F1008/E1008,4),"")</f>
        <v/>
      </c>
      <c r="H1008" s="16">
        <f>IF(D1008=0,"NO DATA",IF(D1008&gt;E1008*1.5,"OVER",IF(D1008&gt;E1008*1.1,"HIGH",IF(D1008&lt;E1008*0.5,"LOW","OK"))))</f>
        <v/>
      </c>
    </row>
    <row r="1009" ht="22" customHeight="1">
      <c r="B1009" s="5" t="inlineStr">
        <is>
          <t>MTR-DOM-006</t>
        </is>
      </c>
      <c r="C1009" s="5" t="inlineStr">
        <is>
          <t>2024-10-05</t>
        </is>
      </c>
      <c r="D1009" s="11" t="n">
        <v>9.449999999999999</v>
      </c>
      <c r="E1009" s="11" t="n">
        <v>10</v>
      </c>
      <c r="F1009" s="11">
        <f>ROUND(D1009-E1009,2)</f>
        <v/>
      </c>
      <c r="G1009" s="13">
        <f>IFERROR(ROUND(F1009/E1009,4),"")</f>
        <v/>
      </c>
      <c r="H1009" s="14">
        <f>IF(D1009=0,"NO DATA",IF(D1009&gt;E1009*1.5,"OVER",IF(D1009&gt;E1009*1.1,"HIGH",IF(D1009&lt;E1009*0.5,"LOW","OK"))))</f>
        <v/>
      </c>
    </row>
    <row r="1010" ht="22" customHeight="1">
      <c r="B1010" s="8" t="inlineStr">
        <is>
          <t>MTR-DOM-006</t>
        </is>
      </c>
      <c r="C1010" s="8" t="inlineStr">
        <is>
          <t>2024-10-06</t>
        </is>
      </c>
      <c r="D1010" s="12" t="n">
        <v>5.32</v>
      </c>
      <c r="E1010" s="12" t="n">
        <v>10</v>
      </c>
      <c r="F1010" s="12">
        <f>ROUND(D1010-E1010,2)</f>
        <v/>
      </c>
      <c r="G1010" s="15">
        <f>IFERROR(ROUND(F1010/E1010,4),"")</f>
        <v/>
      </c>
      <c r="H1010" s="16">
        <f>IF(D1010=0,"NO DATA",IF(D1010&gt;E1010*1.5,"OVER",IF(D1010&gt;E1010*1.1,"HIGH",IF(D1010&lt;E1010*0.5,"LOW","OK"))))</f>
        <v/>
      </c>
    </row>
    <row r="1011" ht="22" customHeight="1">
      <c r="B1011" s="5" t="inlineStr">
        <is>
          <t>MTR-DOM-006</t>
        </is>
      </c>
      <c r="C1011" s="5" t="inlineStr">
        <is>
          <t>2024-10-07</t>
        </is>
      </c>
      <c r="D1011" s="11" t="n">
        <v>9.210000000000001</v>
      </c>
      <c r="E1011" s="11" t="n">
        <v>10</v>
      </c>
      <c r="F1011" s="11">
        <f>ROUND(D1011-E1011,2)</f>
        <v/>
      </c>
      <c r="G1011" s="13">
        <f>IFERROR(ROUND(F1011/E1011,4),"")</f>
        <v/>
      </c>
      <c r="H1011" s="14">
        <f>IF(D1011=0,"NO DATA",IF(D1011&gt;E1011*1.5,"OVER",IF(D1011&gt;E1011*1.1,"HIGH",IF(D1011&lt;E1011*0.5,"LOW","OK"))))</f>
        <v/>
      </c>
    </row>
    <row r="1012" ht="22" customHeight="1">
      <c r="B1012" s="8" t="inlineStr">
        <is>
          <t>MTR-DOM-006</t>
        </is>
      </c>
      <c r="C1012" s="8" t="inlineStr">
        <is>
          <t>2024-10-08</t>
        </is>
      </c>
      <c r="D1012" s="12" t="n">
        <v>11.4</v>
      </c>
      <c r="E1012" s="12" t="n">
        <v>10</v>
      </c>
      <c r="F1012" s="12">
        <f>ROUND(D1012-E1012,2)</f>
        <v/>
      </c>
      <c r="G1012" s="15">
        <f>IFERROR(ROUND(F1012/E1012,4),"")</f>
        <v/>
      </c>
      <c r="H1012" s="16">
        <f>IF(D1012=0,"NO DATA",IF(D1012&gt;E1012*1.5,"OVER",IF(D1012&gt;E1012*1.1,"HIGH",IF(D1012&lt;E1012*0.5,"LOW","OK"))))</f>
        <v/>
      </c>
    </row>
    <row r="1013" ht="22" customHeight="1">
      <c r="B1013" s="5" t="inlineStr">
        <is>
          <t>MTR-DOM-006</t>
        </is>
      </c>
      <c r="C1013" s="5" t="inlineStr">
        <is>
          <t>2024-10-09</t>
        </is>
      </c>
      <c r="D1013" s="11" t="n">
        <v>9.16</v>
      </c>
      <c r="E1013" s="11" t="n">
        <v>10</v>
      </c>
      <c r="F1013" s="11">
        <f>ROUND(D1013-E1013,2)</f>
        <v/>
      </c>
      <c r="G1013" s="13">
        <f>IFERROR(ROUND(F1013/E1013,4),"")</f>
        <v/>
      </c>
      <c r="H1013" s="14">
        <f>IF(D1013=0,"NO DATA",IF(D1013&gt;E1013*1.5,"OVER",IF(D1013&gt;E1013*1.1,"HIGH",IF(D1013&lt;E1013*0.5,"LOW","OK"))))</f>
        <v/>
      </c>
    </row>
    <row r="1014" ht="22" customHeight="1">
      <c r="B1014" s="8" t="inlineStr">
        <is>
          <t>MTR-DOM-006</t>
        </is>
      </c>
      <c r="C1014" s="8" t="inlineStr">
        <is>
          <t>2024-10-10</t>
        </is>
      </c>
      <c r="D1014" s="12" t="n">
        <v>9.369999999999999</v>
      </c>
      <c r="E1014" s="12" t="n">
        <v>10</v>
      </c>
      <c r="F1014" s="12">
        <f>ROUND(D1014-E1014,2)</f>
        <v/>
      </c>
      <c r="G1014" s="15">
        <f>IFERROR(ROUND(F1014/E1014,4),"")</f>
        <v/>
      </c>
      <c r="H1014" s="16">
        <f>IF(D1014=0,"NO DATA",IF(D1014&gt;E1014*1.5,"OVER",IF(D1014&gt;E1014*1.1,"HIGH",IF(D1014&lt;E1014*0.5,"LOW","OK"))))</f>
        <v/>
      </c>
    </row>
    <row r="1015" ht="22" customHeight="1">
      <c r="B1015" s="5" t="inlineStr">
        <is>
          <t>MTR-DOM-006</t>
        </is>
      </c>
      <c r="C1015" s="5" t="inlineStr">
        <is>
          <t>2024-10-11</t>
        </is>
      </c>
      <c r="D1015" s="11" t="n">
        <v>9.98</v>
      </c>
      <c r="E1015" s="11" t="n">
        <v>10</v>
      </c>
      <c r="F1015" s="11">
        <f>ROUND(D1015-E1015,2)</f>
        <v/>
      </c>
      <c r="G1015" s="13">
        <f>IFERROR(ROUND(F1015/E1015,4),"")</f>
        <v/>
      </c>
      <c r="H1015" s="14">
        <f>IF(D1015=0,"NO DATA",IF(D1015&gt;E1015*1.5,"OVER",IF(D1015&gt;E1015*1.1,"HIGH",IF(D1015&lt;E1015*0.5,"LOW","OK"))))</f>
        <v/>
      </c>
    </row>
    <row r="1016" ht="22" customHeight="1">
      <c r="B1016" s="8" t="inlineStr">
        <is>
          <t>MTR-DOM-006</t>
        </is>
      </c>
      <c r="C1016" s="8" t="inlineStr">
        <is>
          <t>2024-10-12</t>
        </is>
      </c>
      <c r="D1016" s="12" t="n">
        <v>8.630000000000001</v>
      </c>
      <c r="E1016" s="12" t="n">
        <v>10</v>
      </c>
      <c r="F1016" s="12">
        <f>ROUND(D1016-E1016,2)</f>
        <v/>
      </c>
      <c r="G1016" s="15">
        <f>IFERROR(ROUND(F1016/E1016,4),"")</f>
        <v/>
      </c>
      <c r="H1016" s="16">
        <f>IF(D1016=0,"NO DATA",IF(D1016&gt;E1016*1.5,"OVER",IF(D1016&gt;E1016*1.1,"HIGH",IF(D1016&lt;E1016*0.5,"LOW","OK"))))</f>
        <v/>
      </c>
    </row>
    <row r="1017" ht="22" customHeight="1">
      <c r="B1017" s="5" t="inlineStr">
        <is>
          <t>MTR-DOM-006</t>
        </is>
      </c>
      <c r="C1017" s="5" t="inlineStr">
        <is>
          <t>2024-10-13</t>
        </is>
      </c>
      <c r="D1017" s="11" t="n">
        <v>4.99</v>
      </c>
      <c r="E1017" s="11" t="n">
        <v>10</v>
      </c>
      <c r="F1017" s="11">
        <f>ROUND(D1017-E1017,2)</f>
        <v/>
      </c>
      <c r="G1017" s="13">
        <f>IFERROR(ROUND(F1017/E1017,4),"")</f>
        <v/>
      </c>
      <c r="H1017" s="14">
        <f>IF(D1017=0,"NO DATA",IF(D1017&gt;E1017*1.5,"OVER",IF(D1017&gt;E1017*1.1,"HIGH",IF(D1017&lt;E1017*0.5,"LOW","OK"))))</f>
        <v/>
      </c>
    </row>
    <row r="1018" ht="22" customHeight="1">
      <c r="B1018" s="8" t="inlineStr">
        <is>
          <t>MTR-DOM-006</t>
        </is>
      </c>
      <c r="C1018" s="8" t="inlineStr">
        <is>
          <t>2024-10-14</t>
        </is>
      </c>
      <c r="D1018" s="12" t="n">
        <v>9.59</v>
      </c>
      <c r="E1018" s="12" t="n">
        <v>10</v>
      </c>
      <c r="F1018" s="12">
        <f>ROUND(D1018-E1018,2)</f>
        <v/>
      </c>
      <c r="G1018" s="15">
        <f>IFERROR(ROUND(F1018/E1018,4),"")</f>
        <v/>
      </c>
      <c r="H1018" s="16">
        <f>IF(D1018=0,"NO DATA",IF(D1018&gt;E1018*1.5,"OVER",IF(D1018&gt;E1018*1.1,"HIGH",IF(D1018&lt;E1018*0.5,"LOW","OK"))))</f>
        <v/>
      </c>
    </row>
    <row r="1019" ht="22" customHeight="1">
      <c r="B1019" s="5" t="inlineStr">
        <is>
          <t>MTR-DOM-006</t>
        </is>
      </c>
      <c r="C1019" s="5" t="inlineStr">
        <is>
          <t>2024-10-15</t>
        </is>
      </c>
      <c r="D1019" s="11" t="n">
        <v>9.06</v>
      </c>
      <c r="E1019" s="11" t="n">
        <v>10</v>
      </c>
      <c r="F1019" s="11">
        <f>ROUND(D1019-E1019,2)</f>
        <v/>
      </c>
      <c r="G1019" s="13">
        <f>IFERROR(ROUND(F1019/E1019,4),"")</f>
        <v/>
      </c>
      <c r="H1019" s="14">
        <f>IF(D1019=0,"NO DATA",IF(D1019&gt;E1019*1.5,"OVER",IF(D1019&gt;E1019*1.1,"HIGH",IF(D1019&lt;E1019*0.5,"LOW","OK"))))</f>
        <v/>
      </c>
    </row>
    <row r="1020" ht="22" customHeight="1">
      <c r="B1020" s="8" t="inlineStr">
        <is>
          <t>MTR-DOM-006</t>
        </is>
      </c>
      <c r="C1020" s="8" t="inlineStr">
        <is>
          <t>2024-10-16</t>
        </is>
      </c>
      <c r="D1020" s="12" t="n">
        <v>9.300000000000001</v>
      </c>
      <c r="E1020" s="12" t="n">
        <v>10</v>
      </c>
      <c r="F1020" s="12">
        <f>ROUND(D1020-E1020,2)</f>
        <v/>
      </c>
      <c r="G1020" s="15">
        <f>IFERROR(ROUND(F1020/E1020,4),"")</f>
        <v/>
      </c>
      <c r="H1020" s="16">
        <f>IF(D1020=0,"NO DATA",IF(D1020&gt;E1020*1.5,"OVER",IF(D1020&gt;E1020*1.1,"HIGH",IF(D1020&lt;E1020*0.5,"LOW","OK"))))</f>
        <v/>
      </c>
    </row>
    <row r="1021" ht="22" customHeight="1">
      <c r="B1021" s="5" t="inlineStr">
        <is>
          <t>MTR-DOM-006</t>
        </is>
      </c>
      <c r="C1021" s="5" t="inlineStr">
        <is>
          <t>2024-10-17</t>
        </is>
      </c>
      <c r="D1021" s="11" t="n">
        <v>11.69</v>
      </c>
      <c r="E1021" s="11" t="n">
        <v>10</v>
      </c>
      <c r="F1021" s="11">
        <f>ROUND(D1021-E1021,2)</f>
        <v/>
      </c>
      <c r="G1021" s="13">
        <f>IFERROR(ROUND(F1021/E1021,4),"")</f>
        <v/>
      </c>
      <c r="H1021" s="14">
        <f>IF(D1021=0,"NO DATA",IF(D1021&gt;E1021*1.5,"OVER",IF(D1021&gt;E1021*1.1,"HIGH",IF(D1021&lt;E1021*0.5,"LOW","OK"))))</f>
        <v/>
      </c>
    </row>
    <row r="1022" ht="22" customHeight="1">
      <c r="B1022" s="8" t="inlineStr">
        <is>
          <t>MTR-DOM-006</t>
        </is>
      </c>
      <c r="C1022" s="8" t="inlineStr">
        <is>
          <t>2024-10-18</t>
        </is>
      </c>
      <c r="D1022" s="12" t="n">
        <v>11.59</v>
      </c>
      <c r="E1022" s="12" t="n">
        <v>10</v>
      </c>
      <c r="F1022" s="12">
        <f>ROUND(D1022-E1022,2)</f>
        <v/>
      </c>
      <c r="G1022" s="15">
        <f>IFERROR(ROUND(F1022/E1022,4),"")</f>
        <v/>
      </c>
      <c r="H1022" s="16">
        <f>IF(D1022=0,"NO DATA",IF(D1022&gt;E1022*1.5,"OVER",IF(D1022&gt;E1022*1.1,"HIGH",IF(D1022&lt;E1022*0.5,"LOW","OK"))))</f>
        <v/>
      </c>
    </row>
    <row r="1023" ht="22" customHeight="1">
      <c r="B1023" s="5" t="inlineStr">
        <is>
          <t>MTR-DOM-006</t>
        </is>
      </c>
      <c r="C1023" s="5" t="inlineStr">
        <is>
          <t>2024-10-19</t>
        </is>
      </c>
      <c r="D1023" s="11" t="n">
        <v>9.24</v>
      </c>
      <c r="E1023" s="11" t="n">
        <v>10</v>
      </c>
      <c r="F1023" s="11">
        <f>ROUND(D1023-E1023,2)</f>
        <v/>
      </c>
      <c r="G1023" s="13">
        <f>IFERROR(ROUND(F1023/E1023,4),"")</f>
        <v/>
      </c>
      <c r="H1023" s="14">
        <f>IF(D1023=0,"NO DATA",IF(D1023&gt;E1023*1.5,"OVER",IF(D1023&gt;E1023*1.1,"HIGH",IF(D1023&lt;E1023*0.5,"LOW","OK"))))</f>
        <v/>
      </c>
    </row>
    <row r="1024" ht="22" customHeight="1">
      <c r="B1024" s="8" t="inlineStr">
        <is>
          <t>MTR-DOM-006</t>
        </is>
      </c>
      <c r="C1024" s="8" t="inlineStr">
        <is>
          <t>2024-10-20</t>
        </is>
      </c>
      <c r="D1024" s="12" t="n">
        <v>5.87</v>
      </c>
      <c r="E1024" s="12" t="n">
        <v>10</v>
      </c>
      <c r="F1024" s="12">
        <f>ROUND(D1024-E1024,2)</f>
        <v/>
      </c>
      <c r="G1024" s="15">
        <f>IFERROR(ROUND(F1024/E1024,4),"")</f>
        <v/>
      </c>
      <c r="H1024" s="16">
        <f>IF(D1024=0,"NO DATA",IF(D1024&gt;E1024*1.5,"OVER",IF(D1024&gt;E1024*1.1,"HIGH",IF(D1024&lt;E1024*0.5,"LOW","OK"))))</f>
        <v/>
      </c>
    </row>
    <row r="1025" ht="22" customHeight="1">
      <c r="B1025" s="5" t="inlineStr">
        <is>
          <t>MTR-DOM-006</t>
        </is>
      </c>
      <c r="C1025" s="5" t="inlineStr">
        <is>
          <t>2024-10-21</t>
        </is>
      </c>
      <c r="D1025" s="11" t="n">
        <v>9.92</v>
      </c>
      <c r="E1025" s="11" t="n">
        <v>10</v>
      </c>
      <c r="F1025" s="11">
        <f>ROUND(D1025-E1025,2)</f>
        <v/>
      </c>
      <c r="G1025" s="13">
        <f>IFERROR(ROUND(F1025/E1025,4),"")</f>
        <v/>
      </c>
      <c r="H1025" s="14">
        <f>IF(D1025=0,"NO DATA",IF(D1025&gt;E1025*1.5,"OVER",IF(D1025&gt;E1025*1.1,"HIGH",IF(D1025&lt;E1025*0.5,"LOW","OK"))))</f>
        <v/>
      </c>
    </row>
    <row r="1026" ht="22" customHeight="1">
      <c r="B1026" s="8" t="inlineStr">
        <is>
          <t>MTR-DOM-006</t>
        </is>
      </c>
      <c r="C1026" s="8" t="inlineStr">
        <is>
          <t>2024-10-22</t>
        </is>
      </c>
      <c r="D1026" s="12" t="n">
        <v>9.74</v>
      </c>
      <c r="E1026" s="12" t="n">
        <v>10</v>
      </c>
      <c r="F1026" s="12">
        <f>ROUND(D1026-E1026,2)</f>
        <v/>
      </c>
      <c r="G1026" s="15">
        <f>IFERROR(ROUND(F1026/E1026,4),"")</f>
        <v/>
      </c>
      <c r="H1026" s="16">
        <f>IF(D1026=0,"NO DATA",IF(D1026&gt;E1026*1.5,"OVER",IF(D1026&gt;E1026*1.1,"HIGH",IF(D1026&lt;E1026*0.5,"LOW","OK"))))</f>
        <v/>
      </c>
    </row>
    <row r="1027" ht="22" customHeight="1">
      <c r="B1027" s="5" t="inlineStr">
        <is>
          <t>MTR-DOM-006</t>
        </is>
      </c>
      <c r="C1027" s="5" t="inlineStr">
        <is>
          <t>2024-10-23</t>
        </is>
      </c>
      <c r="D1027" s="11" t="n">
        <v>10.72</v>
      </c>
      <c r="E1027" s="11" t="n">
        <v>10</v>
      </c>
      <c r="F1027" s="11">
        <f>ROUND(D1027-E1027,2)</f>
        <v/>
      </c>
      <c r="G1027" s="13">
        <f>IFERROR(ROUND(F1027/E1027,4),"")</f>
        <v/>
      </c>
      <c r="H1027" s="14">
        <f>IF(D1027=0,"NO DATA",IF(D1027&gt;E1027*1.5,"OVER",IF(D1027&gt;E1027*1.1,"HIGH",IF(D1027&lt;E1027*0.5,"LOW","OK"))))</f>
        <v/>
      </c>
    </row>
    <row r="1028" ht="22" customHeight="1">
      <c r="B1028" s="8" t="inlineStr">
        <is>
          <t>MTR-DOM-006</t>
        </is>
      </c>
      <c r="C1028" s="8" t="inlineStr">
        <is>
          <t>2024-10-24</t>
        </is>
      </c>
      <c r="D1028" s="12" t="n">
        <v>11.19</v>
      </c>
      <c r="E1028" s="12" t="n">
        <v>10</v>
      </c>
      <c r="F1028" s="12">
        <f>ROUND(D1028-E1028,2)</f>
        <v/>
      </c>
      <c r="G1028" s="15">
        <f>IFERROR(ROUND(F1028/E1028,4),"")</f>
        <v/>
      </c>
      <c r="H1028" s="16">
        <f>IF(D1028=0,"NO DATA",IF(D1028&gt;E1028*1.5,"OVER",IF(D1028&gt;E1028*1.1,"HIGH",IF(D1028&lt;E1028*0.5,"LOW","OK"))))</f>
        <v/>
      </c>
    </row>
    <row r="1029" ht="22" customHeight="1">
      <c r="B1029" s="5" t="inlineStr">
        <is>
          <t>MTR-DOM-006</t>
        </is>
      </c>
      <c r="C1029" s="5" t="inlineStr">
        <is>
          <t>2024-10-25</t>
        </is>
      </c>
      <c r="D1029" s="11" t="n">
        <v>9.07</v>
      </c>
      <c r="E1029" s="11" t="n">
        <v>10</v>
      </c>
      <c r="F1029" s="11">
        <f>ROUND(D1029-E1029,2)</f>
        <v/>
      </c>
      <c r="G1029" s="13">
        <f>IFERROR(ROUND(F1029/E1029,4),"")</f>
        <v/>
      </c>
      <c r="H1029" s="14">
        <f>IF(D1029=0,"NO DATA",IF(D1029&gt;E1029*1.5,"OVER",IF(D1029&gt;E1029*1.1,"HIGH",IF(D1029&lt;E1029*0.5,"LOW","OK"))))</f>
        <v/>
      </c>
    </row>
    <row r="1030" ht="22" customHeight="1">
      <c r="B1030" s="8" t="inlineStr">
        <is>
          <t>MTR-DOM-006</t>
        </is>
      </c>
      <c r="C1030" s="8" t="inlineStr">
        <is>
          <t>2024-10-26</t>
        </is>
      </c>
      <c r="D1030" s="12" t="n">
        <v>7.74</v>
      </c>
      <c r="E1030" s="12" t="n">
        <v>10</v>
      </c>
      <c r="F1030" s="12">
        <f>ROUND(D1030-E1030,2)</f>
        <v/>
      </c>
      <c r="G1030" s="15">
        <f>IFERROR(ROUND(F1030/E1030,4),"")</f>
        <v/>
      </c>
      <c r="H1030" s="16">
        <f>IF(D1030=0,"NO DATA",IF(D1030&gt;E1030*1.5,"OVER",IF(D1030&gt;E1030*1.1,"HIGH",IF(D1030&lt;E1030*0.5,"LOW","OK"))))</f>
        <v/>
      </c>
    </row>
    <row r="1031" ht="22" customHeight="1">
      <c r="B1031" s="5" t="inlineStr">
        <is>
          <t>MTR-DOM-006</t>
        </is>
      </c>
      <c r="C1031" s="5" t="inlineStr">
        <is>
          <t>2024-10-27</t>
        </is>
      </c>
      <c r="D1031" s="11" t="n">
        <v>6.03</v>
      </c>
      <c r="E1031" s="11" t="n">
        <v>10</v>
      </c>
      <c r="F1031" s="11">
        <f>ROUND(D1031-E1031,2)</f>
        <v/>
      </c>
      <c r="G1031" s="13">
        <f>IFERROR(ROUND(F1031/E1031,4),"")</f>
        <v/>
      </c>
      <c r="H1031" s="14">
        <f>IF(D1031=0,"NO DATA",IF(D1031&gt;E1031*1.5,"OVER",IF(D1031&gt;E1031*1.1,"HIGH",IF(D1031&lt;E1031*0.5,"LOW","OK"))))</f>
        <v/>
      </c>
    </row>
    <row r="1032" ht="22" customHeight="1">
      <c r="B1032" s="8" t="inlineStr">
        <is>
          <t>MTR-DOM-006</t>
        </is>
      </c>
      <c r="C1032" s="8" t="inlineStr">
        <is>
          <t>2024-10-28</t>
        </is>
      </c>
      <c r="D1032" s="12" t="n">
        <v>10.99</v>
      </c>
      <c r="E1032" s="12" t="n">
        <v>10</v>
      </c>
      <c r="F1032" s="12">
        <f>ROUND(D1032-E1032,2)</f>
        <v/>
      </c>
      <c r="G1032" s="15">
        <f>IFERROR(ROUND(F1032/E1032,4),"")</f>
        <v/>
      </c>
      <c r="H1032" s="16">
        <f>IF(D1032=0,"NO DATA",IF(D1032&gt;E1032*1.5,"OVER",IF(D1032&gt;E1032*1.1,"HIGH",IF(D1032&lt;E1032*0.5,"LOW","OK"))))</f>
        <v/>
      </c>
    </row>
    <row r="1033" ht="22" customHeight="1">
      <c r="B1033" s="5" t="inlineStr">
        <is>
          <t>MTR-DOM-006</t>
        </is>
      </c>
      <c r="C1033" s="5" t="inlineStr">
        <is>
          <t>2024-10-29</t>
        </is>
      </c>
      <c r="D1033" s="11" t="n">
        <v>8.77</v>
      </c>
      <c r="E1033" s="11" t="n">
        <v>10</v>
      </c>
      <c r="F1033" s="11">
        <f>ROUND(D1033-E1033,2)</f>
        <v/>
      </c>
      <c r="G1033" s="13">
        <f>IFERROR(ROUND(F1033/E1033,4),"")</f>
        <v/>
      </c>
      <c r="H1033" s="14">
        <f>IF(D1033=0,"NO DATA",IF(D1033&gt;E1033*1.5,"OVER",IF(D1033&gt;E1033*1.1,"HIGH",IF(D1033&lt;E1033*0.5,"LOW","OK"))))</f>
        <v/>
      </c>
    </row>
    <row r="1034" ht="22" customHeight="1">
      <c r="B1034" s="8" t="inlineStr">
        <is>
          <t>MTR-DOM-006</t>
        </is>
      </c>
      <c r="C1034" s="8" t="inlineStr">
        <is>
          <t>2024-10-30</t>
        </is>
      </c>
      <c r="D1034" s="12" t="n">
        <v>10.22</v>
      </c>
      <c r="E1034" s="12" t="n">
        <v>10</v>
      </c>
      <c r="F1034" s="12">
        <f>ROUND(D1034-E1034,2)</f>
        <v/>
      </c>
      <c r="G1034" s="15">
        <f>IFERROR(ROUND(F1034/E1034,4),"")</f>
        <v/>
      </c>
      <c r="H1034" s="16">
        <f>IF(D1034=0,"NO DATA",IF(D1034&gt;E1034*1.5,"OVER",IF(D1034&gt;E1034*1.1,"HIGH",IF(D1034&lt;E1034*0.5,"LOW","OK"))))</f>
        <v/>
      </c>
    </row>
    <row r="1035" ht="22" customHeight="1">
      <c r="B1035" s="5" t="inlineStr">
        <is>
          <t>MTR-DOM-006</t>
        </is>
      </c>
      <c r="C1035" s="5" t="inlineStr">
        <is>
          <t>2024-10-31</t>
        </is>
      </c>
      <c r="D1035" s="11" t="n">
        <v>9.9</v>
      </c>
      <c r="E1035" s="11" t="n">
        <v>10</v>
      </c>
      <c r="F1035" s="11">
        <f>ROUND(D1035-E1035,2)</f>
        <v/>
      </c>
      <c r="G1035" s="13">
        <f>IFERROR(ROUND(F1035/E1035,4),"")</f>
        <v/>
      </c>
      <c r="H1035" s="14">
        <f>IF(D1035=0,"NO DATA",IF(D1035&gt;E1035*1.5,"OVER",IF(D1035&gt;E1035*1.1,"HIGH",IF(D1035&lt;E1035*0.5,"LOW","OK"))))</f>
        <v/>
      </c>
    </row>
    <row r="1036" ht="22" customHeight="1">
      <c r="B1036" s="8" t="inlineStr">
        <is>
          <t>MTR-DOM-006</t>
        </is>
      </c>
      <c r="C1036" s="8" t="inlineStr">
        <is>
          <t>2024-11-01</t>
        </is>
      </c>
      <c r="D1036" s="12" t="n">
        <v>10.52</v>
      </c>
      <c r="E1036" s="12" t="n">
        <v>10</v>
      </c>
      <c r="F1036" s="12">
        <f>ROUND(D1036-E1036,2)</f>
        <v/>
      </c>
      <c r="G1036" s="15">
        <f>IFERROR(ROUND(F1036/E1036,4),"")</f>
        <v/>
      </c>
      <c r="H1036" s="16">
        <f>IF(D1036=0,"NO DATA",IF(D1036&gt;E1036*1.5,"OVER",IF(D1036&gt;E1036*1.1,"HIGH",IF(D1036&lt;E1036*0.5,"LOW","OK"))))</f>
        <v/>
      </c>
    </row>
    <row r="1037" ht="22" customHeight="1">
      <c r="B1037" s="5" t="inlineStr">
        <is>
          <t>MTR-DOM-006</t>
        </is>
      </c>
      <c r="C1037" s="5" t="inlineStr">
        <is>
          <t>2024-11-02</t>
        </is>
      </c>
      <c r="D1037" s="11" t="n">
        <v>8.289999999999999</v>
      </c>
      <c r="E1037" s="11" t="n">
        <v>10</v>
      </c>
      <c r="F1037" s="11">
        <f>ROUND(D1037-E1037,2)</f>
        <v/>
      </c>
      <c r="G1037" s="13">
        <f>IFERROR(ROUND(F1037/E1037,4),"")</f>
        <v/>
      </c>
      <c r="H1037" s="14">
        <f>IF(D1037=0,"NO DATA",IF(D1037&gt;E1037*1.5,"OVER",IF(D1037&gt;E1037*1.1,"HIGH",IF(D1037&lt;E1037*0.5,"LOW","OK"))))</f>
        <v/>
      </c>
    </row>
    <row r="1038" ht="22" customHeight="1">
      <c r="B1038" s="8" t="inlineStr">
        <is>
          <t>MTR-DOM-006</t>
        </is>
      </c>
      <c r="C1038" s="8" t="inlineStr">
        <is>
          <t>2024-11-03</t>
        </is>
      </c>
      <c r="D1038" s="12" t="n">
        <v>4.69</v>
      </c>
      <c r="E1038" s="12" t="n">
        <v>10</v>
      </c>
      <c r="F1038" s="12">
        <f>ROUND(D1038-E1038,2)</f>
        <v/>
      </c>
      <c r="G1038" s="15">
        <f>IFERROR(ROUND(F1038/E1038,4),"")</f>
        <v/>
      </c>
      <c r="H1038" s="16">
        <f>IF(D1038=0,"NO DATA",IF(D1038&gt;E1038*1.5,"OVER",IF(D1038&gt;E1038*1.1,"HIGH",IF(D1038&lt;E1038*0.5,"LOW","OK"))))</f>
        <v/>
      </c>
    </row>
    <row r="1039" ht="22" customHeight="1">
      <c r="B1039" s="5" t="inlineStr">
        <is>
          <t>MTR-DOM-006</t>
        </is>
      </c>
      <c r="C1039" s="5" t="inlineStr">
        <is>
          <t>2024-11-04</t>
        </is>
      </c>
      <c r="D1039" s="11" t="n">
        <v>8.960000000000001</v>
      </c>
      <c r="E1039" s="11" t="n">
        <v>10</v>
      </c>
      <c r="F1039" s="11">
        <f>ROUND(D1039-E1039,2)</f>
        <v/>
      </c>
      <c r="G1039" s="13">
        <f>IFERROR(ROUND(F1039/E1039,4),"")</f>
        <v/>
      </c>
      <c r="H1039" s="14">
        <f>IF(D1039=0,"NO DATA",IF(D1039&gt;E1039*1.5,"OVER",IF(D1039&gt;E1039*1.1,"HIGH",IF(D1039&lt;E1039*0.5,"LOW","OK"))))</f>
        <v/>
      </c>
    </row>
    <row r="1040" ht="22" customHeight="1">
      <c r="B1040" s="8" t="inlineStr">
        <is>
          <t>MTR-DOM-006</t>
        </is>
      </c>
      <c r="C1040" s="8" t="inlineStr">
        <is>
          <t>2024-11-05</t>
        </is>
      </c>
      <c r="D1040" s="12" t="n">
        <v>9.890000000000001</v>
      </c>
      <c r="E1040" s="12" t="n">
        <v>10</v>
      </c>
      <c r="F1040" s="12">
        <f>ROUND(D1040-E1040,2)</f>
        <v/>
      </c>
      <c r="G1040" s="15">
        <f>IFERROR(ROUND(F1040/E1040,4),"")</f>
        <v/>
      </c>
      <c r="H1040" s="16">
        <f>IF(D1040=0,"NO DATA",IF(D1040&gt;E1040*1.5,"OVER",IF(D1040&gt;E1040*1.1,"HIGH",IF(D1040&lt;E1040*0.5,"LOW","OK"))))</f>
        <v/>
      </c>
    </row>
    <row r="1041" ht="22" customHeight="1">
      <c r="B1041" s="5" t="inlineStr">
        <is>
          <t>MTR-DOM-006</t>
        </is>
      </c>
      <c r="C1041" s="5" t="inlineStr">
        <is>
          <t>2024-11-06</t>
        </is>
      </c>
      <c r="D1041" s="11" t="n">
        <v>11.29</v>
      </c>
      <c r="E1041" s="11" t="n">
        <v>10</v>
      </c>
      <c r="F1041" s="11">
        <f>ROUND(D1041-E1041,2)</f>
        <v/>
      </c>
      <c r="G1041" s="13">
        <f>IFERROR(ROUND(F1041/E1041,4),"")</f>
        <v/>
      </c>
      <c r="H1041" s="14">
        <f>IF(D1041=0,"NO DATA",IF(D1041&gt;E1041*1.5,"OVER",IF(D1041&gt;E1041*1.1,"HIGH",IF(D1041&lt;E1041*0.5,"LOW","OK"))))</f>
        <v/>
      </c>
    </row>
    <row r="1042" ht="22" customHeight="1">
      <c r="B1042" s="8" t="inlineStr">
        <is>
          <t>MTR-DOM-006</t>
        </is>
      </c>
      <c r="C1042" s="8" t="inlineStr">
        <is>
          <t>2024-11-07</t>
        </is>
      </c>
      <c r="D1042" s="12" t="n">
        <v>8.630000000000001</v>
      </c>
      <c r="E1042" s="12" t="n">
        <v>10</v>
      </c>
      <c r="F1042" s="12">
        <f>ROUND(D1042-E1042,2)</f>
        <v/>
      </c>
      <c r="G1042" s="15">
        <f>IFERROR(ROUND(F1042/E1042,4),"")</f>
        <v/>
      </c>
      <c r="H1042" s="16">
        <f>IF(D1042=0,"NO DATA",IF(D1042&gt;E1042*1.5,"OVER",IF(D1042&gt;E1042*1.1,"HIGH",IF(D1042&lt;E1042*0.5,"LOW","OK"))))</f>
        <v/>
      </c>
    </row>
    <row r="1043" ht="22" customHeight="1">
      <c r="B1043" s="5" t="inlineStr">
        <is>
          <t>MTR-DOM-006</t>
        </is>
      </c>
      <c r="C1043" s="5" t="inlineStr">
        <is>
          <t>2024-11-08</t>
        </is>
      </c>
      <c r="D1043" s="11" t="n">
        <v>10.76</v>
      </c>
      <c r="E1043" s="11" t="n">
        <v>10</v>
      </c>
      <c r="F1043" s="11">
        <f>ROUND(D1043-E1043,2)</f>
        <v/>
      </c>
      <c r="G1043" s="13">
        <f>IFERROR(ROUND(F1043/E1043,4),"")</f>
        <v/>
      </c>
      <c r="H1043" s="14">
        <f>IF(D1043=0,"NO DATA",IF(D1043&gt;E1043*1.5,"OVER",IF(D1043&gt;E1043*1.1,"HIGH",IF(D1043&lt;E1043*0.5,"LOW","OK"))))</f>
        <v/>
      </c>
    </row>
    <row r="1044" ht="22" customHeight="1">
      <c r="B1044" s="8" t="inlineStr">
        <is>
          <t>MTR-DOM-006</t>
        </is>
      </c>
      <c r="C1044" s="8" t="inlineStr">
        <is>
          <t>2024-11-09</t>
        </is>
      </c>
      <c r="D1044" s="12" t="n">
        <v>7.22</v>
      </c>
      <c r="E1044" s="12" t="n">
        <v>10</v>
      </c>
      <c r="F1044" s="12">
        <f>ROUND(D1044-E1044,2)</f>
        <v/>
      </c>
      <c r="G1044" s="15">
        <f>IFERROR(ROUND(F1044/E1044,4),"")</f>
        <v/>
      </c>
      <c r="H1044" s="16">
        <f>IF(D1044=0,"NO DATA",IF(D1044&gt;E1044*1.5,"OVER",IF(D1044&gt;E1044*1.1,"HIGH",IF(D1044&lt;E1044*0.5,"LOW","OK"))))</f>
        <v/>
      </c>
    </row>
    <row r="1045" ht="22" customHeight="1">
      <c r="B1045" s="5" t="inlineStr">
        <is>
          <t>MTR-DOM-006</t>
        </is>
      </c>
      <c r="C1045" s="5" t="inlineStr">
        <is>
          <t>2024-11-10</t>
        </is>
      </c>
      <c r="D1045" s="11" t="n">
        <v>5.63</v>
      </c>
      <c r="E1045" s="11" t="n">
        <v>10</v>
      </c>
      <c r="F1045" s="11">
        <f>ROUND(D1045-E1045,2)</f>
        <v/>
      </c>
      <c r="G1045" s="13">
        <f>IFERROR(ROUND(F1045/E1045,4),"")</f>
        <v/>
      </c>
      <c r="H1045" s="14">
        <f>IF(D1045=0,"NO DATA",IF(D1045&gt;E1045*1.5,"OVER",IF(D1045&gt;E1045*1.1,"HIGH",IF(D1045&lt;E1045*0.5,"LOW","OK"))))</f>
        <v/>
      </c>
    </row>
    <row r="1046" ht="22" customHeight="1">
      <c r="B1046" s="8" t="inlineStr">
        <is>
          <t>MTR-DOM-006</t>
        </is>
      </c>
      <c r="C1046" s="8" t="inlineStr">
        <is>
          <t>2024-11-11</t>
        </is>
      </c>
      <c r="D1046" s="12" t="n">
        <v>11.16</v>
      </c>
      <c r="E1046" s="12" t="n">
        <v>10</v>
      </c>
      <c r="F1046" s="12">
        <f>ROUND(D1046-E1046,2)</f>
        <v/>
      </c>
      <c r="G1046" s="15">
        <f>IFERROR(ROUND(F1046/E1046,4),"")</f>
        <v/>
      </c>
      <c r="H1046" s="16">
        <f>IF(D1046=0,"NO DATA",IF(D1046&gt;E1046*1.5,"OVER",IF(D1046&gt;E1046*1.1,"HIGH",IF(D1046&lt;E1046*0.5,"LOW","OK"))))</f>
        <v/>
      </c>
    </row>
    <row r="1047" ht="22" customHeight="1">
      <c r="B1047" s="5" t="inlineStr">
        <is>
          <t>MTR-DOM-006</t>
        </is>
      </c>
      <c r="C1047" s="5" t="inlineStr">
        <is>
          <t>2024-11-12</t>
        </is>
      </c>
      <c r="D1047" s="11" t="n">
        <v>10.99</v>
      </c>
      <c r="E1047" s="11" t="n">
        <v>10</v>
      </c>
      <c r="F1047" s="11">
        <f>ROUND(D1047-E1047,2)</f>
        <v/>
      </c>
      <c r="G1047" s="13">
        <f>IFERROR(ROUND(F1047/E1047,4),"")</f>
        <v/>
      </c>
      <c r="H1047" s="14">
        <f>IF(D1047=0,"NO DATA",IF(D1047&gt;E1047*1.5,"OVER",IF(D1047&gt;E1047*1.1,"HIGH",IF(D1047&lt;E1047*0.5,"LOW","OK"))))</f>
        <v/>
      </c>
    </row>
    <row r="1048" ht="22" customHeight="1">
      <c r="B1048" s="8" t="inlineStr">
        <is>
          <t>MTR-DOM-006</t>
        </is>
      </c>
      <c r="C1048" s="8" t="inlineStr">
        <is>
          <t>2024-11-13</t>
        </is>
      </c>
      <c r="D1048" s="12" t="n">
        <v>9.550000000000001</v>
      </c>
      <c r="E1048" s="12" t="n">
        <v>10</v>
      </c>
      <c r="F1048" s="12">
        <f>ROUND(D1048-E1048,2)</f>
        <v/>
      </c>
      <c r="G1048" s="15">
        <f>IFERROR(ROUND(F1048/E1048,4),"")</f>
        <v/>
      </c>
      <c r="H1048" s="16">
        <f>IF(D1048=0,"NO DATA",IF(D1048&gt;E1048*1.5,"OVER",IF(D1048&gt;E1048*1.1,"HIGH",IF(D1048&lt;E1048*0.5,"LOW","OK"))))</f>
        <v/>
      </c>
    </row>
    <row r="1049" ht="22" customHeight="1">
      <c r="B1049" s="5" t="inlineStr">
        <is>
          <t>MTR-DOM-006</t>
        </is>
      </c>
      <c r="C1049" s="5" t="inlineStr">
        <is>
          <t>2024-11-14</t>
        </is>
      </c>
      <c r="D1049" s="11" t="n">
        <v>9.19</v>
      </c>
      <c r="E1049" s="11" t="n">
        <v>10</v>
      </c>
      <c r="F1049" s="11">
        <f>ROUND(D1049-E1049,2)</f>
        <v/>
      </c>
      <c r="G1049" s="13">
        <f>IFERROR(ROUND(F1049/E1049,4),"")</f>
        <v/>
      </c>
      <c r="H1049" s="14">
        <f>IF(D1049=0,"NO DATA",IF(D1049&gt;E1049*1.5,"OVER",IF(D1049&gt;E1049*1.1,"HIGH",IF(D1049&lt;E1049*0.5,"LOW","OK"))))</f>
        <v/>
      </c>
    </row>
    <row r="1050" ht="22" customHeight="1">
      <c r="B1050" s="8" t="inlineStr">
        <is>
          <t>MTR-DOM-006</t>
        </is>
      </c>
      <c r="C1050" s="8" t="inlineStr">
        <is>
          <t>2024-11-15</t>
        </is>
      </c>
      <c r="D1050" s="12" t="n">
        <v>9.27</v>
      </c>
      <c r="E1050" s="12" t="n">
        <v>10</v>
      </c>
      <c r="F1050" s="12">
        <f>ROUND(D1050-E1050,2)</f>
        <v/>
      </c>
      <c r="G1050" s="15">
        <f>IFERROR(ROUND(F1050/E1050,4),"")</f>
        <v/>
      </c>
      <c r="H1050" s="16">
        <f>IF(D1050=0,"NO DATA",IF(D1050&gt;E1050*1.5,"OVER",IF(D1050&gt;E1050*1.1,"HIGH",IF(D1050&lt;E1050*0.5,"LOW","OK"))))</f>
        <v/>
      </c>
    </row>
    <row r="1051" ht="22" customHeight="1">
      <c r="B1051" s="5" t="inlineStr">
        <is>
          <t>MTR-DOM-006</t>
        </is>
      </c>
      <c r="C1051" s="5" t="inlineStr">
        <is>
          <t>2024-11-16</t>
        </is>
      </c>
      <c r="D1051" s="11" t="n">
        <v>8.16</v>
      </c>
      <c r="E1051" s="11" t="n">
        <v>10</v>
      </c>
      <c r="F1051" s="11">
        <f>ROUND(D1051-E1051,2)</f>
        <v/>
      </c>
      <c r="G1051" s="13">
        <f>IFERROR(ROUND(F1051/E1051,4),"")</f>
        <v/>
      </c>
      <c r="H1051" s="14">
        <f>IF(D1051=0,"NO DATA",IF(D1051&gt;E1051*1.5,"OVER",IF(D1051&gt;E1051*1.1,"HIGH",IF(D1051&lt;E1051*0.5,"LOW","OK"))))</f>
        <v/>
      </c>
    </row>
    <row r="1052" ht="22" customHeight="1">
      <c r="B1052" s="8" t="inlineStr">
        <is>
          <t>MTR-DOM-006</t>
        </is>
      </c>
      <c r="C1052" s="8" t="inlineStr">
        <is>
          <t>2024-11-17</t>
        </is>
      </c>
      <c r="D1052" s="12" t="n">
        <v>5.54</v>
      </c>
      <c r="E1052" s="12" t="n">
        <v>10</v>
      </c>
      <c r="F1052" s="12">
        <f>ROUND(D1052-E1052,2)</f>
        <v/>
      </c>
      <c r="G1052" s="15">
        <f>IFERROR(ROUND(F1052/E1052,4),"")</f>
        <v/>
      </c>
      <c r="H1052" s="16">
        <f>IF(D1052=0,"NO DATA",IF(D1052&gt;E1052*1.5,"OVER",IF(D1052&gt;E1052*1.1,"HIGH",IF(D1052&lt;E1052*0.5,"LOW","OK"))))</f>
        <v/>
      </c>
    </row>
    <row r="1053" ht="22" customHeight="1">
      <c r="B1053" s="5" t="inlineStr">
        <is>
          <t>MTR-DOM-006</t>
        </is>
      </c>
      <c r="C1053" s="5" t="inlineStr">
        <is>
          <t>2024-11-18</t>
        </is>
      </c>
      <c r="D1053" s="11" t="n">
        <v>10.07</v>
      </c>
      <c r="E1053" s="11" t="n">
        <v>10</v>
      </c>
      <c r="F1053" s="11">
        <f>ROUND(D1053-E1053,2)</f>
        <v/>
      </c>
      <c r="G1053" s="13">
        <f>IFERROR(ROUND(F1053/E1053,4),"")</f>
        <v/>
      </c>
      <c r="H1053" s="14">
        <f>IF(D1053=0,"NO DATA",IF(D1053&gt;E1053*1.5,"OVER",IF(D1053&gt;E1053*1.1,"HIGH",IF(D1053&lt;E1053*0.5,"LOW","OK"))))</f>
        <v/>
      </c>
    </row>
    <row r="1054" ht="22" customHeight="1">
      <c r="B1054" s="8" t="inlineStr">
        <is>
          <t>MTR-DOM-006</t>
        </is>
      </c>
      <c r="C1054" s="8" t="inlineStr">
        <is>
          <t>2024-11-19</t>
        </is>
      </c>
      <c r="D1054" s="12" t="n">
        <v>11.24</v>
      </c>
      <c r="E1054" s="12" t="n">
        <v>10</v>
      </c>
      <c r="F1054" s="12">
        <f>ROUND(D1054-E1054,2)</f>
        <v/>
      </c>
      <c r="G1054" s="15">
        <f>IFERROR(ROUND(F1054/E1054,4),"")</f>
        <v/>
      </c>
      <c r="H1054" s="16">
        <f>IF(D1054=0,"NO DATA",IF(D1054&gt;E1054*1.5,"OVER",IF(D1054&gt;E1054*1.1,"HIGH",IF(D1054&lt;E1054*0.5,"LOW","OK"))))</f>
        <v/>
      </c>
    </row>
    <row r="1055" ht="22" customHeight="1">
      <c r="B1055" s="5" t="inlineStr">
        <is>
          <t>MTR-DOM-006</t>
        </is>
      </c>
      <c r="C1055" s="5" t="inlineStr">
        <is>
          <t>2024-11-20</t>
        </is>
      </c>
      <c r="D1055" s="11" t="n">
        <v>10.87</v>
      </c>
      <c r="E1055" s="11" t="n">
        <v>10</v>
      </c>
      <c r="F1055" s="11">
        <f>ROUND(D1055-E1055,2)</f>
        <v/>
      </c>
      <c r="G1055" s="13">
        <f>IFERROR(ROUND(F1055/E1055,4),"")</f>
        <v/>
      </c>
      <c r="H1055" s="14">
        <f>IF(D1055=0,"NO DATA",IF(D1055&gt;E1055*1.5,"OVER",IF(D1055&gt;E1055*1.1,"HIGH",IF(D1055&lt;E1055*0.5,"LOW","OK"))))</f>
        <v/>
      </c>
    </row>
    <row r="1056" ht="22" customHeight="1">
      <c r="B1056" s="8" t="inlineStr">
        <is>
          <t>MTR-DOM-006</t>
        </is>
      </c>
      <c r="C1056" s="8" t="inlineStr">
        <is>
          <t>2024-11-21</t>
        </is>
      </c>
      <c r="D1056" s="12" t="n">
        <v>10.69</v>
      </c>
      <c r="E1056" s="12" t="n">
        <v>10</v>
      </c>
      <c r="F1056" s="12">
        <f>ROUND(D1056-E1056,2)</f>
        <v/>
      </c>
      <c r="G1056" s="15">
        <f>IFERROR(ROUND(F1056/E1056,4),"")</f>
        <v/>
      </c>
      <c r="H1056" s="16">
        <f>IF(D1056=0,"NO DATA",IF(D1056&gt;E1056*1.5,"OVER",IF(D1056&gt;E1056*1.1,"HIGH",IF(D1056&lt;E1056*0.5,"LOW","OK"))))</f>
        <v/>
      </c>
    </row>
    <row r="1057" ht="22" customHeight="1">
      <c r="B1057" s="5" t="inlineStr">
        <is>
          <t>MTR-DOM-006</t>
        </is>
      </c>
      <c r="C1057" s="5" t="inlineStr">
        <is>
          <t>2024-11-22</t>
        </is>
      </c>
      <c r="D1057" s="11" t="n">
        <v>10.88</v>
      </c>
      <c r="E1057" s="11" t="n">
        <v>10</v>
      </c>
      <c r="F1057" s="11">
        <f>ROUND(D1057-E1057,2)</f>
        <v/>
      </c>
      <c r="G1057" s="13">
        <f>IFERROR(ROUND(F1057/E1057,4),"")</f>
        <v/>
      </c>
      <c r="H1057" s="14">
        <f>IF(D1057=0,"NO DATA",IF(D1057&gt;E1057*1.5,"OVER",IF(D1057&gt;E1057*1.1,"HIGH",IF(D1057&lt;E1057*0.5,"LOW","OK"))))</f>
        <v/>
      </c>
    </row>
    <row r="1058" ht="22" customHeight="1">
      <c r="B1058" s="8" t="inlineStr">
        <is>
          <t>MTR-DOM-006</t>
        </is>
      </c>
      <c r="C1058" s="8" t="inlineStr">
        <is>
          <t>2024-11-23</t>
        </is>
      </c>
      <c r="D1058" s="12" t="n">
        <v>8.109999999999999</v>
      </c>
      <c r="E1058" s="12" t="n">
        <v>10</v>
      </c>
      <c r="F1058" s="12">
        <f>ROUND(D1058-E1058,2)</f>
        <v/>
      </c>
      <c r="G1058" s="15">
        <f>IFERROR(ROUND(F1058/E1058,4),"")</f>
        <v/>
      </c>
      <c r="H1058" s="16">
        <f>IF(D1058=0,"NO DATA",IF(D1058&gt;E1058*1.5,"OVER",IF(D1058&gt;E1058*1.1,"HIGH",IF(D1058&lt;E1058*0.5,"LOW","OK"))))</f>
        <v/>
      </c>
    </row>
    <row r="1059" ht="22" customHeight="1">
      <c r="B1059" s="5" t="inlineStr">
        <is>
          <t>MTR-DOM-006</t>
        </is>
      </c>
      <c r="C1059" s="5" t="inlineStr">
        <is>
          <t>2024-11-24</t>
        </is>
      </c>
      <c r="D1059" s="11" t="n">
        <v>4.69</v>
      </c>
      <c r="E1059" s="11" t="n">
        <v>10</v>
      </c>
      <c r="F1059" s="11">
        <f>ROUND(D1059-E1059,2)</f>
        <v/>
      </c>
      <c r="G1059" s="13">
        <f>IFERROR(ROUND(F1059/E1059,4),"")</f>
        <v/>
      </c>
      <c r="H1059" s="14">
        <f>IF(D1059=0,"NO DATA",IF(D1059&gt;E1059*1.5,"OVER",IF(D1059&gt;E1059*1.1,"HIGH",IF(D1059&lt;E1059*0.5,"LOW","OK"))))</f>
        <v/>
      </c>
    </row>
    <row r="1060" ht="22" customHeight="1">
      <c r="B1060" s="8" t="inlineStr">
        <is>
          <t>MTR-DOM-006</t>
        </is>
      </c>
      <c r="C1060" s="8" t="inlineStr">
        <is>
          <t>2024-11-25</t>
        </is>
      </c>
      <c r="D1060" s="12" t="n">
        <v>10.8</v>
      </c>
      <c r="E1060" s="12" t="n">
        <v>10</v>
      </c>
      <c r="F1060" s="12">
        <f>ROUND(D1060-E1060,2)</f>
        <v/>
      </c>
      <c r="G1060" s="15">
        <f>IFERROR(ROUND(F1060/E1060,4),"")</f>
        <v/>
      </c>
      <c r="H1060" s="16">
        <f>IF(D1060=0,"NO DATA",IF(D1060&gt;E1060*1.5,"OVER",IF(D1060&gt;E1060*1.1,"HIGH",IF(D1060&lt;E1060*0.5,"LOW","OK"))))</f>
        <v/>
      </c>
    </row>
    <row r="1061" ht="22" customHeight="1">
      <c r="B1061" s="5" t="inlineStr">
        <is>
          <t>MTR-DOM-006</t>
        </is>
      </c>
      <c r="C1061" s="5" t="inlineStr">
        <is>
          <t>2024-11-26</t>
        </is>
      </c>
      <c r="D1061" s="11" t="n">
        <v>9.67</v>
      </c>
      <c r="E1061" s="11" t="n">
        <v>10</v>
      </c>
      <c r="F1061" s="11">
        <f>ROUND(D1061-E1061,2)</f>
        <v/>
      </c>
      <c r="G1061" s="13">
        <f>IFERROR(ROUND(F1061/E1061,4),"")</f>
        <v/>
      </c>
      <c r="H1061" s="14">
        <f>IF(D1061=0,"NO DATA",IF(D1061&gt;E1061*1.5,"OVER",IF(D1061&gt;E1061*1.1,"HIGH",IF(D1061&lt;E1061*0.5,"LOW","OK"))))</f>
        <v/>
      </c>
    </row>
    <row r="1062" ht="22" customHeight="1">
      <c r="B1062" s="8" t="inlineStr">
        <is>
          <t>MTR-DOM-006</t>
        </is>
      </c>
      <c r="C1062" s="8" t="inlineStr">
        <is>
          <t>2024-11-27</t>
        </is>
      </c>
      <c r="D1062" s="12" t="n">
        <v>9.26</v>
      </c>
      <c r="E1062" s="12" t="n">
        <v>10</v>
      </c>
      <c r="F1062" s="12">
        <f>ROUND(D1062-E1062,2)</f>
        <v/>
      </c>
      <c r="G1062" s="15">
        <f>IFERROR(ROUND(F1062/E1062,4),"")</f>
        <v/>
      </c>
      <c r="H1062" s="16">
        <f>IF(D1062=0,"NO DATA",IF(D1062&gt;E1062*1.5,"OVER",IF(D1062&gt;E1062*1.1,"HIGH",IF(D1062&lt;E1062*0.5,"LOW","OK"))))</f>
        <v/>
      </c>
    </row>
    <row r="1063" ht="22" customHeight="1">
      <c r="B1063" s="5" t="inlineStr">
        <is>
          <t>MTR-DOM-006</t>
        </is>
      </c>
      <c r="C1063" s="5" t="inlineStr">
        <is>
          <t>2024-11-28</t>
        </is>
      </c>
      <c r="D1063" s="11" t="n">
        <v>9.880000000000001</v>
      </c>
      <c r="E1063" s="11" t="n">
        <v>10</v>
      </c>
      <c r="F1063" s="11">
        <f>ROUND(D1063-E1063,2)</f>
        <v/>
      </c>
      <c r="G1063" s="13">
        <f>IFERROR(ROUND(F1063/E1063,4),"")</f>
        <v/>
      </c>
      <c r="H1063" s="14">
        <f>IF(D1063=0,"NO DATA",IF(D1063&gt;E1063*1.5,"OVER",IF(D1063&gt;E1063*1.1,"HIGH",IF(D1063&lt;E1063*0.5,"LOW","OK"))))</f>
        <v/>
      </c>
    </row>
    <row r="1064" ht="22" customHeight="1">
      <c r="B1064" s="8" t="inlineStr">
        <is>
          <t>MTR-DOM-006</t>
        </is>
      </c>
      <c r="C1064" s="8" t="inlineStr">
        <is>
          <t>2024-11-29</t>
        </is>
      </c>
      <c r="D1064" s="12" t="n">
        <v>9.01</v>
      </c>
      <c r="E1064" s="12" t="n">
        <v>10</v>
      </c>
      <c r="F1064" s="12">
        <f>ROUND(D1064-E1064,2)</f>
        <v/>
      </c>
      <c r="G1064" s="15">
        <f>IFERROR(ROUND(F1064/E1064,4),"")</f>
        <v/>
      </c>
      <c r="H1064" s="16">
        <f>IF(D1064=0,"NO DATA",IF(D1064&gt;E1064*1.5,"OVER",IF(D1064&gt;E1064*1.1,"HIGH",IF(D1064&lt;E1064*0.5,"LOW","OK"))))</f>
        <v/>
      </c>
    </row>
    <row r="1065" ht="22" customHeight="1">
      <c r="B1065" s="5" t="inlineStr">
        <is>
          <t>MTR-DOM-006</t>
        </is>
      </c>
      <c r="C1065" s="5" t="inlineStr">
        <is>
          <t>2024-11-30</t>
        </is>
      </c>
      <c r="D1065" s="11" t="n">
        <v>8.48</v>
      </c>
      <c r="E1065" s="11" t="n">
        <v>10</v>
      </c>
      <c r="F1065" s="11">
        <f>ROUND(D1065-E1065,2)</f>
        <v/>
      </c>
      <c r="G1065" s="13">
        <f>IFERROR(ROUND(F1065/E1065,4),"")</f>
        <v/>
      </c>
      <c r="H1065" s="14">
        <f>IF(D1065=0,"NO DATA",IF(D1065&gt;E1065*1.5,"OVER",IF(D1065&gt;E1065*1.1,"HIGH",IF(D1065&lt;E1065*0.5,"LOW","OK"))))</f>
        <v/>
      </c>
    </row>
    <row r="1066" ht="22" customHeight="1">
      <c r="B1066" s="8" t="inlineStr">
        <is>
          <t>MTR-DOM-006</t>
        </is>
      </c>
      <c r="C1066" s="8" t="inlineStr">
        <is>
          <t>2024-12-01</t>
        </is>
      </c>
      <c r="D1066" s="12" t="n">
        <v>4.41</v>
      </c>
      <c r="E1066" s="12" t="n">
        <v>10</v>
      </c>
      <c r="F1066" s="12">
        <f>ROUND(D1066-E1066,2)</f>
        <v/>
      </c>
      <c r="G1066" s="15">
        <f>IFERROR(ROUND(F1066/E1066,4),"")</f>
        <v/>
      </c>
      <c r="H1066" s="16">
        <f>IF(D1066=0,"NO DATA",IF(D1066&gt;E1066*1.5,"OVER",IF(D1066&gt;E1066*1.1,"HIGH",IF(D1066&lt;E1066*0.5,"LOW","OK"))))</f>
        <v/>
      </c>
    </row>
    <row r="1067" ht="22" customHeight="1">
      <c r="B1067" s="5" t="inlineStr">
        <is>
          <t>MTR-DOM-006</t>
        </is>
      </c>
      <c r="C1067" s="5" t="inlineStr">
        <is>
          <t>2024-12-02</t>
        </is>
      </c>
      <c r="D1067" s="11" t="n">
        <v>9.5</v>
      </c>
      <c r="E1067" s="11" t="n">
        <v>10</v>
      </c>
      <c r="F1067" s="11">
        <f>ROUND(D1067-E1067,2)</f>
        <v/>
      </c>
      <c r="G1067" s="13">
        <f>IFERROR(ROUND(F1067/E1067,4),"")</f>
        <v/>
      </c>
      <c r="H1067" s="14">
        <f>IF(D1067=0,"NO DATA",IF(D1067&gt;E1067*1.5,"OVER",IF(D1067&gt;E1067*1.1,"HIGH",IF(D1067&lt;E1067*0.5,"LOW","OK"))))</f>
        <v/>
      </c>
    </row>
    <row r="1068" ht="22" customHeight="1">
      <c r="B1068" s="8" t="inlineStr">
        <is>
          <t>MTR-DOM-006</t>
        </is>
      </c>
      <c r="C1068" s="8" t="inlineStr">
        <is>
          <t>2024-12-03</t>
        </is>
      </c>
      <c r="D1068" s="12" t="n">
        <v>10.57</v>
      </c>
      <c r="E1068" s="12" t="n">
        <v>10</v>
      </c>
      <c r="F1068" s="12">
        <f>ROUND(D1068-E1068,2)</f>
        <v/>
      </c>
      <c r="G1068" s="15">
        <f>IFERROR(ROUND(F1068/E1068,4),"")</f>
        <v/>
      </c>
      <c r="H1068" s="16">
        <f>IF(D1068=0,"NO DATA",IF(D1068&gt;E1068*1.5,"OVER",IF(D1068&gt;E1068*1.1,"HIGH",IF(D1068&lt;E1068*0.5,"LOW","OK"))))</f>
        <v/>
      </c>
    </row>
    <row r="1069" ht="22" customHeight="1">
      <c r="B1069" s="5" t="inlineStr">
        <is>
          <t>MTR-DOM-006</t>
        </is>
      </c>
      <c r="C1069" s="5" t="inlineStr">
        <is>
          <t>2024-12-04</t>
        </is>
      </c>
      <c r="D1069" s="11" t="n">
        <v>9.720000000000001</v>
      </c>
      <c r="E1069" s="11" t="n">
        <v>10</v>
      </c>
      <c r="F1069" s="11">
        <f>ROUND(D1069-E1069,2)</f>
        <v/>
      </c>
      <c r="G1069" s="13">
        <f>IFERROR(ROUND(F1069/E1069,4),"")</f>
        <v/>
      </c>
      <c r="H1069" s="14">
        <f>IF(D1069=0,"NO DATA",IF(D1069&gt;E1069*1.5,"OVER",IF(D1069&gt;E1069*1.1,"HIGH",IF(D1069&lt;E1069*0.5,"LOW","OK"))))</f>
        <v/>
      </c>
    </row>
    <row r="1070" ht="22" customHeight="1">
      <c r="B1070" s="8" t="inlineStr">
        <is>
          <t>MTR-DOM-006</t>
        </is>
      </c>
      <c r="C1070" s="8" t="inlineStr">
        <is>
          <t>2024-12-05</t>
        </is>
      </c>
      <c r="D1070" s="12" t="n">
        <v>11.05</v>
      </c>
      <c r="E1070" s="12" t="n">
        <v>10</v>
      </c>
      <c r="F1070" s="12">
        <f>ROUND(D1070-E1070,2)</f>
        <v/>
      </c>
      <c r="G1070" s="15">
        <f>IFERROR(ROUND(F1070/E1070,4),"")</f>
        <v/>
      </c>
      <c r="H1070" s="16">
        <f>IF(D1070=0,"NO DATA",IF(D1070&gt;E1070*1.5,"OVER",IF(D1070&gt;E1070*1.1,"HIGH",IF(D1070&lt;E1070*0.5,"LOW","OK"))))</f>
        <v/>
      </c>
    </row>
    <row r="1071" ht="22" customHeight="1">
      <c r="B1071" s="5" t="inlineStr">
        <is>
          <t>MTR-DOM-006</t>
        </is>
      </c>
      <c r="C1071" s="5" t="inlineStr">
        <is>
          <t>2024-12-06</t>
        </is>
      </c>
      <c r="D1071" s="11" t="n">
        <v>8.56</v>
      </c>
      <c r="E1071" s="11" t="n">
        <v>10</v>
      </c>
      <c r="F1071" s="11">
        <f>ROUND(D1071-E1071,2)</f>
        <v/>
      </c>
      <c r="G1071" s="13">
        <f>IFERROR(ROUND(F1071/E1071,4),"")</f>
        <v/>
      </c>
      <c r="H1071" s="14">
        <f>IF(D1071=0,"NO DATA",IF(D1071&gt;E1071*1.5,"OVER",IF(D1071&gt;E1071*1.1,"HIGH",IF(D1071&lt;E1071*0.5,"LOW","OK"))))</f>
        <v/>
      </c>
    </row>
    <row r="1072" ht="22" customHeight="1">
      <c r="B1072" s="8" t="inlineStr">
        <is>
          <t>MTR-DOM-006</t>
        </is>
      </c>
      <c r="C1072" s="8" t="inlineStr">
        <is>
          <t>2024-12-07</t>
        </is>
      </c>
      <c r="D1072" s="12" t="n">
        <v>8.27</v>
      </c>
      <c r="E1072" s="12" t="n">
        <v>10</v>
      </c>
      <c r="F1072" s="12">
        <f>ROUND(D1072-E1072,2)</f>
        <v/>
      </c>
      <c r="G1072" s="15">
        <f>IFERROR(ROUND(F1072/E1072,4),"")</f>
        <v/>
      </c>
      <c r="H1072" s="16">
        <f>IF(D1072=0,"NO DATA",IF(D1072&gt;E1072*1.5,"OVER",IF(D1072&gt;E1072*1.1,"HIGH",IF(D1072&lt;E1072*0.5,"LOW","OK"))))</f>
        <v/>
      </c>
    </row>
    <row r="1073" ht="22" customHeight="1">
      <c r="B1073" s="5" t="inlineStr">
        <is>
          <t>MTR-DOM-006</t>
        </is>
      </c>
      <c r="C1073" s="5" t="inlineStr">
        <is>
          <t>2024-12-08</t>
        </is>
      </c>
      <c r="D1073" s="11" t="n">
        <v>4.95</v>
      </c>
      <c r="E1073" s="11" t="n">
        <v>10</v>
      </c>
      <c r="F1073" s="11">
        <f>ROUND(D1073-E1073,2)</f>
        <v/>
      </c>
      <c r="G1073" s="13">
        <f>IFERROR(ROUND(F1073/E1073,4),"")</f>
        <v/>
      </c>
      <c r="H1073" s="14">
        <f>IF(D1073=0,"NO DATA",IF(D1073&gt;E1073*1.5,"OVER",IF(D1073&gt;E1073*1.1,"HIGH",IF(D1073&lt;E1073*0.5,"LOW","OK"))))</f>
        <v/>
      </c>
    </row>
    <row r="1074" ht="22" customHeight="1">
      <c r="B1074" s="8" t="inlineStr">
        <is>
          <t>MTR-DOM-006</t>
        </is>
      </c>
      <c r="C1074" s="8" t="inlineStr">
        <is>
          <t>2024-12-09</t>
        </is>
      </c>
      <c r="D1074" s="12" t="n">
        <v>10.39</v>
      </c>
      <c r="E1074" s="12" t="n">
        <v>10</v>
      </c>
      <c r="F1074" s="12">
        <f>ROUND(D1074-E1074,2)</f>
        <v/>
      </c>
      <c r="G1074" s="15">
        <f>IFERROR(ROUND(F1074/E1074,4),"")</f>
        <v/>
      </c>
      <c r="H1074" s="16">
        <f>IF(D1074=0,"NO DATA",IF(D1074&gt;E1074*1.5,"OVER",IF(D1074&gt;E1074*1.1,"HIGH",IF(D1074&lt;E1074*0.5,"LOW","OK"))))</f>
        <v/>
      </c>
    </row>
    <row r="1075" ht="22" customHeight="1">
      <c r="B1075" s="5" t="inlineStr">
        <is>
          <t>MTR-DOM-006</t>
        </is>
      </c>
      <c r="C1075" s="5" t="inlineStr">
        <is>
          <t>2024-12-10</t>
        </is>
      </c>
      <c r="D1075" s="11" t="n">
        <v>10.84</v>
      </c>
      <c r="E1075" s="11" t="n">
        <v>10</v>
      </c>
      <c r="F1075" s="11">
        <f>ROUND(D1075-E1075,2)</f>
        <v/>
      </c>
      <c r="G1075" s="13">
        <f>IFERROR(ROUND(F1075/E1075,4),"")</f>
        <v/>
      </c>
      <c r="H1075" s="14">
        <f>IF(D1075=0,"NO DATA",IF(D1075&gt;E1075*1.5,"OVER",IF(D1075&gt;E1075*1.1,"HIGH",IF(D1075&lt;E1075*0.5,"LOW","OK"))))</f>
        <v/>
      </c>
    </row>
    <row r="1076" ht="22" customHeight="1">
      <c r="B1076" s="8" t="inlineStr">
        <is>
          <t>MTR-DOM-006</t>
        </is>
      </c>
      <c r="C1076" s="8" t="inlineStr">
        <is>
          <t>2024-12-11</t>
        </is>
      </c>
      <c r="D1076" s="12" t="n">
        <v>8.31</v>
      </c>
      <c r="E1076" s="12" t="n">
        <v>10</v>
      </c>
      <c r="F1076" s="12">
        <f>ROUND(D1076-E1076,2)</f>
        <v/>
      </c>
      <c r="G1076" s="15">
        <f>IFERROR(ROUND(F1076/E1076,4),"")</f>
        <v/>
      </c>
      <c r="H1076" s="16">
        <f>IF(D1076=0,"NO DATA",IF(D1076&gt;E1076*1.5,"OVER",IF(D1076&gt;E1076*1.1,"HIGH",IF(D1076&lt;E1076*0.5,"LOW","OK"))))</f>
        <v/>
      </c>
    </row>
    <row r="1077" ht="22" customHeight="1">
      <c r="B1077" s="5" t="inlineStr">
        <is>
          <t>MTR-DOM-006</t>
        </is>
      </c>
      <c r="C1077" s="5" t="inlineStr">
        <is>
          <t>2024-12-12</t>
        </is>
      </c>
      <c r="D1077" s="11" t="n">
        <v>10.08</v>
      </c>
      <c r="E1077" s="11" t="n">
        <v>10</v>
      </c>
      <c r="F1077" s="11">
        <f>ROUND(D1077-E1077,2)</f>
        <v/>
      </c>
      <c r="G1077" s="13">
        <f>IFERROR(ROUND(F1077/E1077,4),"")</f>
        <v/>
      </c>
      <c r="H1077" s="14">
        <f>IF(D1077=0,"NO DATA",IF(D1077&gt;E1077*1.5,"OVER",IF(D1077&gt;E1077*1.1,"HIGH",IF(D1077&lt;E1077*0.5,"LOW","OK"))))</f>
        <v/>
      </c>
    </row>
    <row r="1078" ht="22" customHeight="1">
      <c r="B1078" s="8" t="inlineStr">
        <is>
          <t>MTR-DOM-006</t>
        </is>
      </c>
      <c r="C1078" s="8" t="inlineStr">
        <is>
          <t>2024-12-13</t>
        </is>
      </c>
      <c r="D1078" s="12" t="n">
        <v>8.43</v>
      </c>
      <c r="E1078" s="12" t="n">
        <v>10</v>
      </c>
      <c r="F1078" s="12">
        <f>ROUND(D1078-E1078,2)</f>
        <v/>
      </c>
      <c r="G1078" s="15">
        <f>IFERROR(ROUND(F1078/E1078,4),"")</f>
        <v/>
      </c>
      <c r="H1078" s="16">
        <f>IF(D1078=0,"NO DATA",IF(D1078&gt;E1078*1.5,"OVER",IF(D1078&gt;E1078*1.1,"HIGH",IF(D1078&lt;E1078*0.5,"LOW","OK"))))</f>
        <v/>
      </c>
    </row>
    <row r="1079" ht="22" customHeight="1">
      <c r="B1079" s="5" t="inlineStr">
        <is>
          <t>MTR-DOM-006</t>
        </is>
      </c>
      <c r="C1079" s="5" t="inlineStr">
        <is>
          <t>2024-12-14</t>
        </is>
      </c>
      <c r="D1079" s="11" t="n">
        <v>6.82</v>
      </c>
      <c r="E1079" s="11" t="n">
        <v>10</v>
      </c>
      <c r="F1079" s="11">
        <f>ROUND(D1079-E1079,2)</f>
        <v/>
      </c>
      <c r="G1079" s="13">
        <f>IFERROR(ROUND(F1079/E1079,4),"")</f>
        <v/>
      </c>
      <c r="H1079" s="14">
        <f>IF(D1079=0,"NO DATA",IF(D1079&gt;E1079*1.5,"OVER",IF(D1079&gt;E1079*1.1,"HIGH",IF(D1079&lt;E1079*0.5,"LOW","OK"))))</f>
        <v/>
      </c>
    </row>
    <row r="1080" ht="22" customHeight="1">
      <c r="B1080" s="8" t="inlineStr">
        <is>
          <t>MTR-DOM-006</t>
        </is>
      </c>
      <c r="C1080" s="8" t="inlineStr">
        <is>
          <t>2024-12-15</t>
        </is>
      </c>
      <c r="D1080" s="12" t="n">
        <v>5.02</v>
      </c>
      <c r="E1080" s="12" t="n">
        <v>10</v>
      </c>
      <c r="F1080" s="12">
        <f>ROUND(D1080-E1080,2)</f>
        <v/>
      </c>
      <c r="G1080" s="15">
        <f>IFERROR(ROUND(F1080/E1080,4),"")</f>
        <v/>
      </c>
      <c r="H1080" s="16">
        <f>IF(D1080=0,"NO DATA",IF(D1080&gt;E1080*1.5,"OVER",IF(D1080&gt;E1080*1.1,"HIGH",IF(D1080&lt;E1080*0.5,"LOW","OK"))))</f>
        <v/>
      </c>
    </row>
    <row r="1081" ht="22" customHeight="1">
      <c r="B1081" s="5" t="inlineStr">
        <is>
          <t>MTR-DOM-006</t>
        </is>
      </c>
      <c r="C1081" s="5" t="inlineStr">
        <is>
          <t>2024-12-16</t>
        </is>
      </c>
      <c r="D1081" s="11" t="n">
        <v>11.09</v>
      </c>
      <c r="E1081" s="11" t="n">
        <v>10</v>
      </c>
      <c r="F1081" s="11">
        <f>ROUND(D1081-E1081,2)</f>
        <v/>
      </c>
      <c r="G1081" s="13">
        <f>IFERROR(ROUND(F1081/E1081,4),"")</f>
        <v/>
      </c>
      <c r="H1081" s="14">
        <f>IF(D1081=0,"NO DATA",IF(D1081&gt;E1081*1.5,"OVER",IF(D1081&gt;E1081*1.1,"HIGH",IF(D1081&lt;E1081*0.5,"LOW","OK"))))</f>
        <v/>
      </c>
    </row>
    <row r="1082" ht="22" customHeight="1">
      <c r="B1082" s="8" t="inlineStr">
        <is>
          <t>MTR-DOM-006</t>
        </is>
      </c>
      <c r="C1082" s="8" t="inlineStr">
        <is>
          <t>2024-12-17</t>
        </is>
      </c>
      <c r="D1082" s="12" t="n">
        <v>9.24</v>
      </c>
      <c r="E1082" s="12" t="n">
        <v>10</v>
      </c>
      <c r="F1082" s="12">
        <f>ROUND(D1082-E1082,2)</f>
        <v/>
      </c>
      <c r="G1082" s="15">
        <f>IFERROR(ROUND(F1082/E1082,4),"")</f>
        <v/>
      </c>
      <c r="H1082" s="16">
        <f>IF(D1082=0,"NO DATA",IF(D1082&gt;E1082*1.5,"OVER",IF(D1082&gt;E1082*1.1,"HIGH",IF(D1082&lt;E1082*0.5,"LOW","OK"))))</f>
        <v/>
      </c>
    </row>
    <row r="1083" ht="22" customHeight="1">
      <c r="B1083" s="5" t="inlineStr">
        <is>
          <t>MTR-DOM-006</t>
        </is>
      </c>
      <c r="C1083" s="5" t="inlineStr">
        <is>
          <t>2024-12-18</t>
        </is>
      </c>
      <c r="D1083" s="11" t="n">
        <v>10.7</v>
      </c>
      <c r="E1083" s="11" t="n">
        <v>10</v>
      </c>
      <c r="F1083" s="11">
        <f>ROUND(D1083-E1083,2)</f>
        <v/>
      </c>
      <c r="G1083" s="13">
        <f>IFERROR(ROUND(F1083/E1083,4),"")</f>
        <v/>
      </c>
      <c r="H1083" s="14">
        <f>IF(D1083=0,"NO DATA",IF(D1083&gt;E1083*1.5,"OVER",IF(D1083&gt;E1083*1.1,"HIGH",IF(D1083&lt;E1083*0.5,"LOW","OK"))))</f>
        <v/>
      </c>
    </row>
    <row r="1084" ht="22" customHeight="1">
      <c r="B1084" s="8" t="inlineStr">
        <is>
          <t>MTR-DOM-006</t>
        </is>
      </c>
      <c r="C1084" s="8" t="inlineStr">
        <is>
          <t>2024-12-19</t>
        </is>
      </c>
      <c r="D1084" s="12" t="n">
        <v>8.59</v>
      </c>
      <c r="E1084" s="12" t="n">
        <v>10</v>
      </c>
      <c r="F1084" s="12">
        <f>ROUND(D1084-E1084,2)</f>
        <v/>
      </c>
      <c r="G1084" s="15">
        <f>IFERROR(ROUND(F1084/E1084,4),"")</f>
        <v/>
      </c>
      <c r="H1084" s="16">
        <f>IF(D1084=0,"NO DATA",IF(D1084&gt;E1084*1.5,"OVER",IF(D1084&gt;E1084*1.1,"HIGH",IF(D1084&lt;E1084*0.5,"LOW","OK"))))</f>
        <v/>
      </c>
    </row>
    <row r="1085" ht="22" customHeight="1">
      <c r="B1085" s="5" t="inlineStr">
        <is>
          <t>MTR-DOM-006</t>
        </is>
      </c>
      <c r="C1085" s="5" t="inlineStr">
        <is>
          <t>2024-12-20</t>
        </is>
      </c>
      <c r="D1085" s="11" t="n">
        <v>10.98</v>
      </c>
      <c r="E1085" s="11" t="n">
        <v>10</v>
      </c>
      <c r="F1085" s="11">
        <f>ROUND(D1085-E1085,2)</f>
        <v/>
      </c>
      <c r="G1085" s="13">
        <f>IFERROR(ROUND(F1085/E1085,4),"")</f>
        <v/>
      </c>
      <c r="H1085" s="14">
        <f>IF(D1085=0,"NO DATA",IF(D1085&gt;E1085*1.5,"OVER",IF(D1085&gt;E1085*1.1,"HIGH",IF(D1085&lt;E1085*0.5,"LOW","OK"))))</f>
        <v/>
      </c>
    </row>
    <row r="1086" ht="22" customHeight="1">
      <c r="B1086" s="8" t="inlineStr">
        <is>
          <t>MTR-DOM-006</t>
        </is>
      </c>
      <c r="C1086" s="8" t="inlineStr">
        <is>
          <t>2024-12-21</t>
        </is>
      </c>
      <c r="D1086" s="12" t="n">
        <v>8.01</v>
      </c>
      <c r="E1086" s="12" t="n">
        <v>10</v>
      </c>
      <c r="F1086" s="12">
        <f>ROUND(D1086-E1086,2)</f>
        <v/>
      </c>
      <c r="G1086" s="15">
        <f>IFERROR(ROUND(F1086/E1086,4),"")</f>
        <v/>
      </c>
      <c r="H1086" s="16">
        <f>IF(D1086=0,"NO DATA",IF(D1086&gt;E1086*1.5,"OVER",IF(D1086&gt;E1086*1.1,"HIGH",IF(D1086&lt;E1086*0.5,"LOW","OK"))))</f>
        <v/>
      </c>
    </row>
    <row r="1087" ht="22" customHeight="1">
      <c r="B1087" s="5" t="inlineStr">
        <is>
          <t>MTR-DOM-006</t>
        </is>
      </c>
      <c r="C1087" s="5" t="inlineStr">
        <is>
          <t>2024-12-22</t>
        </is>
      </c>
      <c r="D1087" s="11" t="n">
        <v>5.25</v>
      </c>
      <c r="E1087" s="11" t="n">
        <v>10</v>
      </c>
      <c r="F1087" s="11">
        <f>ROUND(D1087-E1087,2)</f>
        <v/>
      </c>
      <c r="G1087" s="13">
        <f>IFERROR(ROUND(F1087/E1087,4),"")</f>
        <v/>
      </c>
      <c r="H1087" s="14">
        <f>IF(D1087=0,"NO DATA",IF(D1087&gt;E1087*1.5,"OVER",IF(D1087&gt;E1087*1.1,"HIGH",IF(D1087&lt;E1087*0.5,"LOW","OK"))))</f>
        <v/>
      </c>
    </row>
    <row r="1088" ht="22" customHeight="1">
      <c r="B1088" s="8" t="inlineStr">
        <is>
          <t>MTR-DOM-006</t>
        </is>
      </c>
      <c r="C1088" s="8" t="inlineStr">
        <is>
          <t>2024-12-23</t>
        </is>
      </c>
      <c r="D1088" s="12" t="n">
        <v>10.62</v>
      </c>
      <c r="E1088" s="12" t="n">
        <v>10</v>
      </c>
      <c r="F1088" s="12">
        <f>ROUND(D1088-E1088,2)</f>
        <v/>
      </c>
      <c r="G1088" s="15">
        <f>IFERROR(ROUND(F1088/E1088,4),"")</f>
        <v/>
      </c>
      <c r="H1088" s="16">
        <f>IF(D1088=0,"NO DATA",IF(D1088&gt;E1088*1.5,"OVER",IF(D1088&gt;E1088*1.1,"HIGH",IF(D1088&lt;E1088*0.5,"LOW","OK"))))</f>
        <v/>
      </c>
    </row>
    <row r="1089" ht="22" customHeight="1">
      <c r="B1089" s="5" t="inlineStr">
        <is>
          <t>MTR-DOM-006</t>
        </is>
      </c>
      <c r="C1089" s="5" t="inlineStr">
        <is>
          <t>2024-12-24</t>
        </is>
      </c>
      <c r="D1089" s="11" t="n">
        <v>10.12</v>
      </c>
      <c r="E1089" s="11" t="n">
        <v>10</v>
      </c>
      <c r="F1089" s="11">
        <f>ROUND(D1089-E1089,2)</f>
        <v/>
      </c>
      <c r="G1089" s="13">
        <f>IFERROR(ROUND(F1089/E1089,4),"")</f>
        <v/>
      </c>
      <c r="H1089" s="14">
        <f>IF(D1089=0,"NO DATA",IF(D1089&gt;E1089*1.5,"OVER",IF(D1089&gt;E1089*1.1,"HIGH",IF(D1089&lt;E1089*0.5,"LOW","OK"))))</f>
        <v/>
      </c>
    </row>
    <row r="1090" ht="22" customHeight="1">
      <c r="B1090" s="8" t="inlineStr">
        <is>
          <t>MTR-DOM-006</t>
        </is>
      </c>
      <c r="C1090" s="8" t="inlineStr">
        <is>
          <t>2024-12-25</t>
        </is>
      </c>
      <c r="D1090" s="12" t="n">
        <v>9.74</v>
      </c>
      <c r="E1090" s="12" t="n">
        <v>10</v>
      </c>
      <c r="F1090" s="12">
        <f>ROUND(D1090-E1090,2)</f>
        <v/>
      </c>
      <c r="G1090" s="15">
        <f>IFERROR(ROUND(F1090/E1090,4),"")</f>
        <v/>
      </c>
      <c r="H1090" s="16">
        <f>IF(D1090=0,"NO DATA",IF(D1090&gt;E1090*1.5,"OVER",IF(D1090&gt;E1090*1.1,"HIGH",IF(D1090&lt;E1090*0.5,"LOW","OK"))))</f>
        <v/>
      </c>
    </row>
    <row r="1091" ht="22" customHeight="1">
      <c r="B1091" s="5" t="inlineStr">
        <is>
          <t>MTR-DOM-006</t>
        </is>
      </c>
      <c r="C1091" s="5" t="inlineStr">
        <is>
          <t>2024-12-26</t>
        </is>
      </c>
      <c r="D1091" s="11" t="n">
        <v>10.46</v>
      </c>
      <c r="E1091" s="11" t="n">
        <v>10</v>
      </c>
      <c r="F1091" s="11">
        <f>ROUND(D1091-E1091,2)</f>
        <v/>
      </c>
      <c r="G1091" s="13">
        <f>IFERROR(ROUND(F1091/E1091,4),"")</f>
        <v/>
      </c>
      <c r="H1091" s="14">
        <f>IF(D1091=0,"NO DATA",IF(D1091&gt;E1091*1.5,"OVER",IF(D1091&gt;E1091*1.1,"HIGH",IF(D1091&lt;E1091*0.5,"LOW","OK"))))</f>
        <v/>
      </c>
    </row>
    <row r="1092" ht="22" customHeight="1">
      <c r="B1092" s="8" t="inlineStr">
        <is>
          <t>MTR-DOM-006</t>
        </is>
      </c>
      <c r="C1092" s="8" t="inlineStr">
        <is>
          <t>2024-12-27</t>
        </is>
      </c>
      <c r="D1092" s="12" t="n">
        <v>10.46</v>
      </c>
      <c r="E1092" s="12" t="n">
        <v>10</v>
      </c>
      <c r="F1092" s="12">
        <f>ROUND(D1092-E1092,2)</f>
        <v/>
      </c>
      <c r="G1092" s="15">
        <f>IFERROR(ROUND(F1092/E1092,4),"")</f>
        <v/>
      </c>
      <c r="H1092" s="16">
        <f>IF(D1092=0,"NO DATA",IF(D1092&gt;E1092*1.5,"OVER",IF(D1092&gt;E1092*1.1,"HIGH",IF(D1092&lt;E1092*0.5,"LOW","OK"))))</f>
        <v/>
      </c>
    </row>
    <row r="1093" ht="22" customHeight="1">
      <c r="B1093" s="5" t="inlineStr">
        <is>
          <t>MTR-DOM-006</t>
        </is>
      </c>
      <c r="C1093" s="5" t="inlineStr">
        <is>
          <t>2024-12-28</t>
        </is>
      </c>
      <c r="D1093" s="11" t="n">
        <v>6.94</v>
      </c>
      <c r="E1093" s="11" t="n">
        <v>10</v>
      </c>
      <c r="F1093" s="11">
        <f>ROUND(D1093-E1093,2)</f>
        <v/>
      </c>
      <c r="G1093" s="13">
        <f>IFERROR(ROUND(F1093/E1093,4),"")</f>
        <v/>
      </c>
      <c r="H1093" s="14">
        <f>IF(D1093=0,"NO DATA",IF(D1093&gt;E1093*1.5,"OVER",IF(D1093&gt;E1093*1.1,"HIGH",IF(D1093&lt;E1093*0.5,"LOW","OK"))))</f>
        <v/>
      </c>
    </row>
    <row r="1094" ht="22" customHeight="1">
      <c r="B1094" s="8" t="inlineStr">
        <is>
          <t>MTR-DOM-006</t>
        </is>
      </c>
      <c r="C1094" s="8" t="inlineStr">
        <is>
          <t>2024-12-29</t>
        </is>
      </c>
      <c r="D1094" s="12" t="n">
        <v>4.41</v>
      </c>
      <c r="E1094" s="12" t="n">
        <v>10</v>
      </c>
      <c r="F1094" s="12">
        <f>ROUND(D1094-E1094,2)</f>
        <v/>
      </c>
      <c r="G1094" s="15">
        <f>IFERROR(ROUND(F1094/E1094,4),"")</f>
        <v/>
      </c>
      <c r="H1094" s="16">
        <f>IF(D1094=0,"NO DATA",IF(D1094&gt;E1094*1.5,"OVER",IF(D1094&gt;E1094*1.1,"HIGH",IF(D1094&lt;E1094*0.5,"LOW","OK"))))</f>
        <v/>
      </c>
    </row>
    <row r="1095" ht="22" customHeight="1">
      <c r="B1095" s="5" t="inlineStr">
        <is>
          <t>MTR-DOM-006</t>
        </is>
      </c>
      <c r="C1095" s="5" t="inlineStr">
        <is>
          <t>2024-12-30</t>
        </is>
      </c>
      <c r="D1095" s="11" t="n">
        <v>10.7</v>
      </c>
      <c r="E1095" s="11" t="n">
        <v>10</v>
      </c>
      <c r="F1095" s="11">
        <f>ROUND(D1095-E1095,2)</f>
        <v/>
      </c>
      <c r="G1095" s="13">
        <f>IFERROR(ROUND(F1095/E1095,4),"")</f>
        <v/>
      </c>
      <c r="H1095" s="14">
        <f>IF(D1095=0,"NO DATA",IF(D1095&gt;E1095*1.5,"OVER",IF(D1095&gt;E1095*1.1,"HIGH",IF(D1095&lt;E1095*0.5,"LOW","OK"))))</f>
        <v/>
      </c>
    </row>
    <row r="1096" ht="22" customHeight="1">
      <c r="B1096" s="8" t="inlineStr">
        <is>
          <t>MTR-DOM-006</t>
        </is>
      </c>
      <c r="C1096" s="8" t="inlineStr">
        <is>
          <t>2024-12-31</t>
        </is>
      </c>
      <c r="D1096" s="12" t="n">
        <v>9.58</v>
      </c>
      <c r="E1096" s="12" t="n">
        <v>10</v>
      </c>
      <c r="F1096" s="12">
        <f>ROUND(D1096-E1096,2)</f>
        <v/>
      </c>
      <c r="G1096" s="15">
        <f>IFERROR(ROUND(F1096/E1096,4),"")</f>
        <v/>
      </c>
      <c r="H1096" s="16">
        <f>IF(D1096=0,"NO DATA",IF(D1096&gt;E1096*1.5,"OVER",IF(D1096&gt;E1096*1.1,"HIGH",IF(D1096&lt;E1096*0.5,"LOW","OK"))))</f>
        <v/>
      </c>
    </row>
    <row r="1097" ht="22" customHeight="1">
      <c r="B1097" s="5" t="inlineStr">
        <is>
          <t>MTR-DYE-001</t>
        </is>
      </c>
      <c r="C1097" s="5" t="inlineStr">
        <is>
          <t>2024-01-02</t>
        </is>
      </c>
      <c r="D1097" s="11" t="n">
        <v>40.58</v>
      </c>
      <c r="E1097" s="11" t="n">
        <v>50</v>
      </c>
      <c r="F1097" s="11">
        <f>ROUND(D1097-E1097,2)</f>
        <v/>
      </c>
      <c r="G1097" s="13">
        <f>IFERROR(ROUND(F1097/E1097,4),"")</f>
        <v/>
      </c>
      <c r="H1097" s="14">
        <f>IF(D1097=0,"NO DATA",IF(D1097&gt;E1097*1.5,"OVER",IF(D1097&gt;E1097*1.1,"HIGH",IF(D1097&lt;E1097*0.5,"LOW","OK"))))</f>
        <v/>
      </c>
    </row>
    <row r="1098" ht="22" customHeight="1">
      <c r="B1098" s="8" t="inlineStr">
        <is>
          <t>MTR-DYE-001</t>
        </is>
      </c>
      <c r="C1098" s="8" t="inlineStr">
        <is>
          <t>2024-01-03</t>
        </is>
      </c>
      <c r="D1098" s="12" t="n">
        <v>51.64</v>
      </c>
      <c r="E1098" s="12" t="n">
        <v>50</v>
      </c>
      <c r="F1098" s="12">
        <f>ROUND(D1098-E1098,2)</f>
        <v/>
      </c>
      <c r="G1098" s="15">
        <f>IFERROR(ROUND(F1098/E1098,4),"")</f>
        <v/>
      </c>
      <c r="H1098" s="16">
        <f>IF(D1098=0,"NO DATA",IF(D1098&gt;E1098*1.5,"OVER",IF(D1098&gt;E1098*1.1,"HIGH",IF(D1098&lt;E1098*0.5,"LOW","OK"))))</f>
        <v/>
      </c>
    </row>
    <row r="1099" ht="22" customHeight="1">
      <c r="B1099" s="5" t="inlineStr">
        <is>
          <t>MTR-DYE-001</t>
        </is>
      </c>
      <c r="C1099" s="5" t="inlineStr">
        <is>
          <t>2024-01-04</t>
        </is>
      </c>
      <c r="D1099" s="11" t="n">
        <v>41.53</v>
      </c>
      <c r="E1099" s="11" t="n">
        <v>50</v>
      </c>
      <c r="F1099" s="11">
        <f>ROUND(D1099-E1099,2)</f>
        <v/>
      </c>
      <c r="G1099" s="13">
        <f>IFERROR(ROUND(F1099/E1099,4),"")</f>
        <v/>
      </c>
      <c r="H1099" s="14">
        <f>IF(D1099=0,"NO DATA",IF(D1099&gt;E1099*1.5,"OVER",IF(D1099&gt;E1099*1.1,"HIGH",IF(D1099&lt;E1099*0.5,"LOW","OK"))))</f>
        <v/>
      </c>
    </row>
    <row r="1100" ht="22" customHeight="1">
      <c r="B1100" s="8" t="inlineStr">
        <is>
          <t>MTR-DYE-001</t>
        </is>
      </c>
      <c r="C1100" s="8" t="inlineStr">
        <is>
          <t>2024-01-05</t>
        </is>
      </c>
      <c r="D1100" s="12" t="n">
        <v>52.71</v>
      </c>
      <c r="E1100" s="12" t="n">
        <v>50</v>
      </c>
      <c r="F1100" s="12">
        <f>ROUND(D1100-E1100,2)</f>
        <v/>
      </c>
      <c r="G1100" s="15">
        <f>IFERROR(ROUND(F1100/E1100,4),"")</f>
        <v/>
      </c>
      <c r="H1100" s="16">
        <f>IF(D1100=0,"NO DATA",IF(D1100&gt;E1100*1.5,"OVER",IF(D1100&gt;E1100*1.1,"HIGH",IF(D1100&lt;E1100*0.5,"LOW","OK"))))</f>
        <v/>
      </c>
    </row>
    <row r="1101" ht="22" customHeight="1">
      <c r="B1101" s="5" t="inlineStr">
        <is>
          <t>MTR-DYE-001</t>
        </is>
      </c>
      <c r="C1101" s="5" t="inlineStr">
        <is>
          <t>2024-01-06</t>
        </is>
      </c>
      <c r="D1101" s="11" t="n">
        <v>35.7</v>
      </c>
      <c r="E1101" s="11" t="n">
        <v>50</v>
      </c>
      <c r="F1101" s="11">
        <f>ROUND(D1101-E1101,2)</f>
        <v/>
      </c>
      <c r="G1101" s="13">
        <f>IFERROR(ROUND(F1101/E1101,4),"")</f>
        <v/>
      </c>
      <c r="H1101" s="14">
        <f>IF(D1101=0,"NO DATA",IF(D1101&gt;E1101*1.5,"OVER",IF(D1101&gt;E1101*1.1,"HIGH",IF(D1101&lt;E1101*0.5,"LOW","OK"))))</f>
        <v/>
      </c>
    </row>
    <row r="1102" ht="22" customHeight="1">
      <c r="B1102" s="8" t="inlineStr">
        <is>
          <t>MTR-DYE-001</t>
        </is>
      </c>
      <c r="C1102" s="8" t="inlineStr">
        <is>
          <t>2024-01-07</t>
        </is>
      </c>
      <c r="D1102" s="12" t="n">
        <v>22.31</v>
      </c>
      <c r="E1102" s="12" t="n">
        <v>50</v>
      </c>
      <c r="F1102" s="12">
        <f>ROUND(D1102-E1102,2)</f>
        <v/>
      </c>
      <c r="G1102" s="15">
        <f>IFERROR(ROUND(F1102/E1102,4),"")</f>
        <v/>
      </c>
      <c r="H1102" s="16">
        <f>IF(D1102=0,"NO DATA",IF(D1102&gt;E1102*1.5,"OVER",IF(D1102&gt;E1102*1.1,"HIGH",IF(D1102&lt;E1102*0.5,"LOW","OK"))))</f>
        <v/>
      </c>
    </row>
    <row r="1103" ht="22" customHeight="1">
      <c r="B1103" s="5" t="inlineStr">
        <is>
          <t>MTR-DYE-001</t>
        </is>
      </c>
      <c r="C1103" s="5" t="inlineStr">
        <is>
          <t>2024-01-08</t>
        </is>
      </c>
      <c r="D1103" s="11" t="n">
        <v>51.57</v>
      </c>
      <c r="E1103" s="11" t="n">
        <v>50</v>
      </c>
      <c r="F1103" s="11">
        <f>ROUND(D1103-E1103,2)</f>
        <v/>
      </c>
      <c r="G1103" s="13">
        <f>IFERROR(ROUND(F1103/E1103,4),"")</f>
        <v/>
      </c>
      <c r="H1103" s="14">
        <f>IF(D1103=0,"NO DATA",IF(D1103&gt;E1103*1.5,"OVER",IF(D1103&gt;E1103*1.1,"HIGH",IF(D1103&lt;E1103*0.5,"LOW","OK"))))</f>
        <v/>
      </c>
    </row>
    <row r="1104" ht="22" customHeight="1">
      <c r="B1104" s="8" t="inlineStr">
        <is>
          <t>MTR-DYE-001</t>
        </is>
      </c>
      <c r="C1104" s="8" t="inlineStr">
        <is>
          <t>2024-01-09</t>
        </is>
      </c>
      <c r="D1104" s="12" t="n">
        <v>46.67</v>
      </c>
      <c r="E1104" s="12" t="n">
        <v>50</v>
      </c>
      <c r="F1104" s="12">
        <f>ROUND(D1104-E1104,2)</f>
        <v/>
      </c>
      <c r="G1104" s="15">
        <f>IFERROR(ROUND(F1104/E1104,4),"")</f>
        <v/>
      </c>
      <c r="H1104" s="16">
        <f>IF(D1104=0,"NO DATA",IF(D1104&gt;E1104*1.5,"OVER",IF(D1104&gt;E1104*1.1,"HIGH",IF(D1104&lt;E1104*0.5,"LOW","OK"))))</f>
        <v/>
      </c>
    </row>
    <row r="1105" ht="22" customHeight="1">
      <c r="B1105" s="5" t="inlineStr">
        <is>
          <t>MTR-DYE-001</t>
        </is>
      </c>
      <c r="C1105" s="5" t="inlineStr">
        <is>
          <t>2024-01-10</t>
        </is>
      </c>
      <c r="D1105" s="11" t="n">
        <v>47.39</v>
      </c>
      <c r="E1105" s="11" t="n">
        <v>50</v>
      </c>
      <c r="F1105" s="11">
        <f>ROUND(D1105-E1105,2)</f>
        <v/>
      </c>
      <c r="G1105" s="13">
        <f>IFERROR(ROUND(F1105/E1105,4),"")</f>
        <v/>
      </c>
      <c r="H1105" s="14">
        <f>IF(D1105=0,"NO DATA",IF(D1105&gt;E1105*1.5,"OVER",IF(D1105&gt;E1105*1.1,"HIGH",IF(D1105&lt;E1105*0.5,"LOW","OK"))))</f>
        <v/>
      </c>
    </row>
    <row r="1106" ht="22" customHeight="1">
      <c r="B1106" s="8" t="inlineStr">
        <is>
          <t>MTR-DYE-001</t>
        </is>
      </c>
      <c r="C1106" s="8" t="inlineStr">
        <is>
          <t>2024-01-11</t>
        </is>
      </c>
      <c r="D1106" s="12" t="n">
        <v>47.66</v>
      </c>
      <c r="E1106" s="12" t="n">
        <v>50</v>
      </c>
      <c r="F1106" s="12">
        <f>ROUND(D1106-E1106,2)</f>
        <v/>
      </c>
      <c r="G1106" s="15">
        <f>IFERROR(ROUND(F1106/E1106,4),"")</f>
        <v/>
      </c>
      <c r="H1106" s="16">
        <f>IF(D1106=0,"NO DATA",IF(D1106&gt;E1106*1.5,"OVER",IF(D1106&gt;E1106*1.1,"HIGH",IF(D1106&lt;E1106*0.5,"LOW","OK"))))</f>
        <v/>
      </c>
    </row>
    <row r="1107" ht="22" customHeight="1">
      <c r="B1107" s="5" t="inlineStr">
        <is>
          <t>MTR-DYE-001</t>
        </is>
      </c>
      <c r="C1107" s="5" t="inlineStr">
        <is>
          <t>2024-01-12</t>
        </is>
      </c>
      <c r="D1107" s="11" t="n">
        <v>46.33</v>
      </c>
      <c r="E1107" s="11" t="n">
        <v>50</v>
      </c>
      <c r="F1107" s="11">
        <f>ROUND(D1107-E1107,2)</f>
        <v/>
      </c>
      <c r="G1107" s="13">
        <f>IFERROR(ROUND(F1107/E1107,4),"")</f>
        <v/>
      </c>
      <c r="H1107" s="14">
        <f>IF(D1107=0,"NO DATA",IF(D1107&gt;E1107*1.5,"OVER",IF(D1107&gt;E1107*1.1,"HIGH",IF(D1107&lt;E1107*0.5,"LOW","OK"))))</f>
        <v/>
      </c>
    </row>
    <row r="1108" ht="22" customHeight="1">
      <c r="B1108" s="8" t="inlineStr">
        <is>
          <t>MTR-DYE-001</t>
        </is>
      </c>
      <c r="C1108" s="8" t="inlineStr">
        <is>
          <t>2024-01-13</t>
        </is>
      </c>
      <c r="D1108" s="12" t="n">
        <v>42.17</v>
      </c>
      <c r="E1108" s="12" t="n">
        <v>50</v>
      </c>
      <c r="F1108" s="12">
        <f>ROUND(D1108-E1108,2)</f>
        <v/>
      </c>
      <c r="G1108" s="15">
        <f>IFERROR(ROUND(F1108/E1108,4),"")</f>
        <v/>
      </c>
      <c r="H1108" s="16">
        <f>IF(D1108=0,"NO DATA",IF(D1108&gt;E1108*1.5,"OVER",IF(D1108&gt;E1108*1.1,"HIGH",IF(D1108&lt;E1108*0.5,"LOW","OK"))))</f>
        <v/>
      </c>
    </row>
    <row r="1109" ht="22" customHeight="1">
      <c r="B1109" s="5" t="inlineStr">
        <is>
          <t>MTR-DYE-001</t>
        </is>
      </c>
      <c r="C1109" s="5" t="inlineStr">
        <is>
          <t>2024-01-14</t>
        </is>
      </c>
      <c r="D1109" s="11" t="n">
        <v>21.87</v>
      </c>
      <c r="E1109" s="11" t="n">
        <v>50</v>
      </c>
      <c r="F1109" s="11">
        <f>ROUND(D1109-E1109,2)</f>
        <v/>
      </c>
      <c r="G1109" s="13">
        <f>IFERROR(ROUND(F1109/E1109,4),"")</f>
        <v/>
      </c>
      <c r="H1109" s="14">
        <f>IF(D1109=0,"NO DATA",IF(D1109&gt;E1109*1.5,"OVER",IF(D1109&gt;E1109*1.1,"HIGH",IF(D1109&lt;E1109*0.5,"LOW","OK"))))</f>
        <v/>
      </c>
    </row>
    <row r="1110" ht="22" customHeight="1">
      <c r="B1110" s="8" t="inlineStr">
        <is>
          <t>MTR-DYE-001</t>
        </is>
      </c>
      <c r="C1110" s="8" t="inlineStr">
        <is>
          <t>2024-01-15</t>
        </is>
      </c>
      <c r="D1110" s="12" t="n">
        <v>51.02</v>
      </c>
      <c r="E1110" s="12" t="n">
        <v>50</v>
      </c>
      <c r="F1110" s="12">
        <f>ROUND(D1110-E1110,2)</f>
        <v/>
      </c>
      <c r="G1110" s="15">
        <f>IFERROR(ROUND(F1110/E1110,4),"")</f>
        <v/>
      </c>
      <c r="H1110" s="16">
        <f>IF(D1110=0,"NO DATA",IF(D1110&gt;E1110*1.5,"OVER",IF(D1110&gt;E1110*1.1,"HIGH",IF(D1110&lt;E1110*0.5,"LOW","OK"))))</f>
        <v/>
      </c>
    </row>
    <row r="1111" ht="22" customHeight="1">
      <c r="B1111" s="5" t="inlineStr">
        <is>
          <t>MTR-DYE-001</t>
        </is>
      </c>
      <c r="C1111" s="5" t="inlineStr">
        <is>
          <t>2024-01-16</t>
        </is>
      </c>
      <c r="D1111" s="11" t="n">
        <v>43.01</v>
      </c>
      <c r="E1111" s="11" t="n">
        <v>50</v>
      </c>
      <c r="F1111" s="11">
        <f>ROUND(D1111-E1111,2)</f>
        <v/>
      </c>
      <c r="G1111" s="13">
        <f>IFERROR(ROUND(F1111/E1111,4),"")</f>
        <v/>
      </c>
      <c r="H1111" s="14">
        <f>IF(D1111=0,"NO DATA",IF(D1111&gt;E1111*1.5,"OVER",IF(D1111&gt;E1111*1.1,"HIGH",IF(D1111&lt;E1111*0.5,"LOW","OK"))))</f>
        <v/>
      </c>
    </row>
    <row r="1112" ht="22" customHeight="1">
      <c r="B1112" s="8" t="inlineStr">
        <is>
          <t>MTR-DYE-001</t>
        </is>
      </c>
      <c r="C1112" s="8" t="inlineStr">
        <is>
          <t>2024-01-17</t>
        </is>
      </c>
      <c r="D1112" s="12" t="n">
        <v>48.5</v>
      </c>
      <c r="E1112" s="12" t="n">
        <v>50</v>
      </c>
      <c r="F1112" s="12">
        <f>ROUND(D1112-E1112,2)</f>
        <v/>
      </c>
      <c r="G1112" s="15">
        <f>IFERROR(ROUND(F1112/E1112,4),"")</f>
        <v/>
      </c>
      <c r="H1112" s="16">
        <f>IF(D1112=0,"NO DATA",IF(D1112&gt;E1112*1.5,"OVER",IF(D1112&gt;E1112*1.1,"HIGH",IF(D1112&lt;E1112*0.5,"LOW","OK"))))</f>
        <v/>
      </c>
    </row>
    <row r="1113" ht="22" customHeight="1">
      <c r="B1113" s="5" t="inlineStr">
        <is>
          <t>MTR-DYE-001</t>
        </is>
      </c>
      <c r="C1113" s="5" t="inlineStr">
        <is>
          <t>2024-01-18</t>
        </is>
      </c>
      <c r="D1113" s="11" t="n">
        <v>44.11</v>
      </c>
      <c r="E1113" s="11" t="n">
        <v>50</v>
      </c>
      <c r="F1113" s="11">
        <f>ROUND(D1113-E1113,2)</f>
        <v/>
      </c>
      <c r="G1113" s="13">
        <f>IFERROR(ROUND(F1113/E1113,4),"")</f>
        <v/>
      </c>
      <c r="H1113" s="14">
        <f>IF(D1113=0,"NO DATA",IF(D1113&gt;E1113*1.5,"OVER",IF(D1113&gt;E1113*1.1,"HIGH",IF(D1113&lt;E1113*0.5,"LOW","OK"))))</f>
        <v/>
      </c>
    </row>
    <row r="1114" ht="22" customHeight="1">
      <c r="B1114" s="8" t="inlineStr">
        <is>
          <t>MTR-DYE-001</t>
        </is>
      </c>
      <c r="C1114" s="8" t="inlineStr">
        <is>
          <t>2024-01-19</t>
        </is>
      </c>
      <c r="D1114" s="12" t="n">
        <v>49.5</v>
      </c>
      <c r="E1114" s="12" t="n">
        <v>50</v>
      </c>
      <c r="F1114" s="12">
        <f>ROUND(D1114-E1114,2)</f>
        <v/>
      </c>
      <c r="G1114" s="15">
        <f>IFERROR(ROUND(F1114/E1114,4),"")</f>
        <v/>
      </c>
      <c r="H1114" s="16">
        <f>IF(D1114=0,"NO DATA",IF(D1114&gt;E1114*1.5,"OVER",IF(D1114&gt;E1114*1.1,"HIGH",IF(D1114&lt;E1114*0.5,"LOW","OK"))))</f>
        <v/>
      </c>
    </row>
    <row r="1115" ht="22" customHeight="1">
      <c r="B1115" s="5" t="inlineStr">
        <is>
          <t>MTR-DYE-001</t>
        </is>
      </c>
      <c r="C1115" s="5" t="inlineStr">
        <is>
          <t>2024-01-20</t>
        </is>
      </c>
      <c r="D1115" s="11" t="n">
        <v>35.37</v>
      </c>
      <c r="E1115" s="11" t="n">
        <v>50</v>
      </c>
      <c r="F1115" s="11">
        <f>ROUND(D1115-E1115,2)</f>
        <v/>
      </c>
      <c r="G1115" s="13">
        <f>IFERROR(ROUND(F1115/E1115,4),"")</f>
        <v/>
      </c>
      <c r="H1115" s="14">
        <f>IF(D1115=0,"NO DATA",IF(D1115&gt;E1115*1.5,"OVER",IF(D1115&gt;E1115*1.1,"HIGH",IF(D1115&lt;E1115*0.5,"LOW","OK"))))</f>
        <v/>
      </c>
    </row>
    <row r="1116" ht="22" customHeight="1">
      <c r="B1116" s="8" t="inlineStr">
        <is>
          <t>MTR-DYE-001</t>
        </is>
      </c>
      <c r="C1116" s="8" t="inlineStr">
        <is>
          <t>2024-01-21</t>
        </is>
      </c>
      <c r="D1116" s="12" t="n">
        <v>28.46</v>
      </c>
      <c r="E1116" s="12" t="n">
        <v>50</v>
      </c>
      <c r="F1116" s="12">
        <f>ROUND(D1116-E1116,2)</f>
        <v/>
      </c>
      <c r="G1116" s="15">
        <f>IFERROR(ROUND(F1116/E1116,4),"")</f>
        <v/>
      </c>
      <c r="H1116" s="16">
        <f>IF(D1116=0,"NO DATA",IF(D1116&gt;E1116*1.5,"OVER",IF(D1116&gt;E1116*1.1,"HIGH",IF(D1116&lt;E1116*0.5,"LOW","OK"))))</f>
        <v/>
      </c>
    </row>
    <row r="1117" ht="22" customHeight="1">
      <c r="B1117" s="5" t="inlineStr">
        <is>
          <t>MTR-DYE-001</t>
        </is>
      </c>
      <c r="C1117" s="5" t="inlineStr">
        <is>
          <t>2024-01-22</t>
        </is>
      </c>
      <c r="D1117" s="11" t="n">
        <v>43.92</v>
      </c>
      <c r="E1117" s="11" t="n">
        <v>50</v>
      </c>
      <c r="F1117" s="11">
        <f>ROUND(D1117-E1117,2)</f>
        <v/>
      </c>
      <c r="G1117" s="13">
        <f>IFERROR(ROUND(F1117/E1117,4),"")</f>
        <v/>
      </c>
      <c r="H1117" s="14">
        <f>IF(D1117=0,"NO DATA",IF(D1117&gt;E1117*1.5,"OVER",IF(D1117&gt;E1117*1.1,"HIGH",IF(D1117&lt;E1117*0.5,"LOW","OK"))))</f>
        <v/>
      </c>
    </row>
    <row r="1118" ht="22" customHeight="1">
      <c r="B1118" s="8" t="inlineStr">
        <is>
          <t>MTR-DYE-001</t>
        </is>
      </c>
      <c r="C1118" s="8" t="inlineStr">
        <is>
          <t>2024-01-23</t>
        </is>
      </c>
      <c r="D1118" s="12" t="n">
        <v>48.37</v>
      </c>
      <c r="E1118" s="12" t="n">
        <v>50</v>
      </c>
      <c r="F1118" s="12">
        <f>ROUND(D1118-E1118,2)</f>
        <v/>
      </c>
      <c r="G1118" s="15">
        <f>IFERROR(ROUND(F1118/E1118,4),"")</f>
        <v/>
      </c>
      <c r="H1118" s="16">
        <f>IF(D1118=0,"NO DATA",IF(D1118&gt;E1118*1.5,"OVER",IF(D1118&gt;E1118*1.1,"HIGH",IF(D1118&lt;E1118*0.5,"LOW","OK"))))</f>
        <v/>
      </c>
    </row>
    <row r="1119" ht="22" customHeight="1">
      <c r="B1119" s="5" t="inlineStr">
        <is>
          <t>MTR-DYE-001</t>
        </is>
      </c>
      <c r="C1119" s="5" t="inlineStr">
        <is>
          <t>2024-01-24</t>
        </is>
      </c>
      <c r="D1119" s="11" t="n">
        <v>41.13</v>
      </c>
      <c r="E1119" s="11" t="n">
        <v>50</v>
      </c>
      <c r="F1119" s="11">
        <f>ROUND(D1119-E1119,2)</f>
        <v/>
      </c>
      <c r="G1119" s="13">
        <f>IFERROR(ROUND(F1119/E1119,4),"")</f>
        <v/>
      </c>
      <c r="H1119" s="14">
        <f>IF(D1119=0,"NO DATA",IF(D1119&gt;E1119*1.5,"OVER",IF(D1119&gt;E1119*1.1,"HIGH",IF(D1119&lt;E1119*0.5,"LOW","OK"))))</f>
        <v/>
      </c>
    </row>
    <row r="1120" ht="22" customHeight="1">
      <c r="B1120" s="8" t="inlineStr">
        <is>
          <t>MTR-DYE-001</t>
        </is>
      </c>
      <c r="C1120" s="8" t="inlineStr">
        <is>
          <t>2024-01-25</t>
        </is>
      </c>
      <c r="D1120" s="12" t="n">
        <v>48.17</v>
      </c>
      <c r="E1120" s="12" t="n">
        <v>50</v>
      </c>
      <c r="F1120" s="12">
        <f>ROUND(D1120-E1120,2)</f>
        <v/>
      </c>
      <c r="G1120" s="15">
        <f>IFERROR(ROUND(F1120/E1120,4),"")</f>
        <v/>
      </c>
      <c r="H1120" s="16">
        <f>IF(D1120=0,"NO DATA",IF(D1120&gt;E1120*1.5,"OVER",IF(D1120&gt;E1120*1.1,"HIGH",IF(D1120&lt;E1120*0.5,"LOW","OK"))))</f>
        <v/>
      </c>
    </row>
    <row r="1121" ht="22" customHeight="1">
      <c r="B1121" s="5" t="inlineStr">
        <is>
          <t>MTR-DYE-001</t>
        </is>
      </c>
      <c r="C1121" s="5" t="inlineStr">
        <is>
          <t>2024-01-26</t>
        </is>
      </c>
      <c r="D1121" s="11" t="n">
        <v>53.33</v>
      </c>
      <c r="E1121" s="11" t="n">
        <v>50</v>
      </c>
      <c r="F1121" s="11">
        <f>ROUND(D1121-E1121,2)</f>
        <v/>
      </c>
      <c r="G1121" s="13">
        <f>IFERROR(ROUND(F1121/E1121,4),"")</f>
        <v/>
      </c>
      <c r="H1121" s="14">
        <f>IF(D1121=0,"NO DATA",IF(D1121&gt;E1121*1.5,"OVER",IF(D1121&gt;E1121*1.1,"HIGH",IF(D1121&lt;E1121*0.5,"LOW","OK"))))</f>
        <v/>
      </c>
    </row>
    <row r="1122" ht="22" customHeight="1">
      <c r="B1122" s="8" t="inlineStr">
        <is>
          <t>MTR-DYE-001</t>
        </is>
      </c>
      <c r="C1122" s="8" t="inlineStr">
        <is>
          <t>2024-01-27</t>
        </is>
      </c>
      <c r="D1122" s="12" t="n">
        <v>42.6</v>
      </c>
      <c r="E1122" s="12" t="n">
        <v>50</v>
      </c>
      <c r="F1122" s="12">
        <f>ROUND(D1122-E1122,2)</f>
        <v/>
      </c>
      <c r="G1122" s="15">
        <f>IFERROR(ROUND(F1122/E1122,4),"")</f>
        <v/>
      </c>
      <c r="H1122" s="16">
        <f>IF(D1122=0,"NO DATA",IF(D1122&gt;E1122*1.5,"OVER",IF(D1122&gt;E1122*1.1,"HIGH",IF(D1122&lt;E1122*0.5,"LOW","OK"))))</f>
        <v/>
      </c>
    </row>
    <row r="1123" ht="22" customHeight="1">
      <c r="B1123" s="5" t="inlineStr">
        <is>
          <t>MTR-DYE-001</t>
        </is>
      </c>
      <c r="C1123" s="5" t="inlineStr">
        <is>
          <t>2024-01-28</t>
        </is>
      </c>
      <c r="D1123" s="11" t="n">
        <v>27.96</v>
      </c>
      <c r="E1123" s="11" t="n">
        <v>50</v>
      </c>
      <c r="F1123" s="11">
        <f>ROUND(D1123-E1123,2)</f>
        <v/>
      </c>
      <c r="G1123" s="13">
        <f>IFERROR(ROUND(F1123/E1123,4),"")</f>
        <v/>
      </c>
      <c r="H1123" s="14">
        <f>IF(D1123=0,"NO DATA",IF(D1123&gt;E1123*1.5,"OVER",IF(D1123&gt;E1123*1.1,"HIGH",IF(D1123&lt;E1123*0.5,"LOW","OK"))))</f>
        <v/>
      </c>
    </row>
    <row r="1124" ht="22" customHeight="1">
      <c r="B1124" s="8" t="inlineStr">
        <is>
          <t>MTR-DYE-001</t>
        </is>
      </c>
      <c r="C1124" s="8" t="inlineStr">
        <is>
          <t>2024-01-29</t>
        </is>
      </c>
      <c r="D1124" s="12" t="n">
        <v>43.05</v>
      </c>
      <c r="E1124" s="12" t="n">
        <v>50</v>
      </c>
      <c r="F1124" s="12">
        <f>ROUND(D1124-E1124,2)</f>
        <v/>
      </c>
      <c r="G1124" s="15">
        <f>IFERROR(ROUND(F1124/E1124,4),"")</f>
        <v/>
      </c>
      <c r="H1124" s="16">
        <f>IF(D1124=0,"NO DATA",IF(D1124&gt;E1124*1.5,"OVER",IF(D1124&gt;E1124*1.1,"HIGH",IF(D1124&lt;E1124*0.5,"LOW","OK"))))</f>
        <v/>
      </c>
    </row>
    <row r="1125" ht="22" customHeight="1">
      <c r="B1125" s="5" t="inlineStr">
        <is>
          <t>MTR-DYE-001</t>
        </is>
      </c>
      <c r="C1125" s="5" t="inlineStr">
        <is>
          <t>2024-01-30</t>
        </is>
      </c>
      <c r="D1125" s="11" t="n">
        <v>49.19</v>
      </c>
      <c r="E1125" s="11" t="n">
        <v>50</v>
      </c>
      <c r="F1125" s="11">
        <f>ROUND(D1125-E1125,2)</f>
        <v/>
      </c>
      <c r="G1125" s="13">
        <f>IFERROR(ROUND(F1125/E1125,4),"")</f>
        <v/>
      </c>
      <c r="H1125" s="14">
        <f>IF(D1125=0,"NO DATA",IF(D1125&gt;E1125*1.5,"OVER",IF(D1125&gt;E1125*1.1,"HIGH",IF(D1125&lt;E1125*0.5,"LOW","OK"))))</f>
        <v/>
      </c>
    </row>
    <row r="1126" ht="22" customHeight="1">
      <c r="B1126" s="8" t="inlineStr">
        <is>
          <t>MTR-DYE-001</t>
        </is>
      </c>
      <c r="C1126" s="8" t="inlineStr">
        <is>
          <t>2024-01-31</t>
        </is>
      </c>
      <c r="D1126" s="12" t="n">
        <v>40.67</v>
      </c>
      <c r="E1126" s="12" t="n">
        <v>50</v>
      </c>
      <c r="F1126" s="12">
        <f>ROUND(D1126-E1126,2)</f>
        <v/>
      </c>
      <c r="G1126" s="15">
        <f>IFERROR(ROUND(F1126/E1126,4),"")</f>
        <v/>
      </c>
      <c r="H1126" s="16">
        <f>IF(D1126=0,"NO DATA",IF(D1126&gt;E1126*1.5,"OVER",IF(D1126&gt;E1126*1.1,"HIGH",IF(D1126&lt;E1126*0.5,"LOW","OK"))))</f>
        <v/>
      </c>
    </row>
    <row r="1127" ht="22" customHeight="1">
      <c r="B1127" s="5" t="inlineStr">
        <is>
          <t>MTR-DYE-001</t>
        </is>
      </c>
      <c r="C1127" s="5" t="inlineStr">
        <is>
          <t>2024-02-01</t>
        </is>
      </c>
      <c r="D1127" s="11" t="n">
        <v>42.87</v>
      </c>
      <c r="E1127" s="11" t="n">
        <v>50</v>
      </c>
      <c r="F1127" s="11">
        <f>ROUND(D1127-E1127,2)</f>
        <v/>
      </c>
      <c r="G1127" s="13">
        <f>IFERROR(ROUND(F1127/E1127,4),"")</f>
        <v/>
      </c>
      <c r="H1127" s="14">
        <f>IF(D1127=0,"NO DATA",IF(D1127&gt;E1127*1.5,"OVER",IF(D1127&gt;E1127*1.1,"HIGH",IF(D1127&lt;E1127*0.5,"LOW","OK"))))</f>
        <v/>
      </c>
    </row>
    <row r="1128" ht="22" customHeight="1">
      <c r="B1128" s="8" t="inlineStr">
        <is>
          <t>MTR-DYE-001</t>
        </is>
      </c>
      <c r="C1128" s="8" t="inlineStr">
        <is>
          <t>2024-02-02</t>
        </is>
      </c>
      <c r="D1128" s="12" t="n">
        <v>43.99</v>
      </c>
      <c r="E1128" s="12" t="n">
        <v>50</v>
      </c>
      <c r="F1128" s="12">
        <f>ROUND(D1128-E1128,2)</f>
        <v/>
      </c>
      <c r="G1128" s="15">
        <f>IFERROR(ROUND(F1128/E1128,4),"")</f>
        <v/>
      </c>
      <c r="H1128" s="16">
        <f>IF(D1128=0,"NO DATA",IF(D1128&gt;E1128*1.5,"OVER",IF(D1128&gt;E1128*1.1,"HIGH",IF(D1128&lt;E1128*0.5,"LOW","OK"))))</f>
        <v/>
      </c>
    </row>
    <row r="1129" ht="22" customHeight="1">
      <c r="B1129" s="5" t="inlineStr">
        <is>
          <t>MTR-DYE-001</t>
        </is>
      </c>
      <c r="C1129" s="5" t="inlineStr">
        <is>
          <t>2024-02-03</t>
        </is>
      </c>
      <c r="D1129" s="11" t="n">
        <v>43.64</v>
      </c>
      <c r="E1129" s="11" t="n">
        <v>50</v>
      </c>
      <c r="F1129" s="11">
        <f>ROUND(D1129-E1129,2)</f>
        <v/>
      </c>
      <c r="G1129" s="13">
        <f>IFERROR(ROUND(F1129/E1129,4),"")</f>
        <v/>
      </c>
      <c r="H1129" s="14">
        <f>IF(D1129=0,"NO DATA",IF(D1129&gt;E1129*1.5,"OVER",IF(D1129&gt;E1129*1.1,"HIGH",IF(D1129&lt;E1129*0.5,"LOW","OK"))))</f>
        <v/>
      </c>
    </row>
    <row r="1130" ht="22" customHeight="1">
      <c r="B1130" s="8" t="inlineStr">
        <is>
          <t>MTR-DYE-001</t>
        </is>
      </c>
      <c r="C1130" s="8" t="inlineStr">
        <is>
          <t>2024-02-04</t>
        </is>
      </c>
      <c r="D1130" s="12" t="n">
        <v>29.06</v>
      </c>
      <c r="E1130" s="12" t="n">
        <v>50</v>
      </c>
      <c r="F1130" s="12">
        <f>ROUND(D1130-E1130,2)</f>
        <v/>
      </c>
      <c r="G1130" s="15">
        <f>IFERROR(ROUND(F1130/E1130,4),"")</f>
        <v/>
      </c>
      <c r="H1130" s="16">
        <f>IF(D1130=0,"NO DATA",IF(D1130&gt;E1130*1.5,"OVER",IF(D1130&gt;E1130*1.1,"HIGH",IF(D1130&lt;E1130*0.5,"LOW","OK"))))</f>
        <v/>
      </c>
    </row>
    <row r="1131" ht="22" customHeight="1">
      <c r="B1131" s="5" t="inlineStr">
        <is>
          <t>MTR-DYE-001</t>
        </is>
      </c>
      <c r="C1131" s="5" t="inlineStr">
        <is>
          <t>2024-02-05</t>
        </is>
      </c>
      <c r="D1131" s="11" t="n">
        <v>41.93</v>
      </c>
      <c r="E1131" s="11" t="n">
        <v>50</v>
      </c>
      <c r="F1131" s="11">
        <f>ROUND(D1131-E1131,2)</f>
        <v/>
      </c>
      <c r="G1131" s="13">
        <f>IFERROR(ROUND(F1131/E1131,4),"")</f>
        <v/>
      </c>
      <c r="H1131" s="14">
        <f>IF(D1131=0,"NO DATA",IF(D1131&gt;E1131*1.5,"OVER",IF(D1131&gt;E1131*1.1,"HIGH",IF(D1131&lt;E1131*0.5,"LOW","OK"))))</f>
        <v/>
      </c>
    </row>
    <row r="1132" ht="22" customHeight="1">
      <c r="B1132" s="8" t="inlineStr">
        <is>
          <t>MTR-DYE-001</t>
        </is>
      </c>
      <c r="C1132" s="8" t="inlineStr">
        <is>
          <t>2024-02-06</t>
        </is>
      </c>
      <c r="D1132" s="12" t="n">
        <v>51.72</v>
      </c>
      <c r="E1132" s="12" t="n">
        <v>50</v>
      </c>
      <c r="F1132" s="12">
        <f>ROUND(D1132-E1132,2)</f>
        <v/>
      </c>
      <c r="G1132" s="15">
        <f>IFERROR(ROUND(F1132/E1132,4),"")</f>
        <v/>
      </c>
      <c r="H1132" s="16">
        <f>IF(D1132=0,"NO DATA",IF(D1132&gt;E1132*1.5,"OVER",IF(D1132&gt;E1132*1.1,"HIGH",IF(D1132&lt;E1132*0.5,"LOW","OK"))))</f>
        <v/>
      </c>
    </row>
    <row r="1133" ht="22" customHeight="1">
      <c r="B1133" s="5" t="inlineStr">
        <is>
          <t>MTR-DYE-001</t>
        </is>
      </c>
      <c r="C1133" s="5" t="inlineStr">
        <is>
          <t>2024-02-07</t>
        </is>
      </c>
      <c r="D1133" s="11" t="n">
        <v>50.47</v>
      </c>
      <c r="E1133" s="11" t="n">
        <v>50</v>
      </c>
      <c r="F1133" s="11">
        <f>ROUND(D1133-E1133,2)</f>
        <v/>
      </c>
      <c r="G1133" s="13">
        <f>IFERROR(ROUND(F1133/E1133,4),"")</f>
        <v/>
      </c>
      <c r="H1133" s="14">
        <f>IF(D1133=0,"NO DATA",IF(D1133&gt;E1133*1.5,"OVER",IF(D1133&gt;E1133*1.1,"HIGH",IF(D1133&lt;E1133*0.5,"LOW","OK"))))</f>
        <v/>
      </c>
    </row>
    <row r="1134" ht="22" customHeight="1">
      <c r="B1134" s="8" t="inlineStr">
        <is>
          <t>MTR-DYE-001</t>
        </is>
      </c>
      <c r="C1134" s="8" t="inlineStr">
        <is>
          <t>2024-02-08</t>
        </is>
      </c>
      <c r="D1134" s="12" t="n">
        <v>44.17</v>
      </c>
      <c r="E1134" s="12" t="n">
        <v>50</v>
      </c>
      <c r="F1134" s="12">
        <f>ROUND(D1134-E1134,2)</f>
        <v/>
      </c>
      <c r="G1134" s="15">
        <f>IFERROR(ROUND(F1134/E1134,4),"")</f>
        <v/>
      </c>
      <c r="H1134" s="16">
        <f>IF(D1134=0,"NO DATA",IF(D1134&gt;E1134*1.5,"OVER",IF(D1134&gt;E1134*1.1,"HIGH",IF(D1134&lt;E1134*0.5,"LOW","OK"))))</f>
        <v/>
      </c>
    </row>
    <row r="1135" ht="22" customHeight="1">
      <c r="B1135" s="5" t="inlineStr">
        <is>
          <t>MTR-DYE-001</t>
        </is>
      </c>
      <c r="C1135" s="5" t="inlineStr">
        <is>
          <t>2024-02-09</t>
        </is>
      </c>
      <c r="D1135" s="11" t="n">
        <v>47.64</v>
      </c>
      <c r="E1135" s="11" t="n">
        <v>50</v>
      </c>
      <c r="F1135" s="11">
        <f>ROUND(D1135-E1135,2)</f>
        <v/>
      </c>
      <c r="G1135" s="13">
        <f>IFERROR(ROUND(F1135/E1135,4),"")</f>
        <v/>
      </c>
      <c r="H1135" s="14">
        <f>IF(D1135=0,"NO DATA",IF(D1135&gt;E1135*1.5,"OVER",IF(D1135&gt;E1135*1.1,"HIGH",IF(D1135&lt;E1135*0.5,"LOW","OK"))))</f>
        <v/>
      </c>
    </row>
    <row r="1136" ht="22" customHeight="1">
      <c r="B1136" s="8" t="inlineStr">
        <is>
          <t>MTR-DYE-001</t>
        </is>
      </c>
      <c r="C1136" s="8" t="inlineStr">
        <is>
          <t>2024-02-10</t>
        </is>
      </c>
      <c r="D1136" s="12" t="n">
        <v>36.84</v>
      </c>
      <c r="E1136" s="12" t="n">
        <v>50</v>
      </c>
      <c r="F1136" s="12">
        <f>ROUND(D1136-E1136,2)</f>
        <v/>
      </c>
      <c r="G1136" s="15">
        <f>IFERROR(ROUND(F1136/E1136,4),"")</f>
        <v/>
      </c>
      <c r="H1136" s="16">
        <f>IF(D1136=0,"NO DATA",IF(D1136&gt;E1136*1.5,"OVER",IF(D1136&gt;E1136*1.1,"HIGH",IF(D1136&lt;E1136*0.5,"LOW","OK"))))</f>
        <v/>
      </c>
    </row>
    <row r="1137" ht="22" customHeight="1">
      <c r="B1137" s="5" t="inlineStr">
        <is>
          <t>MTR-DYE-001</t>
        </is>
      </c>
      <c r="C1137" s="5" t="inlineStr">
        <is>
          <t>2024-02-11</t>
        </is>
      </c>
      <c r="D1137" s="11" t="n">
        <v>29.19</v>
      </c>
      <c r="E1137" s="11" t="n">
        <v>50</v>
      </c>
      <c r="F1137" s="11">
        <f>ROUND(D1137-E1137,2)</f>
        <v/>
      </c>
      <c r="G1137" s="13">
        <f>IFERROR(ROUND(F1137/E1137,4),"")</f>
        <v/>
      </c>
      <c r="H1137" s="14">
        <f>IF(D1137=0,"NO DATA",IF(D1137&gt;E1137*1.5,"OVER",IF(D1137&gt;E1137*1.1,"HIGH",IF(D1137&lt;E1137*0.5,"LOW","OK"))))</f>
        <v/>
      </c>
    </row>
    <row r="1138" ht="22" customHeight="1">
      <c r="B1138" s="8" t="inlineStr">
        <is>
          <t>MTR-DYE-001</t>
        </is>
      </c>
      <c r="C1138" s="8" t="inlineStr">
        <is>
          <t>2024-02-12</t>
        </is>
      </c>
      <c r="D1138" s="12" t="n">
        <v>50.95</v>
      </c>
      <c r="E1138" s="12" t="n">
        <v>50</v>
      </c>
      <c r="F1138" s="12">
        <f>ROUND(D1138-E1138,2)</f>
        <v/>
      </c>
      <c r="G1138" s="15">
        <f>IFERROR(ROUND(F1138/E1138,4),"")</f>
        <v/>
      </c>
      <c r="H1138" s="16">
        <f>IF(D1138=0,"NO DATA",IF(D1138&gt;E1138*1.5,"OVER",IF(D1138&gt;E1138*1.1,"HIGH",IF(D1138&lt;E1138*0.5,"LOW","OK"))))</f>
        <v/>
      </c>
    </row>
    <row r="1139" ht="22" customHeight="1">
      <c r="B1139" s="5" t="inlineStr">
        <is>
          <t>MTR-DYE-001</t>
        </is>
      </c>
      <c r="C1139" s="5" t="inlineStr">
        <is>
          <t>2024-02-13</t>
        </is>
      </c>
      <c r="D1139" s="11" t="n">
        <v>48.03</v>
      </c>
      <c r="E1139" s="11" t="n">
        <v>50</v>
      </c>
      <c r="F1139" s="11">
        <f>ROUND(D1139-E1139,2)</f>
        <v/>
      </c>
      <c r="G1139" s="13">
        <f>IFERROR(ROUND(F1139/E1139,4),"")</f>
        <v/>
      </c>
      <c r="H1139" s="14">
        <f>IF(D1139=0,"NO DATA",IF(D1139&gt;E1139*1.5,"OVER",IF(D1139&gt;E1139*1.1,"HIGH",IF(D1139&lt;E1139*0.5,"LOW","OK"))))</f>
        <v/>
      </c>
    </row>
    <row r="1140" ht="22" customHeight="1">
      <c r="B1140" s="8" t="inlineStr">
        <is>
          <t>MTR-DYE-001</t>
        </is>
      </c>
      <c r="C1140" s="8" t="inlineStr">
        <is>
          <t>2024-02-14</t>
        </is>
      </c>
      <c r="D1140" s="12" t="n">
        <v>47.88</v>
      </c>
      <c r="E1140" s="12" t="n">
        <v>50</v>
      </c>
      <c r="F1140" s="12">
        <f>ROUND(D1140-E1140,2)</f>
        <v/>
      </c>
      <c r="G1140" s="15">
        <f>IFERROR(ROUND(F1140/E1140,4),"")</f>
        <v/>
      </c>
      <c r="H1140" s="16">
        <f>IF(D1140=0,"NO DATA",IF(D1140&gt;E1140*1.5,"OVER",IF(D1140&gt;E1140*1.1,"HIGH",IF(D1140&lt;E1140*0.5,"LOW","OK"))))</f>
        <v/>
      </c>
    </row>
    <row r="1141" ht="22" customHeight="1">
      <c r="B1141" s="5" t="inlineStr">
        <is>
          <t>MTR-DYE-001</t>
        </is>
      </c>
      <c r="C1141" s="5" t="inlineStr">
        <is>
          <t>2024-02-15</t>
        </is>
      </c>
      <c r="D1141" s="11" t="n">
        <v>45.38</v>
      </c>
      <c r="E1141" s="11" t="n">
        <v>50</v>
      </c>
      <c r="F1141" s="11">
        <f>ROUND(D1141-E1141,2)</f>
        <v/>
      </c>
      <c r="G1141" s="13">
        <f>IFERROR(ROUND(F1141/E1141,4),"")</f>
        <v/>
      </c>
      <c r="H1141" s="14">
        <f>IF(D1141=0,"NO DATA",IF(D1141&gt;E1141*1.5,"OVER",IF(D1141&gt;E1141*1.1,"HIGH",IF(D1141&lt;E1141*0.5,"LOW","OK"))))</f>
        <v/>
      </c>
    </row>
    <row r="1142" ht="22" customHeight="1">
      <c r="B1142" s="8" t="inlineStr">
        <is>
          <t>MTR-DYE-001</t>
        </is>
      </c>
      <c r="C1142" s="8" t="inlineStr">
        <is>
          <t>2024-02-16</t>
        </is>
      </c>
      <c r="D1142" s="12" t="n">
        <v>51.68</v>
      </c>
      <c r="E1142" s="12" t="n">
        <v>50</v>
      </c>
      <c r="F1142" s="12">
        <f>ROUND(D1142-E1142,2)</f>
        <v/>
      </c>
      <c r="G1142" s="15">
        <f>IFERROR(ROUND(F1142/E1142,4),"")</f>
        <v/>
      </c>
      <c r="H1142" s="16">
        <f>IF(D1142=0,"NO DATA",IF(D1142&gt;E1142*1.5,"OVER",IF(D1142&gt;E1142*1.1,"HIGH",IF(D1142&lt;E1142*0.5,"LOW","OK"))))</f>
        <v/>
      </c>
    </row>
    <row r="1143" ht="22" customHeight="1">
      <c r="B1143" s="5" t="inlineStr">
        <is>
          <t>MTR-DYE-001</t>
        </is>
      </c>
      <c r="C1143" s="5" t="inlineStr">
        <is>
          <t>2024-02-17</t>
        </is>
      </c>
      <c r="D1143" s="11" t="n">
        <v>43.61</v>
      </c>
      <c r="E1143" s="11" t="n">
        <v>50</v>
      </c>
      <c r="F1143" s="11">
        <f>ROUND(D1143-E1143,2)</f>
        <v/>
      </c>
      <c r="G1143" s="13">
        <f>IFERROR(ROUND(F1143/E1143,4),"")</f>
        <v/>
      </c>
      <c r="H1143" s="14">
        <f>IF(D1143=0,"NO DATA",IF(D1143&gt;E1143*1.5,"OVER",IF(D1143&gt;E1143*1.1,"HIGH",IF(D1143&lt;E1143*0.5,"LOW","OK"))))</f>
        <v/>
      </c>
    </row>
    <row r="1144" ht="22" customHeight="1">
      <c r="B1144" s="8" t="inlineStr">
        <is>
          <t>MTR-DYE-001</t>
        </is>
      </c>
      <c r="C1144" s="8" t="inlineStr">
        <is>
          <t>2024-02-18</t>
        </is>
      </c>
      <c r="D1144" s="12" t="n">
        <v>28.53</v>
      </c>
      <c r="E1144" s="12" t="n">
        <v>50</v>
      </c>
      <c r="F1144" s="12">
        <f>ROUND(D1144-E1144,2)</f>
        <v/>
      </c>
      <c r="G1144" s="15">
        <f>IFERROR(ROUND(F1144/E1144,4),"")</f>
        <v/>
      </c>
      <c r="H1144" s="16">
        <f>IF(D1144=0,"NO DATA",IF(D1144&gt;E1144*1.5,"OVER",IF(D1144&gt;E1144*1.1,"HIGH",IF(D1144&lt;E1144*0.5,"LOW","OK"))))</f>
        <v/>
      </c>
    </row>
    <row r="1145" ht="22" customHeight="1">
      <c r="B1145" s="5" t="inlineStr">
        <is>
          <t>MTR-DYE-001</t>
        </is>
      </c>
      <c r="C1145" s="5" t="inlineStr">
        <is>
          <t>2024-02-19</t>
        </is>
      </c>
      <c r="D1145" s="11" t="n">
        <v>54.79</v>
      </c>
      <c r="E1145" s="11" t="n">
        <v>50</v>
      </c>
      <c r="F1145" s="11">
        <f>ROUND(D1145-E1145,2)</f>
        <v/>
      </c>
      <c r="G1145" s="13">
        <f>IFERROR(ROUND(F1145/E1145,4),"")</f>
        <v/>
      </c>
      <c r="H1145" s="14">
        <f>IF(D1145=0,"NO DATA",IF(D1145&gt;E1145*1.5,"OVER",IF(D1145&gt;E1145*1.1,"HIGH",IF(D1145&lt;E1145*0.5,"LOW","OK"))))</f>
        <v/>
      </c>
    </row>
    <row r="1146" ht="22" customHeight="1">
      <c r="B1146" s="8" t="inlineStr">
        <is>
          <t>MTR-DYE-001</t>
        </is>
      </c>
      <c r="C1146" s="8" t="inlineStr">
        <is>
          <t>2024-02-20</t>
        </is>
      </c>
      <c r="D1146" s="12" t="n">
        <v>46.9</v>
      </c>
      <c r="E1146" s="12" t="n">
        <v>50</v>
      </c>
      <c r="F1146" s="12">
        <f>ROUND(D1146-E1146,2)</f>
        <v/>
      </c>
      <c r="G1146" s="15">
        <f>IFERROR(ROUND(F1146/E1146,4),"")</f>
        <v/>
      </c>
      <c r="H1146" s="16">
        <f>IF(D1146=0,"NO DATA",IF(D1146&gt;E1146*1.5,"OVER",IF(D1146&gt;E1146*1.1,"HIGH",IF(D1146&lt;E1146*0.5,"LOW","OK"))))</f>
        <v/>
      </c>
    </row>
    <row r="1147" ht="22" customHeight="1">
      <c r="B1147" s="5" t="inlineStr">
        <is>
          <t>MTR-DYE-001</t>
        </is>
      </c>
      <c r="C1147" s="5" t="inlineStr">
        <is>
          <t>2024-02-21</t>
        </is>
      </c>
      <c r="D1147" s="11" t="n">
        <v>49.24</v>
      </c>
      <c r="E1147" s="11" t="n">
        <v>50</v>
      </c>
      <c r="F1147" s="11">
        <f>ROUND(D1147-E1147,2)</f>
        <v/>
      </c>
      <c r="G1147" s="13">
        <f>IFERROR(ROUND(F1147/E1147,4),"")</f>
        <v/>
      </c>
      <c r="H1147" s="14">
        <f>IF(D1147=0,"NO DATA",IF(D1147&gt;E1147*1.5,"OVER",IF(D1147&gt;E1147*1.1,"HIGH",IF(D1147&lt;E1147*0.5,"LOW","OK"))))</f>
        <v/>
      </c>
    </row>
    <row r="1148" ht="22" customHeight="1">
      <c r="B1148" s="8" t="inlineStr">
        <is>
          <t>MTR-DYE-001</t>
        </is>
      </c>
      <c r="C1148" s="8" t="inlineStr">
        <is>
          <t>2024-02-22</t>
        </is>
      </c>
      <c r="D1148" s="12" t="n">
        <v>43.59</v>
      </c>
      <c r="E1148" s="12" t="n">
        <v>50</v>
      </c>
      <c r="F1148" s="12">
        <f>ROUND(D1148-E1148,2)</f>
        <v/>
      </c>
      <c r="G1148" s="15">
        <f>IFERROR(ROUND(F1148/E1148,4),"")</f>
        <v/>
      </c>
      <c r="H1148" s="16">
        <f>IF(D1148=0,"NO DATA",IF(D1148&gt;E1148*1.5,"OVER",IF(D1148&gt;E1148*1.1,"HIGH",IF(D1148&lt;E1148*0.5,"LOW","OK"))))</f>
        <v/>
      </c>
    </row>
    <row r="1149" ht="22" customHeight="1">
      <c r="B1149" s="5" t="inlineStr">
        <is>
          <t>MTR-DYE-001</t>
        </is>
      </c>
      <c r="C1149" s="5" t="inlineStr">
        <is>
          <t>2024-02-23</t>
        </is>
      </c>
      <c r="D1149" s="11" t="n">
        <v>51.86</v>
      </c>
      <c r="E1149" s="11" t="n">
        <v>50</v>
      </c>
      <c r="F1149" s="11">
        <f>ROUND(D1149-E1149,2)</f>
        <v/>
      </c>
      <c r="G1149" s="13">
        <f>IFERROR(ROUND(F1149/E1149,4),"")</f>
        <v/>
      </c>
      <c r="H1149" s="14">
        <f>IF(D1149=0,"NO DATA",IF(D1149&gt;E1149*1.5,"OVER",IF(D1149&gt;E1149*1.1,"HIGH",IF(D1149&lt;E1149*0.5,"LOW","OK"))))</f>
        <v/>
      </c>
    </row>
    <row r="1150" ht="22" customHeight="1">
      <c r="B1150" s="8" t="inlineStr">
        <is>
          <t>MTR-DYE-001</t>
        </is>
      </c>
      <c r="C1150" s="8" t="inlineStr">
        <is>
          <t>2024-02-24</t>
        </is>
      </c>
      <c r="D1150" s="12" t="n">
        <v>41.65</v>
      </c>
      <c r="E1150" s="12" t="n">
        <v>50</v>
      </c>
      <c r="F1150" s="12">
        <f>ROUND(D1150-E1150,2)</f>
        <v/>
      </c>
      <c r="G1150" s="15">
        <f>IFERROR(ROUND(F1150/E1150,4),"")</f>
        <v/>
      </c>
      <c r="H1150" s="16">
        <f>IF(D1150=0,"NO DATA",IF(D1150&gt;E1150*1.5,"OVER",IF(D1150&gt;E1150*1.1,"HIGH",IF(D1150&lt;E1150*0.5,"LOW","OK"))))</f>
        <v/>
      </c>
    </row>
    <row r="1151" ht="22" customHeight="1">
      <c r="B1151" s="5" t="inlineStr">
        <is>
          <t>MTR-DYE-001</t>
        </is>
      </c>
      <c r="C1151" s="5" t="inlineStr">
        <is>
          <t>2024-02-25</t>
        </is>
      </c>
      <c r="D1151" s="11" t="n">
        <v>25.74</v>
      </c>
      <c r="E1151" s="11" t="n">
        <v>50</v>
      </c>
      <c r="F1151" s="11">
        <f>ROUND(D1151-E1151,2)</f>
        <v/>
      </c>
      <c r="G1151" s="13">
        <f>IFERROR(ROUND(F1151/E1151,4),"")</f>
        <v/>
      </c>
      <c r="H1151" s="14">
        <f>IF(D1151=0,"NO DATA",IF(D1151&gt;E1151*1.5,"OVER",IF(D1151&gt;E1151*1.1,"HIGH",IF(D1151&lt;E1151*0.5,"LOW","OK"))))</f>
        <v/>
      </c>
    </row>
    <row r="1152" ht="22" customHeight="1">
      <c r="B1152" s="8" t="inlineStr">
        <is>
          <t>MTR-DYE-001</t>
        </is>
      </c>
      <c r="C1152" s="8" t="inlineStr">
        <is>
          <t>2024-02-26</t>
        </is>
      </c>
      <c r="D1152" s="12" t="n">
        <v>51.69</v>
      </c>
      <c r="E1152" s="12" t="n">
        <v>50</v>
      </c>
      <c r="F1152" s="12">
        <f>ROUND(D1152-E1152,2)</f>
        <v/>
      </c>
      <c r="G1152" s="15">
        <f>IFERROR(ROUND(F1152/E1152,4),"")</f>
        <v/>
      </c>
      <c r="H1152" s="16">
        <f>IF(D1152=0,"NO DATA",IF(D1152&gt;E1152*1.5,"OVER",IF(D1152&gt;E1152*1.1,"HIGH",IF(D1152&lt;E1152*0.5,"LOW","OK"))))</f>
        <v/>
      </c>
    </row>
    <row r="1153" ht="22" customHeight="1">
      <c r="B1153" s="5" t="inlineStr">
        <is>
          <t>MTR-DYE-001</t>
        </is>
      </c>
      <c r="C1153" s="5" t="inlineStr">
        <is>
          <t>2024-02-27</t>
        </is>
      </c>
      <c r="D1153" s="11" t="n">
        <v>50.02</v>
      </c>
      <c r="E1153" s="11" t="n">
        <v>50</v>
      </c>
      <c r="F1153" s="11">
        <f>ROUND(D1153-E1153,2)</f>
        <v/>
      </c>
      <c r="G1153" s="13">
        <f>IFERROR(ROUND(F1153/E1153,4),"")</f>
        <v/>
      </c>
      <c r="H1153" s="14">
        <f>IF(D1153=0,"NO DATA",IF(D1153&gt;E1153*1.5,"OVER",IF(D1153&gt;E1153*1.1,"HIGH",IF(D1153&lt;E1153*0.5,"LOW","OK"))))</f>
        <v/>
      </c>
    </row>
    <row r="1154" ht="22" customHeight="1">
      <c r="B1154" s="8" t="inlineStr">
        <is>
          <t>MTR-DYE-001</t>
        </is>
      </c>
      <c r="C1154" s="8" t="inlineStr">
        <is>
          <t>2024-02-28</t>
        </is>
      </c>
      <c r="D1154" s="12" t="n">
        <v>48.58</v>
      </c>
      <c r="E1154" s="12" t="n">
        <v>50</v>
      </c>
      <c r="F1154" s="12">
        <f>ROUND(D1154-E1154,2)</f>
        <v/>
      </c>
      <c r="G1154" s="15">
        <f>IFERROR(ROUND(F1154/E1154,4),"")</f>
        <v/>
      </c>
      <c r="H1154" s="16">
        <f>IF(D1154=0,"NO DATA",IF(D1154&gt;E1154*1.5,"OVER",IF(D1154&gt;E1154*1.1,"HIGH",IF(D1154&lt;E1154*0.5,"LOW","OK"))))</f>
        <v/>
      </c>
    </row>
    <row r="1155" ht="22" customHeight="1">
      <c r="B1155" s="5" t="inlineStr">
        <is>
          <t>MTR-DYE-001</t>
        </is>
      </c>
      <c r="C1155" s="5" t="inlineStr">
        <is>
          <t>2024-02-29</t>
        </is>
      </c>
      <c r="D1155" s="11" t="n">
        <v>55.21</v>
      </c>
      <c r="E1155" s="11" t="n">
        <v>50</v>
      </c>
      <c r="F1155" s="11">
        <f>ROUND(D1155-E1155,2)</f>
        <v/>
      </c>
      <c r="G1155" s="13">
        <f>IFERROR(ROUND(F1155/E1155,4),"")</f>
        <v/>
      </c>
      <c r="H1155" s="14">
        <f>IF(D1155=0,"NO DATA",IF(D1155&gt;E1155*1.5,"OVER",IF(D1155&gt;E1155*1.1,"HIGH",IF(D1155&lt;E1155*0.5,"LOW","OK"))))</f>
        <v/>
      </c>
    </row>
    <row r="1156" ht="22" customHeight="1">
      <c r="B1156" s="8" t="inlineStr">
        <is>
          <t>MTR-DYE-001</t>
        </is>
      </c>
      <c r="C1156" s="8" t="inlineStr">
        <is>
          <t>2024-03-01</t>
        </is>
      </c>
      <c r="D1156" s="12" t="n">
        <v>46.99</v>
      </c>
      <c r="E1156" s="12" t="n">
        <v>50</v>
      </c>
      <c r="F1156" s="12">
        <f>ROUND(D1156-E1156,2)</f>
        <v/>
      </c>
      <c r="G1156" s="15">
        <f>IFERROR(ROUND(F1156/E1156,4),"")</f>
        <v/>
      </c>
      <c r="H1156" s="16">
        <f>IF(D1156=0,"NO DATA",IF(D1156&gt;E1156*1.5,"OVER",IF(D1156&gt;E1156*1.1,"HIGH",IF(D1156&lt;E1156*0.5,"LOW","OK"))))</f>
        <v/>
      </c>
    </row>
    <row r="1157" ht="22" customHeight="1">
      <c r="B1157" s="5" t="inlineStr">
        <is>
          <t>MTR-DYE-001</t>
        </is>
      </c>
      <c r="C1157" s="5" t="inlineStr">
        <is>
          <t>2024-03-02</t>
        </is>
      </c>
      <c r="D1157" s="11" t="n">
        <v>43.01</v>
      </c>
      <c r="E1157" s="11" t="n">
        <v>50</v>
      </c>
      <c r="F1157" s="11">
        <f>ROUND(D1157-E1157,2)</f>
        <v/>
      </c>
      <c r="G1157" s="13">
        <f>IFERROR(ROUND(F1157/E1157,4),"")</f>
        <v/>
      </c>
      <c r="H1157" s="14">
        <f>IF(D1157=0,"NO DATA",IF(D1157&gt;E1157*1.5,"OVER",IF(D1157&gt;E1157*1.1,"HIGH",IF(D1157&lt;E1157*0.5,"LOW","OK"))))</f>
        <v/>
      </c>
    </row>
    <row r="1158" ht="22" customHeight="1">
      <c r="B1158" s="8" t="inlineStr">
        <is>
          <t>MTR-DYE-001</t>
        </is>
      </c>
      <c r="C1158" s="8" t="inlineStr">
        <is>
          <t>2024-03-03</t>
        </is>
      </c>
      <c r="D1158" s="12" t="n">
        <v>28.11</v>
      </c>
      <c r="E1158" s="12" t="n">
        <v>50</v>
      </c>
      <c r="F1158" s="12">
        <f>ROUND(D1158-E1158,2)</f>
        <v/>
      </c>
      <c r="G1158" s="15">
        <f>IFERROR(ROUND(F1158/E1158,4),"")</f>
        <v/>
      </c>
      <c r="H1158" s="16">
        <f>IF(D1158=0,"NO DATA",IF(D1158&gt;E1158*1.5,"OVER",IF(D1158&gt;E1158*1.1,"HIGH",IF(D1158&lt;E1158*0.5,"LOW","OK"))))</f>
        <v/>
      </c>
    </row>
    <row r="1159" ht="22" customHeight="1">
      <c r="B1159" s="5" t="inlineStr">
        <is>
          <t>MTR-DYE-001</t>
        </is>
      </c>
      <c r="C1159" s="5" t="inlineStr">
        <is>
          <t>2024-03-04</t>
        </is>
      </c>
      <c r="D1159" s="11" t="n">
        <v>50.6</v>
      </c>
      <c r="E1159" s="11" t="n">
        <v>50</v>
      </c>
      <c r="F1159" s="11">
        <f>ROUND(D1159-E1159,2)</f>
        <v/>
      </c>
      <c r="G1159" s="13">
        <f>IFERROR(ROUND(F1159/E1159,4),"")</f>
        <v/>
      </c>
      <c r="H1159" s="14">
        <f>IF(D1159=0,"NO DATA",IF(D1159&gt;E1159*1.5,"OVER",IF(D1159&gt;E1159*1.1,"HIGH",IF(D1159&lt;E1159*0.5,"LOW","OK"))))</f>
        <v/>
      </c>
    </row>
    <row r="1160" ht="22" customHeight="1">
      <c r="B1160" s="8" t="inlineStr">
        <is>
          <t>MTR-DYE-001</t>
        </is>
      </c>
      <c r="C1160" s="8" t="inlineStr">
        <is>
          <t>2024-03-05</t>
        </is>
      </c>
      <c r="D1160" s="12" t="n">
        <v>51.2</v>
      </c>
      <c r="E1160" s="12" t="n">
        <v>50</v>
      </c>
      <c r="F1160" s="12">
        <f>ROUND(D1160-E1160,2)</f>
        <v/>
      </c>
      <c r="G1160" s="15">
        <f>IFERROR(ROUND(F1160/E1160,4),"")</f>
        <v/>
      </c>
      <c r="H1160" s="16">
        <f>IF(D1160=0,"NO DATA",IF(D1160&gt;E1160*1.5,"OVER",IF(D1160&gt;E1160*1.1,"HIGH",IF(D1160&lt;E1160*0.5,"LOW","OK"))))</f>
        <v/>
      </c>
    </row>
    <row r="1161" ht="22" customHeight="1">
      <c r="B1161" s="5" t="inlineStr">
        <is>
          <t>MTR-DYE-001</t>
        </is>
      </c>
      <c r="C1161" s="5" t="inlineStr">
        <is>
          <t>2024-03-06</t>
        </is>
      </c>
      <c r="D1161" s="11" t="n">
        <v>51.24</v>
      </c>
      <c r="E1161" s="11" t="n">
        <v>50</v>
      </c>
      <c r="F1161" s="11">
        <f>ROUND(D1161-E1161,2)</f>
        <v/>
      </c>
      <c r="G1161" s="13">
        <f>IFERROR(ROUND(F1161/E1161,4),"")</f>
        <v/>
      </c>
      <c r="H1161" s="14">
        <f>IF(D1161=0,"NO DATA",IF(D1161&gt;E1161*1.5,"OVER",IF(D1161&gt;E1161*1.1,"HIGH",IF(D1161&lt;E1161*0.5,"LOW","OK"))))</f>
        <v/>
      </c>
    </row>
    <row r="1162" ht="22" customHeight="1">
      <c r="B1162" s="8" t="inlineStr">
        <is>
          <t>MTR-DYE-001</t>
        </is>
      </c>
      <c r="C1162" s="8" t="inlineStr">
        <is>
          <t>2024-03-07</t>
        </is>
      </c>
      <c r="D1162" s="12" t="n">
        <v>45.96</v>
      </c>
      <c r="E1162" s="12" t="n">
        <v>50</v>
      </c>
      <c r="F1162" s="12">
        <f>ROUND(D1162-E1162,2)</f>
        <v/>
      </c>
      <c r="G1162" s="15">
        <f>IFERROR(ROUND(F1162/E1162,4),"")</f>
        <v/>
      </c>
      <c r="H1162" s="16">
        <f>IF(D1162=0,"NO DATA",IF(D1162&gt;E1162*1.5,"OVER",IF(D1162&gt;E1162*1.1,"HIGH",IF(D1162&lt;E1162*0.5,"LOW","OK"))))</f>
        <v/>
      </c>
    </row>
    <row r="1163" ht="22" customHeight="1">
      <c r="B1163" s="5" t="inlineStr">
        <is>
          <t>MTR-DYE-001</t>
        </is>
      </c>
      <c r="C1163" s="5" t="inlineStr">
        <is>
          <t>2024-03-08</t>
        </is>
      </c>
      <c r="D1163" s="11" t="n">
        <v>44.06</v>
      </c>
      <c r="E1163" s="11" t="n">
        <v>50</v>
      </c>
      <c r="F1163" s="11">
        <f>ROUND(D1163-E1163,2)</f>
        <v/>
      </c>
      <c r="G1163" s="13">
        <f>IFERROR(ROUND(F1163/E1163,4),"")</f>
        <v/>
      </c>
      <c r="H1163" s="14">
        <f>IF(D1163=0,"NO DATA",IF(D1163&gt;E1163*1.5,"OVER",IF(D1163&gt;E1163*1.1,"HIGH",IF(D1163&lt;E1163*0.5,"LOW","OK"))))</f>
        <v/>
      </c>
    </row>
    <row r="1164" ht="22" customHeight="1">
      <c r="B1164" s="8" t="inlineStr">
        <is>
          <t>MTR-DYE-001</t>
        </is>
      </c>
      <c r="C1164" s="8" t="inlineStr">
        <is>
          <t>2024-03-09</t>
        </is>
      </c>
      <c r="D1164" s="12" t="n">
        <v>41.69</v>
      </c>
      <c r="E1164" s="12" t="n">
        <v>50</v>
      </c>
      <c r="F1164" s="12">
        <f>ROUND(D1164-E1164,2)</f>
        <v/>
      </c>
      <c r="G1164" s="15">
        <f>IFERROR(ROUND(F1164/E1164,4),"")</f>
        <v/>
      </c>
      <c r="H1164" s="16">
        <f>IF(D1164=0,"NO DATA",IF(D1164&gt;E1164*1.5,"OVER",IF(D1164&gt;E1164*1.1,"HIGH",IF(D1164&lt;E1164*0.5,"LOW","OK"))))</f>
        <v/>
      </c>
    </row>
    <row r="1165" ht="22" customHeight="1">
      <c r="B1165" s="5" t="inlineStr">
        <is>
          <t>MTR-DYE-001</t>
        </is>
      </c>
      <c r="C1165" s="5" t="inlineStr">
        <is>
          <t>2024-03-10</t>
        </is>
      </c>
      <c r="D1165" s="11" t="n">
        <v>26.94</v>
      </c>
      <c r="E1165" s="11" t="n">
        <v>50</v>
      </c>
      <c r="F1165" s="11">
        <f>ROUND(D1165-E1165,2)</f>
        <v/>
      </c>
      <c r="G1165" s="13">
        <f>IFERROR(ROUND(F1165/E1165,4),"")</f>
        <v/>
      </c>
      <c r="H1165" s="14">
        <f>IF(D1165=0,"NO DATA",IF(D1165&gt;E1165*1.5,"OVER",IF(D1165&gt;E1165*1.1,"HIGH",IF(D1165&lt;E1165*0.5,"LOW","OK"))))</f>
        <v/>
      </c>
    </row>
    <row r="1166" ht="22" customHeight="1">
      <c r="B1166" s="8" t="inlineStr">
        <is>
          <t>MTR-DYE-001</t>
        </is>
      </c>
      <c r="C1166" s="8" t="inlineStr">
        <is>
          <t>2024-03-11</t>
        </is>
      </c>
      <c r="D1166" s="12" t="n">
        <v>53.83</v>
      </c>
      <c r="E1166" s="12" t="n">
        <v>50</v>
      </c>
      <c r="F1166" s="12">
        <f>ROUND(D1166-E1166,2)</f>
        <v/>
      </c>
      <c r="G1166" s="15">
        <f>IFERROR(ROUND(F1166/E1166,4),"")</f>
        <v/>
      </c>
      <c r="H1166" s="16">
        <f>IF(D1166=0,"NO DATA",IF(D1166&gt;E1166*1.5,"OVER",IF(D1166&gt;E1166*1.1,"HIGH",IF(D1166&lt;E1166*0.5,"LOW","OK"))))</f>
        <v/>
      </c>
    </row>
    <row r="1167" ht="22" customHeight="1">
      <c r="B1167" s="5" t="inlineStr">
        <is>
          <t>MTR-DYE-001</t>
        </is>
      </c>
      <c r="C1167" s="5" t="inlineStr">
        <is>
          <t>2024-03-12</t>
        </is>
      </c>
      <c r="D1167" s="11" t="n">
        <v>43.78</v>
      </c>
      <c r="E1167" s="11" t="n">
        <v>50</v>
      </c>
      <c r="F1167" s="11">
        <f>ROUND(D1167-E1167,2)</f>
        <v/>
      </c>
      <c r="G1167" s="13">
        <f>IFERROR(ROUND(F1167/E1167,4),"")</f>
        <v/>
      </c>
      <c r="H1167" s="14">
        <f>IF(D1167=0,"NO DATA",IF(D1167&gt;E1167*1.5,"OVER",IF(D1167&gt;E1167*1.1,"HIGH",IF(D1167&lt;E1167*0.5,"LOW","OK"))))</f>
        <v/>
      </c>
    </row>
    <row r="1168" ht="22" customHeight="1">
      <c r="B1168" s="8" t="inlineStr">
        <is>
          <t>MTR-DYE-001</t>
        </is>
      </c>
      <c r="C1168" s="8" t="inlineStr">
        <is>
          <t>2024-03-13</t>
        </is>
      </c>
      <c r="D1168" s="12" t="n">
        <v>57.59</v>
      </c>
      <c r="E1168" s="12" t="n">
        <v>50</v>
      </c>
      <c r="F1168" s="12">
        <f>ROUND(D1168-E1168,2)</f>
        <v/>
      </c>
      <c r="G1168" s="15">
        <f>IFERROR(ROUND(F1168/E1168,4),"")</f>
        <v/>
      </c>
      <c r="H1168" s="16">
        <f>IF(D1168=0,"NO DATA",IF(D1168&gt;E1168*1.5,"OVER",IF(D1168&gt;E1168*1.1,"HIGH",IF(D1168&lt;E1168*0.5,"LOW","OK"))))</f>
        <v/>
      </c>
    </row>
    <row r="1169" ht="22" customHeight="1">
      <c r="B1169" s="5" t="inlineStr">
        <is>
          <t>MTR-DYE-001</t>
        </is>
      </c>
      <c r="C1169" s="5" t="inlineStr">
        <is>
          <t>2024-03-14</t>
        </is>
      </c>
      <c r="D1169" s="11" t="n">
        <v>49.12</v>
      </c>
      <c r="E1169" s="11" t="n">
        <v>50</v>
      </c>
      <c r="F1169" s="11">
        <f>ROUND(D1169-E1169,2)</f>
        <v/>
      </c>
      <c r="G1169" s="13">
        <f>IFERROR(ROUND(F1169/E1169,4),"")</f>
        <v/>
      </c>
      <c r="H1169" s="14">
        <f>IF(D1169=0,"NO DATA",IF(D1169&gt;E1169*1.5,"OVER",IF(D1169&gt;E1169*1.1,"HIGH",IF(D1169&lt;E1169*0.5,"LOW","OK"))))</f>
        <v/>
      </c>
    </row>
    <row r="1170" ht="22" customHeight="1">
      <c r="B1170" s="8" t="inlineStr">
        <is>
          <t>MTR-DYE-001</t>
        </is>
      </c>
      <c r="C1170" s="8" t="inlineStr">
        <is>
          <t>2024-03-15</t>
        </is>
      </c>
      <c r="D1170" s="12" t="n">
        <v>46.9</v>
      </c>
      <c r="E1170" s="12" t="n">
        <v>50</v>
      </c>
      <c r="F1170" s="12">
        <f>ROUND(D1170-E1170,2)</f>
        <v/>
      </c>
      <c r="G1170" s="15">
        <f>IFERROR(ROUND(F1170/E1170,4),"")</f>
        <v/>
      </c>
      <c r="H1170" s="16">
        <f>IF(D1170=0,"NO DATA",IF(D1170&gt;E1170*1.5,"OVER",IF(D1170&gt;E1170*1.1,"HIGH",IF(D1170&lt;E1170*0.5,"LOW","OK"))))</f>
        <v/>
      </c>
    </row>
    <row r="1171" ht="22" customHeight="1">
      <c r="B1171" s="5" t="inlineStr">
        <is>
          <t>MTR-DYE-001</t>
        </is>
      </c>
      <c r="C1171" s="5" t="inlineStr">
        <is>
          <t>2024-03-16</t>
        </is>
      </c>
      <c r="D1171" s="11" t="n">
        <v>44.98</v>
      </c>
      <c r="E1171" s="11" t="n">
        <v>50</v>
      </c>
      <c r="F1171" s="11">
        <f>ROUND(D1171-E1171,2)</f>
        <v/>
      </c>
      <c r="G1171" s="13">
        <f>IFERROR(ROUND(F1171/E1171,4),"")</f>
        <v/>
      </c>
      <c r="H1171" s="14">
        <f>IF(D1171=0,"NO DATA",IF(D1171&gt;E1171*1.5,"OVER",IF(D1171&gt;E1171*1.1,"HIGH",IF(D1171&lt;E1171*0.5,"LOW","OK"))))</f>
        <v/>
      </c>
    </row>
    <row r="1172" ht="22" customHeight="1">
      <c r="B1172" s="8" t="inlineStr">
        <is>
          <t>MTR-DYE-001</t>
        </is>
      </c>
      <c r="C1172" s="8" t="inlineStr">
        <is>
          <t>2024-03-17</t>
        </is>
      </c>
      <c r="D1172" s="12" t="n">
        <v>23.9</v>
      </c>
      <c r="E1172" s="12" t="n">
        <v>50</v>
      </c>
      <c r="F1172" s="12">
        <f>ROUND(D1172-E1172,2)</f>
        <v/>
      </c>
      <c r="G1172" s="15">
        <f>IFERROR(ROUND(F1172/E1172,4),"")</f>
        <v/>
      </c>
      <c r="H1172" s="16">
        <f>IF(D1172=0,"NO DATA",IF(D1172&gt;E1172*1.5,"OVER",IF(D1172&gt;E1172*1.1,"HIGH",IF(D1172&lt;E1172*0.5,"LOW","OK"))))</f>
        <v/>
      </c>
    </row>
    <row r="1173" ht="22" customHeight="1">
      <c r="B1173" s="5" t="inlineStr">
        <is>
          <t>MTR-DYE-001</t>
        </is>
      </c>
      <c r="C1173" s="5" t="inlineStr">
        <is>
          <t>2024-03-18</t>
        </is>
      </c>
      <c r="D1173" s="11" t="n">
        <v>44.95</v>
      </c>
      <c r="E1173" s="11" t="n">
        <v>50</v>
      </c>
      <c r="F1173" s="11">
        <f>ROUND(D1173-E1173,2)</f>
        <v/>
      </c>
      <c r="G1173" s="13">
        <f>IFERROR(ROUND(F1173/E1173,4),"")</f>
        <v/>
      </c>
      <c r="H1173" s="14">
        <f>IF(D1173=0,"NO DATA",IF(D1173&gt;E1173*1.5,"OVER",IF(D1173&gt;E1173*1.1,"HIGH",IF(D1173&lt;E1173*0.5,"LOW","OK"))))</f>
        <v/>
      </c>
    </row>
    <row r="1174" ht="22" customHeight="1">
      <c r="B1174" s="8" t="inlineStr">
        <is>
          <t>MTR-DYE-001</t>
        </is>
      </c>
      <c r="C1174" s="8" t="inlineStr">
        <is>
          <t>2024-03-19</t>
        </is>
      </c>
      <c r="D1174" s="12" t="n">
        <v>46.96</v>
      </c>
      <c r="E1174" s="12" t="n">
        <v>50</v>
      </c>
      <c r="F1174" s="12">
        <f>ROUND(D1174-E1174,2)</f>
        <v/>
      </c>
      <c r="G1174" s="15">
        <f>IFERROR(ROUND(F1174/E1174,4),"")</f>
        <v/>
      </c>
      <c r="H1174" s="16">
        <f>IF(D1174=0,"NO DATA",IF(D1174&gt;E1174*1.5,"OVER",IF(D1174&gt;E1174*1.1,"HIGH",IF(D1174&lt;E1174*0.5,"LOW","OK"))))</f>
        <v/>
      </c>
    </row>
    <row r="1175" ht="22" customHeight="1">
      <c r="B1175" s="5" t="inlineStr">
        <is>
          <t>MTR-DYE-001</t>
        </is>
      </c>
      <c r="C1175" s="5" t="inlineStr">
        <is>
          <t>2024-03-20</t>
        </is>
      </c>
      <c r="D1175" s="11" t="n">
        <v>55.55</v>
      </c>
      <c r="E1175" s="11" t="n">
        <v>50</v>
      </c>
      <c r="F1175" s="11">
        <f>ROUND(D1175-E1175,2)</f>
        <v/>
      </c>
      <c r="G1175" s="13">
        <f>IFERROR(ROUND(F1175/E1175,4),"")</f>
        <v/>
      </c>
      <c r="H1175" s="14">
        <f>IF(D1175=0,"NO DATA",IF(D1175&gt;E1175*1.5,"OVER",IF(D1175&gt;E1175*1.1,"HIGH",IF(D1175&lt;E1175*0.5,"LOW","OK"))))</f>
        <v/>
      </c>
    </row>
    <row r="1176" ht="22" customHeight="1">
      <c r="B1176" s="8" t="inlineStr">
        <is>
          <t>MTR-DYE-001</t>
        </is>
      </c>
      <c r="C1176" s="8" t="inlineStr">
        <is>
          <t>2024-03-21</t>
        </is>
      </c>
      <c r="D1176" s="12" t="n">
        <v>57.58</v>
      </c>
      <c r="E1176" s="12" t="n">
        <v>50</v>
      </c>
      <c r="F1176" s="12">
        <f>ROUND(D1176-E1176,2)</f>
        <v/>
      </c>
      <c r="G1176" s="15">
        <f>IFERROR(ROUND(F1176/E1176,4),"")</f>
        <v/>
      </c>
      <c r="H1176" s="16">
        <f>IF(D1176=0,"NO DATA",IF(D1176&gt;E1176*1.5,"OVER",IF(D1176&gt;E1176*1.1,"HIGH",IF(D1176&lt;E1176*0.5,"LOW","OK"))))</f>
        <v/>
      </c>
    </row>
    <row r="1177" ht="22" customHeight="1">
      <c r="B1177" s="5" t="inlineStr">
        <is>
          <t>MTR-DYE-001</t>
        </is>
      </c>
      <c r="C1177" s="5" t="inlineStr">
        <is>
          <t>2024-03-22</t>
        </is>
      </c>
      <c r="D1177" s="11" t="n">
        <v>46.16</v>
      </c>
      <c r="E1177" s="11" t="n">
        <v>50</v>
      </c>
      <c r="F1177" s="11">
        <f>ROUND(D1177-E1177,2)</f>
        <v/>
      </c>
      <c r="G1177" s="13">
        <f>IFERROR(ROUND(F1177/E1177,4),"")</f>
        <v/>
      </c>
      <c r="H1177" s="14">
        <f>IF(D1177=0,"NO DATA",IF(D1177&gt;E1177*1.5,"OVER",IF(D1177&gt;E1177*1.1,"HIGH",IF(D1177&lt;E1177*0.5,"LOW","OK"))))</f>
        <v/>
      </c>
    </row>
    <row r="1178" ht="22" customHeight="1">
      <c r="B1178" s="8" t="inlineStr">
        <is>
          <t>MTR-DYE-001</t>
        </is>
      </c>
      <c r="C1178" s="8" t="inlineStr">
        <is>
          <t>2024-03-23</t>
        </is>
      </c>
      <c r="D1178" s="12" t="n">
        <v>46.39</v>
      </c>
      <c r="E1178" s="12" t="n">
        <v>50</v>
      </c>
      <c r="F1178" s="12">
        <f>ROUND(D1178-E1178,2)</f>
        <v/>
      </c>
      <c r="G1178" s="15">
        <f>IFERROR(ROUND(F1178/E1178,4),"")</f>
        <v/>
      </c>
      <c r="H1178" s="16">
        <f>IF(D1178=0,"NO DATA",IF(D1178&gt;E1178*1.5,"OVER",IF(D1178&gt;E1178*1.1,"HIGH",IF(D1178&lt;E1178*0.5,"LOW","OK"))))</f>
        <v/>
      </c>
    </row>
    <row r="1179" ht="22" customHeight="1">
      <c r="B1179" s="5" t="inlineStr">
        <is>
          <t>MTR-DYE-001</t>
        </is>
      </c>
      <c r="C1179" s="5" t="inlineStr">
        <is>
          <t>2024-03-24</t>
        </is>
      </c>
      <c r="D1179" s="11" t="n">
        <v>22.42</v>
      </c>
      <c r="E1179" s="11" t="n">
        <v>50</v>
      </c>
      <c r="F1179" s="11">
        <f>ROUND(D1179-E1179,2)</f>
        <v/>
      </c>
      <c r="G1179" s="13">
        <f>IFERROR(ROUND(F1179/E1179,4),"")</f>
        <v/>
      </c>
      <c r="H1179" s="14">
        <f>IF(D1179=0,"NO DATA",IF(D1179&gt;E1179*1.5,"OVER",IF(D1179&gt;E1179*1.1,"HIGH",IF(D1179&lt;E1179*0.5,"LOW","OK"))))</f>
        <v/>
      </c>
    </row>
    <row r="1180" ht="22" customHeight="1">
      <c r="B1180" s="8" t="inlineStr">
        <is>
          <t>MTR-DYE-001</t>
        </is>
      </c>
      <c r="C1180" s="8" t="inlineStr">
        <is>
          <t>2024-03-25</t>
        </is>
      </c>
      <c r="D1180" s="12" t="n">
        <v>55.37</v>
      </c>
      <c r="E1180" s="12" t="n">
        <v>50</v>
      </c>
      <c r="F1180" s="12">
        <f>ROUND(D1180-E1180,2)</f>
        <v/>
      </c>
      <c r="G1180" s="15">
        <f>IFERROR(ROUND(F1180/E1180,4),"")</f>
        <v/>
      </c>
      <c r="H1180" s="16">
        <f>IF(D1180=0,"NO DATA",IF(D1180&gt;E1180*1.5,"OVER",IF(D1180&gt;E1180*1.1,"HIGH",IF(D1180&lt;E1180*0.5,"LOW","OK"))))</f>
        <v/>
      </c>
    </row>
    <row r="1181" ht="22" customHeight="1">
      <c r="B1181" s="5" t="inlineStr">
        <is>
          <t>MTR-DYE-001</t>
        </is>
      </c>
      <c r="C1181" s="5" t="inlineStr">
        <is>
          <t>2024-03-26</t>
        </is>
      </c>
      <c r="D1181" s="11" t="n">
        <v>52.06</v>
      </c>
      <c r="E1181" s="11" t="n">
        <v>50</v>
      </c>
      <c r="F1181" s="11">
        <f>ROUND(D1181-E1181,2)</f>
        <v/>
      </c>
      <c r="G1181" s="13">
        <f>IFERROR(ROUND(F1181/E1181,4),"")</f>
        <v/>
      </c>
      <c r="H1181" s="14">
        <f>IF(D1181=0,"NO DATA",IF(D1181&gt;E1181*1.5,"OVER",IF(D1181&gt;E1181*1.1,"HIGH",IF(D1181&lt;E1181*0.5,"LOW","OK"))))</f>
        <v/>
      </c>
    </row>
    <row r="1182" ht="22" customHeight="1">
      <c r="B1182" s="8" t="inlineStr">
        <is>
          <t>MTR-DYE-001</t>
        </is>
      </c>
      <c r="C1182" s="8" t="inlineStr">
        <is>
          <t>2024-03-27</t>
        </is>
      </c>
      <c r="D1182" s="12" t="n">
        <v>56.15</v>
      </c>
      <c r="E1182" s="12" t="n">
        <v>50</v>
      </c>
      <c r="F1182" s="12">
        <f>ROUND(D1182-E1182,2)</f>
        <v/>
      </c>
      <c r="G1182" s="15">
        <f>IFERROR(ROUND(F1182/E1182,4),"")</f>
        <v/>
      </c>
      <c r="H1182" s="16">
        <f>IF(D1182=0,"NO DATA",IF(D1182&gt;E1182*1.5,"OVER",IF(D1182&gt;E1182*1.1,"HIGH",IF(D1182&lt;E1182*0.5,"LOW","OK"))))</f>
        <v/>
      </c>
    </row>
    <row r="1183" ht="22" customHeight="1">
      <c r="B1183" s="5" t="inlineStr">
        <is>
          <t>MTR-DYE-001</t>
        </is>
      </c>
      <c r="C1183" s="5" t="inlineStr">
        <is>
          <t>2024-03-28</t>
        </is>
      </c>
      <c r="D1183" s="11" t="n">
        <v>45.13</v>
      </c>
      <c r="E1183" s="11" t="n">
        <v>50</v>
      </c>
      <c r="F1183" s="11">
        <f>ROUND(D1183-E1183,2)</f>
        <v/>
      </c>
      <c r="G1183" s="13">
        <f>IFERROR(ROUND(F1183/E1183,4),"")</f>
        <v/>
      </c>
      <c r="H1183" s="14">
        <f>IF(D1183=0,"NO DATA",IF(D1183&gt;E1183*1.5,"OVER",IF(D1183&gt;E1183*1.1,"HIGH",IF(D1183&lt;E1183*0.5,"LOW","OK"))))</f>
        <v/>
      </c>
    </row>
    <row r="1184" ht="22" customHeight="1">
      <c r="B1184" s="8" t="inlineStr">
        <is>
          <t>MTR-DYE-001</t>
        </is>
      </c>
      <c r="C1184" s="8" t="inlineStr">
        <is>
          <t>2024-03-29</t>
        </is>
      </c>
      <c r="D1184" s="12" t="n">
        <v>46.41</v>
      </c>
      <c r="E1184" s="12" t="n">
        <v>50</v>
      </c>
      <c r="F1184" s="12">
        <f>ROUND(D1184-E1184,2)</f>
        <v/>
      </c>
      <c r="G1184" s="15">
        <f>IFERROR(ROUND(F1184/E1184,4),"")</f>
        <v/>
      </c>
      <c r="H1184" s="16">
        <f>IF(D1184=0,"NO DATA",IF(D1184&gt;E1184*1.5,"OVER",IF(D1184&gt;E1184*1.1,"HIGH",IF(D1184&lt;E1184*0.5,"LOW","OK"))))</f>
        <v/>
      </c>
    </row>
    <row r="1185" ht="22" customHeight="1">
      <c r="B1185" s="5" t="inlineStr">
        <is>
          <t>MTR-DYE-001</t>
        </is>
      </c>
      <c r="C1185" s="5" t="inlineStr">
        <is>
          <t>2024-03-30</t>
        </is>
      </c>
      <c r="D1185" s="11" t="n">
        <v>42.23</v>
      </c>
      <c r="E1185" s="11" t="n">
        <v>50</v>
      </c>
      <c r="F1185" s="11">
        <f>ROUND(D1185-E1185,2)</f>
        <v/>
      </c>
      <c r="G1185" s="13">
        <f>IFERROR(ROUND(F1185/E1185,4),"")</f>
        <v/>
      </c>
      <c r="H1185" s="14">
        <f>IF(D1185=0,"NO DATA",IF(D1185&gt;E1185*1.5,"OVER",IF(D1185&gt;E1185*1.1,"HIGH",IF(D1185&lt;E1185*0.5,"LOW","OK"))))</f>
        <v/>
      </c>
    </row>
    <row r="1186" ht="22" customHeight="1">
      <c r="B1186" s="8" t="inlineStr">
        <is>
          <t>MTR-DYE-001</t>
        </is>
      </c>
      <c r="C1186" s="8" t="inlineStr">
        <is>
          <t>2024-03-31</t>
        </is>
      </c>
      <c r="D1186" s="12" t="n">
        <v>24.63</v>
      </c>
      <c r="E1186" s="12" t="n">
        <v>50</v>
      </c>
      <c r="F1186" s="12">
        <f>ROUND(D1186-E1186,2)</f>
        <v/>
      </c>
      <c r="G1186" s="15">
        <f>IFERROR(ROUND(F1186/E1186,4),"")</f>
        <v/>
      </c>
      <c r="H1186" s="16">
        <f>IF(D1186=0,"NO DATA",IF(D1186&gt;E1186*1.5,"OVER",IF(D1186&gt;E1186*1.1,"HIGH",IF(D1186&lt;E1186*0.5,"LOW","OK"))))</f>
        <v/>
      </c>
    </row>
    <row r="1187" ht="22" customHeight="1">
      <c r="B1187" s="5" t="inlineStr">
        <is>
          <t>MTR-DYE-001</t>
        </is>
      </c>
      <c r="C1187" s="5" t="inlineStr">
        <is>
          <t>2024-04-01</t>
        </is>
      </c>
      <c r="D1187" s="11" t="n">
        <v>51.45</v>
      </c>
      <c r="E1187" s="11" t="n">
        <v>50</v>
      </c>
      <c r="F1187" s="11">
        <f>ROUND(D1187-E1187,2)</f>
        <v/>
      </c>
      <c r="G1187" s="13">
        <f>IFERROR(ROUND(F1187/E1187,4),"")</f>
        <v/>
      </c>
      <c r="H1187" s="14">
        <f>IF(D1187=0,"NO DATA",IF(D1187&gt;E1187*1.5,"OVER",IF(D1187&gt;E1187*1.1,"HIGH",IF(D1187&lt;E1187*0.5,"LOW","OK"))))</f>
        <v/>
      </c>
    </row>
    <row r="1188" ht="22" customHeight="1">
      <c r="B1188" s="8" t="inlineStr">
        <is>
          <t>MTR-DYE-001</t>
        </is>
      </c>
      <c r="C1188" s="8" t="inlineStr">
        <is>
          <t>2024-04-02</t>
        </is>
      </c>
      <c r="D1188" s="12" t="n">
        <v>54.3</v>
      </c>
      <c r="E1188" s="12" t="n">
        <v>50</v>
      </c>
      <c r="F1188" s="12">
        <f>ROUND(D1188-E1188,2)</f>
        <v/>
      </c>
      <c r="G1188" s="15">
        <f>IFERROR(ROUND(F1188/E1188,4),"")</f>
        <v/>
      </c>
      <c r="H1188" s="16">
        <f>IF(D1188=0,"NO DATA",IF(D1188&gt;E1188*1.5,"OVER",IF(D1188&gt;E1188*1.1,"HIGH",IF(D1188&lt;E1188*0.5,"LOW","OK"))))</f>
        <v/>
      </c>
    </row>
    <row r="1189" ht="22" customHeight="1">
      <c r="B1189" s="5" t="inlineStr">
        <is>
          <t>MTR-DYE-001</t>
        </is>
      </c>
      <c r="C1189" s="5" t="inlineStr">
        <is>
          <t>2024-04-03</t>
        </is>
      </c>
      <c r="D1189" s="11" t="n">
        <v>48.83</v>
      </c>
      <c r="E1189" s="11" t="n">
        <v>50</v>
      </c>
      <c r="F1189" s="11">
        <f>ROUND(D1189-E1189,2)</f>
        <v/>
      </c>
      <c r="G1189" s="13">
        <f>IFERROR(ROUND(F1189/E1189,4),"")</f>
        <v/>
      </c>
      <c r="H1189" s="14">
        <f>IF(D1189=0,"NO DATA",IF(D1189&gt;E1189*1.5,"OVER",IF(D1189&gt;E1189*1.1,"HIGH",IF(D1189&lt;E1189*0.5,"LOW","OK"))))</f>
        <v/>
      </c>
    </row>
    <row r="1190" ht="22" customHeight="1">
      <c r="B1190" s="8" t="inlineStr">
        <is>
          <t>MTR-DYE-001</t>
        </is>
      </c>
      <c r="C1190" s="8" t="inlineStr">
        <is>
          <t>2024-04-04</t>
        </is>
      </c>
      <c r="D1190" s="12" t="n">
        <v>58.72</v>
      </c>
      <c r="E1190" s="12" t="n">
        <v>50</v>
      </c>
      <c r="F1190" s="12">
        <f>ROUND(D1190-E1190,2)</f>
        <v/>
      </c>
      <c r="G1190" s="15">
        <f>IFERROR(ROUND(F1190/E1190,4),"")</f>
        <v/>
      </c>
      <c r="H1190" s="16">
        <f>IF(D1190=0,"NO DATA",IF(D1190&gt;E1190*1.5,"OVER",IF(D1190&gt;E1190*1.1,"HIGH",IF(D1190&lt;E1190*0.5,"LOW","OK"))))</f>
        <v/>
      </c>
    </row>
    <row r="1191" ht="22" customHeight="1">
      <c r="B1191" s="5" t="inlineStr">
        <is>
          <t>MTR-DYE-001</t>
        </is>
      </c>
      <c r="C1191" s="5" t="inlineStr">
        <is>
          <t>2024-04-05</t>
        </is>
      </c>
      <c r="D1191" s="11" t="n">
        <v>54.2</v>
      </c>
      <c r="E1191" s="11" t="n">
        <v>50</v>
      </c>
      <c r="F1191" s="11">
        <f>ROUND(D1191-E1191,2)</f>
        <v/>
      </c>
      <c r="G1191" s="13">
        <f>IFERROR(ROUND(F1191/E1191,4),"")</f>
        <v/>
      </c>
      <c r="H1191" s="14">
        <f>IF(D1191=0,"NO DATA",IF(D1191&gt;E1191*1.5,"OVER",IF(D1191&gt;E1191*1.1,"HIGH",IF(D1191&lt;E1191*0.5,"LOW","OK"))))</f>
        <v/>
      </c>
    </row>
    <row r="1192" ht="22" customHeight="1">
      <c r="B1192" s="8" t="inlineStr">
        <is>
          <t>MTR-DYE-001</t>
        </is>
      </c>
      <c r="C1192" s="8" t="inlineStr">
        <is>
          <t>2024-04-06</t>
        </is>
      </c>
      <c r="D1192" s="12" t="n">
        <v>38.72</v>
      </c>
      <c r="E1192" s="12" t="n">
        <v>50</v>
      </c>
      <c r="F1192" s="12">
        <f>ROUND(D1192-E1192,2)</f>
        <v/>
      </c>
      <c r="G1192" s="15">
        <f>IFERROR(ROUND(F1192/E1192,4),"")</f>
        <v/>
      </c>
      <c r="H1192" s="16">
        <f>IF(D1192=0,"NO DATA",IF(D1192&gt;E1192*1.5,"OVER",IF(D1192&gt;E1192*1.1,"HIGH",IF(D1192&lt;E1192*0.5,"LOW","OK"))))</f>
        <v/>
      </c>
    </row>
    <row r="1193" ht="22" customHeight="1">
      <c r="B1193" s="5" t="inlineStr">
        <is>
          <t>MTR-DYE-001</t>
        </is>
      </c>
      <c r="C1193" s="5" t="inlineStr">
        <is>
          <t>2024-04-07</t>
        </is>
      </c>
      <c r="D1193" s="11" t="n">
        <v>24.72</v>
      </c>
      <c r="E1193" s="11" t="n">
        <v>50</v>
      </c>
      <c r="F1193" s="11">
        <f>ROUND(D1193-E1193,2)</f>
        <v/>
      </c>
      <c r="G1193" s="13">
        <f>IFERROR(ROUND(F1193/E1193,4),"")</f>
        <v/>
      </c>
      <c r="H1193" s="14">
        <f>IF(D1193=0,"NO DATA",IF(D1193&gt;E1193*1.5,"OVER",IF(D1193&gt;E1193*1.1,"HIGH",IF(D1193&lt;E1193*0.5,"LOW","OK"))))</f>
        <v/>
      </c>
    </row>
    <row r="1194" ht="22" customHeight="1">
      <c r="B1194" s="8" t="inlineStr">
        <is>
          <t>MTR-DYE-001</t>
        </is>
      </c>
      <c r="C1194" s="8" t="inlineStr">
        <is>
          <t>2024-04-08</t>
        </is>
      </c>
      <c r="D1194" s="12" t="n">
        <v>45.57</v>
      </c>
      <c r="E1194" s="12" t="n">
        <v>50</v>
      </c>
      <c r="F1194" s="12">
        <f>ROUND(D1194-E1194,2)</f>
        <v/>
      </c>
      <c r="G1194" s="15">
        <f>IFERROR(ROUND(F1194/E1194,4),"")</f>
        <v/>
      </c>
      <c r="H1194" s="16">
        <f>IF(D1194=0,"NO DATA",IF(D1194&gt;E1194*1.5,"OVER",IF(D1194&gt;E1194*1.1,"HIGH",IF(D1194&lt;E1194*0.5,"LOW","OK"))))</f>
        <v/>
      </c>
    </row>
    <row r="1195" ht="22" customHeight="1">
      <c r="B1195" s="5" t="inlineStr">
        <is>
          <t>MTR-DYE-001</t>
        </is>
      </c>
      <c r="C1195" s="5" t="inlineStr">
        <is>
          <t>2024-04-09</t>
        </is>
      </c>
      <c r="D1195" s="11" t="n">
        <v>55</v>
      </c>
      <c r="E1195" s="11" t="n">
        <v>50</v>
      </c>
      <c r="F1195" s="11">
        <f>ROUND(D1195-E1195,2)</f>
        <v/>
      </c>
      <c r="G1195" s="13">
        <f>IFERROR(ROUND(F1195/E1195,4),"")</f>
        <v/>
      </c>
      <c r="H1195" s="14">
        <f>IF(D1195=0,"NO DATA",IF(D1195&gt;E1195*1.5,"OVER",IF(D1195&gt;E1195*1.1,"HIGH",IF(D1195&lt;E1195*0.5,"LOW","OK"))))</f>
        <v/>
      </c>
    </row>
    <row r="1196" ht="22" customHeight="1">
      <c r="B1196" s="8" t="inlineStr">
        <is>
          <t>MTR-DYE-001</t>
        </is>
      </c>
      <c r="C1196" s="8" t="inlineStr">
        <is>
          <t>2024-04-10</t>
        </is>
      </c>
      <c r="D1196" s="12" t="n">
        <v>45.31</v>
      </c>
      <c r="E1196" s="12" t="n">
        <v>50</v>
      </c>
      <c r="F1196" s="12">
        <f>ROUND(D1196-E1196,2)</f>
        <v/>
      </c>
      <c r="G1196" s="15">
        <f>IFERROR(ROUND(F1196/E1196,4),"")</f>
        <v/>
      </c>
      <c r="H1196" s="16">
        <f>IF(D1196=0,"NO DATA",IF(D1196&gt;E1196*1.5,"OVER",IF(D1196&gt;E1196*1.1,"HIGH",IF(D1196&lt;E1196*0.5,"LOW","OK"))))</f>
        <v/>
      </c>
    </row>
    <row r="1197" ht="22" customHeight="1">
      <c r="B1197" s="5" t="inlineStr">
        <is>
          <t>MTR-DYE-001</t>
        </is>
      </c>
      <c r="C1197" s="5" t="inlineStr">
        <is>
          <t>2024-04-11</t>
        </is>
      </c>
      <c r="D1197" s="11" t="n">
        <v>53.69</v>
      </c>
      <c r="E1197" s="11" t="n">
        <v>50</v>
      </c>
      <c r="F1197" s="11">
        <f>ROUND(D1197-E1197,2)</f>
        <v/>
      </c>
      <c r="G1197" s="13">
        <f>IFERROR(ROUND(F1197/E1197,4),"")</f>
        <v/>
      </c>
      <c r="H1197" s="14">
        <f>IF(D1197=0,"NO DATA",IF(D1197&gt;E1197*1.5,"OVER",IF(D1197&gt;E1197*1.1,"HIGH",IF(D1197&lt;E1197*0.5,"LOW","OK"))))</f>
        <v/>
      </c>
    </row>
    <row r="1198" ht="22" customHeight="1">
      <c r="B1198" s="8" t="inlineStr">
        <is>
          <t>MTR-DYE-001</t>
        </is>
      </c>
      <c r="C1198" s="8" t="inlineStr">
        <is>
          <t>2024-04-12</t>
        </is>
      </c>
      <c r="D1198" s="12" t="n">
        <v>56.34</v>
      </c>
      <c r="E1198" s="12" t="n">
        <v>50</v>
      </c>
      <c r="F1198" s="12">
        <f>ROUND(D1198-E1198,2)</f>
        <v/>
      </c>
      <c r="G1198" s="15">
        <f>IFERROR(ROUND(F1198/E1198,4),"")</f>
        <v/>
      </c>
      <c r="H1198" s="16">
        <f>IF(D1198=0,"NO DATA",IF(D1198&gt;E1198*1.5,"OVER",IF(D1198&gt;E1198*1.1,"HIGH",IF(D1198&lt;E1198*0.5,"LOW","OK"))))</f>
        <v/>
      </c>
    </row>
    <row r="1199" ht="22" customHeight="1">
      <c r="B1199" s="5" t="inlineStr">
        <is>
          <t>MTR-DYE-001</t>
        </is>
      </c>
      <c r="C1199" s="5" t="inlineStr">
        <is>
          <t>2024-04-13</t>
        </is>
      </c>
      <c r="D1199" s="11" t="n">
        <v>36.81</v>
      </c>
      <c r="E1199" s="11" t="n">
        <v>50</v>
      </c>
      <c r="F1199" s="11">
        <f>ROUND(D1199-E1199,2)</f>
        <v/>
      </c>
      <c r="G1199" s="13">
        <f>IFERROR(ROUND(F1199/E1199,4),"")</f>
        <v/>
      </c>
      <c r="H1199" s="14">
        <f>IF(D1199=0,"NO DATA",IF(D1199&gt;E1199*1.5,"OVER",IF(D1199&gt;E1199*1.1,"HIGH",IF(D1199&lt;E1199*0.5,"LOW","OK"))))</f>
        <v/>
      </c>
    </row>
    <row r="1200" ht="22" customHeight="1">
      <c r="B1200" s="8" t="inlineStr">
        <is>
          <t>MTR-DYE-001</t>
        </is>
      </c>
      <c r="C1200" s="8" t="inlineStr">
        <is>
          <t>2024-04-14</t>
        </is>
      </c>
      <c r="D1200" s="12" t="n">
        <v>27.19</v>
      </c>
      <c r="E1200" s="12" t="n">
        <v>50</v>
      </c>
      <c r="F1200" s="12">
        <f>ROUND(D1200-E1200,2)</f>
        <v/>
      </c>
      <c r="G1200" s="15">
        <f>IFERROR(ROUND(F1200/E1200,4),"")</f>
        <v/>
      </c>
      <c r="H1200" s="16">
        <f>IF(D1200=0,"NO DATA",IF(D1200&gt;E1200*1.5,"OVER",IF(D1200&gt;E1200*1.1,"HIGH",IF(D1200&lt;E1200*0.5,"LOW","OK"))))</f>
        <v/>
      </c>
    </row>
    <row r="1201" ht="22" customHeight="1">
      <c r="B1201" s="5" t="inlineStr">
        <is>
          <t>MTR-DYE-001</t>
        </is>
      </c>
      <c r="C1201" s="5" t="inlineStr">
        <is>
          <t>2024-04-15</t>
        </is>
      </c>
      <c r="D1201" s="11" t="n">
        <v>51.83</v>
      </c>
      <c r="E1201" s="11" t="n">
        <v>50</v>
      </c>
      <c r="F1201" s="11">
        <f>ROUND(D1201-E1201,2)</f>
        <v/>
      </c>
      <c r="G1201" s="13">
        <f>IFERROR(ROUND(F1201/E1201,4),"")</f>
        <v/>
      </c>
      <c r="H1201" s="14">
        <f>IF(D1201=0,"NO DATA",IF(D1201&gt;E1201*1.5,"OVER",IF(D1201&gt;E1201*1.1,"HIGH",IF(D1201&lt;E1201*0.5,"LOW","OK"))))</f>
        <v/>
      </c>
    </row>
    <row r="1202" ht="22" customHeight="1">
      <c r="B1202" s="8" t="inlineStr">
        <is>
          <t>MTR-DYE-001</t>
        </is>
      </c>
      <c r="C1202" s="8" t="inlineStr">
        <is>
          <t>2024-04-16</t>
        </is>
      </c>
      <c r="D1202" s="12" t="n">
        <v>44.91</v>
      </c>
      <c r="E1202" s="12" t="n">
        <v>50</v>
      </c>
      <c r="F1202" s="12">
        <f>ROUND(D1202-E1202,2)</f>
        <v/>
      </c>
      <c r="G1202" s="15">
        <f>IFERROR(ROUND(F1202/E1202,4),"")</f>
        <v/>
      </c>
      <c r="H1202" s="16">
        <f>IF(D1202=0,"NO DATA",IF(D1202&gt;E1202*1.5,"OVER",IF(D1202&gt;E1202*1.1,"HIGH",IF(D1202&lt;E1202*0.5,"LOW","OK"))))</f>
        <v/>
      </c>
    </row>
    <row r="1203" ht="22" customHeight="1">
      <c r="B1203" s="5" t="inlineStr">
        <is>
          <t>MTR-DYE-001</t>
        </is>
      </c>
      <c r="C1203" s="5" t="inlineStr">
        <is>
          <t>2024-04-17</t>
        </is>
      </c>
      <c r="D1203" s="11" t="n">
        <v>51.97</v>
      </c>
      <c r="E1203" s="11" t="n">
        <v>50</v>
      </c>
      <c r="F1203" s="11">
        <f>ROUND(D1203-E1203,2)</f>
        <v/>
      </c>
      <c r="G1203" s="13">
        <f>IFERROR(ROUND(F1203/E1203,4),"")</f>
        <v/>
      </c>
      <c r="H1203" s="14">
        <f>IF(D1203=0,"NO DATA",IF(D1203&gt;E1203*1.5,"OVER",IF(D1203&gt;E1203*1.1,"HIGH",IF(D1203&lt;E1203*0.5,"LOW","OK"))))</f>
        <v/>
      </c>
    </row>
    <row r="1204" ht="22" customHeight="1">
      <c r="B1204" s="8" t="inlineStr">
        <is>
          <t>MTR-DYE-001</t>
        </is>
      </c>
      <c r="C1204" s="8" t="inlineStr">
        <is>
          <t>2024-04-18</t>
        </is>
      </c>
      <c r="D1204" s="12" t="n">
        <v>50.42</v>
      </c>
      <c r="E1204" s="12" t="n">
        <v>50</v>
      </c>
      <c r="F1204" s="12">
        <f>ROUND(D1204-E1204,2)</f>
        <v/>
      </c>
      <c r="G1204" s="15">
        <f>IFERROR(ROUND(F1204/E1204,4),"")</f>
        <v/>
      </c>
      <c r="H1204" s="16">
        <f>IF(D1204=0,"NO DATA",IF(D1204&gt;E1204*1.5,"OVER",IF(D1204&gt;E1204*1.1,"HIGH",IF(D1204&lt;E1204*0.5,"LOW","OK"))))</f>
        <v/>
      </c>
    </row>
    <row r="1205" ht="22" customHeight="1">
      <c r="B1205" s="5" t="inlineStr">
        <is>
          <t>MTR-DYE-001</t>
        </is>
      </c>
      <c r="C1205" s="5" t="inlineStr">
        <is>
          <t>2024-04-19</t>
        </is>
      </c>
      <c r="D1205" s="11" t="n">
        <v>54.39</v>
      </c>
      <c r="E1205" s="11" t="n">
        <v>50</v>
      </c>
      <c r="F1205" s="11">
        <f>ROUND(D1205-E1205,2)</f>
        <v/>
      </c>
      <c r="G1205" s="13">
        <f>IFERROR(ROUND(F1205/E1205,4),"")</f>
        <v/>
      </c>
      <c r="H1205" s="14">
        <f>IF(D1205=0,"NO DATA",IF(D1205&gt;E1205*1.5,"OVER",IF(D1205&gt;E1205*1.1,"HIGH",IF(D1205&lt;E1205*0.5,"LOW","OK"))))</f>
        <v/>
      </c>
    </row>
    <row r="1206" ht="22" customHeight="1">
      <c r="B1206" s="8" t="inlineStr">
        <is>
          <t>MTR-DYE-001</t>
        </is>
      </c>
      <c r="C1206" s="8" t="inlineStr">
        <is>
          <t>2024-04-20</t>
        </is>
      </c>
      <c r="D1206" s="12" t="n">
        <v>42.46</v>
      </c>
      <c r="E1206" s="12" t="n">
        <v>50</v>
      </c>
      <c r="F1206" s="12">
        <f>ROUND(D1206-E1206,2)</f>
        <v/>
      </c>
      <c r="G1206" s="15">
        <f>IFERROR(ROUND(F1206/E1206,4),"")</f>
        <v/>
      </c>
      <c r="H1206" s="16">
        <f>IF(D1206=0,"NO DATA",IF(D1206&gt;E1206*1.5,"OVER",IF(D1206&gt;E1206*1.1,"HIGH",IF(D1206&lt;E1206*0.5,"LOW","OK"))))</f>
        <v/>
      </c>
    </row>
    <row r="1207" ht="22" customHeight="1">
      <c r="B1207" s="5" t="inlineStr">
        <is>
          <t>MTR-DYE-001</t>
        </is>
      </c>
      <c r="C1207" s="5" t="inlineStr">
        <is>
          <t>2024-04-21</t>
        </is>
      </c>
      <c r="D1207" s="11" t="n">
        <v>23.77</v>
      </c>
      <c r="E1207" s="11" t="n">
        <v>50</v>
      </c>
      <c r="F1207" s="11">
        <f>ROUND(D1207-E1207,2)</f>
        <v/>
      </c>
      <c r="G1207" s="13">
        <f>IFERROR(ROUND(F1207/E1207,4),"")</f>
        <v/>
      </c>
      <c r="H1207" s="14">
        <f>IF(D1207=0,"NO DATA",IF(D1207&gt;E1207*1.5,"OVER",IF(D1207&gt;E1207*1.1,"HIGH",IF(D1207&lt;E1207*0.5,"LOW","OK"))))</f>
        <v/>
      </c>
    </row>
    <row r="1208" ht="22" customHeight="1">
      <c r="B1208" s="8" t="inlineStr">
        <is>
          <t>MTR-DYE-001</t>
        </is>
      </c>
      <c r="C1208" s="8" t="inlineStr">
        <is>
          <t>2024-04-22</t>
        </is>
      </c>
      <c r="D1208" s="12" t="n">
        <v>56.84</v>
      </c>
      <c r="E1208" s="12" t="n">
        <v>50</v>
      </c>
      <c r="F1208" s="12">
        <f>ROUND(D1208-E1208,2)</f>
        <v/>
      </c>
      <c r="G1208" s="15">
        <f>IFERROR(ROUND(F1208/E1208,4),"")</f>
        <v/>
      </c>
      <c r="H1208" s="16">
        <f>IF(D1208=0,"NO DATA",IF(D1208&gt;E1208*1.5,"OVER",IF(D1208&gt;E1208*1.1,"HIGH",IF(D1208&lt;E1208*0.5,"LOW","OK"))))</f>
        <v/>
      </c>
    </row>
    <row r="1209" ht="22" customHeight="1">
      <c r="B1209" s="5" t="inlineStr">
        <is>
          <t>MTR-DYE-001</t>
        </is>
      </c>
      <c r="C1209" s="5" t="inlineStr">
        <is>
          <t>2024-04-23</t>
        </is>
      </c>
      <c r="D1209" s="11" t="n">
        <v>58.02</v>
      </c>
      <c r="E1209" s="11" t="n">
        <v>50</v>
      </c>
      <c r="F1209" s="11">
        <f>ROUND(D1209-E1209,2)</f>
        <v/>
      </c>
      <c r="G1209" s="13">
        <f>IFERROR(ROUND(F1209/E1209,4),"")</f>
        <v/>
      </c>
      <c r="H1209" s="14">
        <f>IF(D1209=0,"NO DATA",IF(D1209&gt;E1209*1.5,"OVER",IF(D1209&gt;E1209*1.1,"HIGH",IF(D1209&lt;E1209*0.5,"LOW","OK"))))</f>
        <v/>
      </c>
    </row>
    <row r="1210" ht="22" customHeight="1">
      <c r="B1210" s="8" t="inlineStr">
        <is>
          <t>MTR-DYE-001</t>
        </is>
      </c>
      <c r="C1210" s="8" t="inlineStr">
        <is>
          <t>2024-04-24</t>
        </is>
      </c>
      <c r="D1210" s="12" t="n">
        <v>47.1</v>
      </c>
      <c r="E1210" s="12" t="n">
        <v>50</v>
      </c>
      <c r="F1210" s="12">
        <f>ROUND(D1210-E1210,2)</f>
        <v/>
      </c>
      <c r="G1210" s="15">
        <f>IFERROR(ROUND(F1210/E1210,4),"")</f>
        <v/>
      </c>
      <c r="H1210" s="16">
        <f>IF(D1210=0,"NO DATA",IF(D1210&gt;E1210*1.5,"OVER",IF(D1210&gt;E1210*1.1,"HIGH",IF(D1210&lt;E1210*0.5,"LOW","OK"))))</f>
        <v/>
      </c>
    </row>
    <row r="1211" ht="22" customHeight="1">
      <c r="B1211" s="5" t="inlineStr">
        <is>
          <t>MTR-DYE-001</t>
        </is>
      </c>
      <c r="C1211" s="5" t="inlineStr">
        <is>
          <t>2024-04-25</t>
        </is>
      </c>
      <c r="D1211" s="11" t="n">
        <v>44.55</v>
      </c>
      <c r="E1211" s="11" t="n">
        <v>50</v>
      </c>
      <c r="F1211" s="11">
        <f>ROUND(D1211-E1211,2)</f>
        <v/>
      </c>
      <c r="G1211" s="13">
        <f>IFERROR(ROUND(F1211/E1211,4),"")</f>
        <v/>
      </c>
      <c r="H1211" s="14">
        <f>IF(D1211=0,"NO DATA",IF(D1211&gt;E1211*1.5,"OVER",IF(D1211&gt;E1211*1.1,"HIGH",IF(D1211&lt;E1211*0.5,"LOW","OK"))))</f>
        <v/>
      </c>
    </row>
    <row r="1212" ht="22" customHeight="1">
      <c r="B1212" s="8" t="inlineStr">
        <is>
          <t>MTR-DYE-001</t>
        </is>
      </c>
      <c r="C1212" s="8" t="inlineStr">
        <is>
          <t>2024-04-26</t>
        </is>
      </c>
      <c r="D1212" s="12" t="n">
        <v>45.49</v>
      </c>
      <c r="E1212" s="12" t="n">
        <v>50</v>
      </c>
      <c r="F1212" s="12">
        <f>ROUND(D1212-E1212,2)</f>
        <v/>
      </c>
      <c r="G1212" s="15">
        <f>IFERROR(ROUND(F1212/E1212,4),"")</f>
        <v/>
      </c>
      <c r="H1212" s="16">
        <f>IF(D1212=0,"NO DATA",IF(D1212&gt;E1212*1.5,"OVER",IF(D1212&gt;E1212*1.1,"HIGH",IF(D1212&lt;E1212*0.5,"LOW","OK"))))</f>
        <v/>
      </c>
    </row>
    <row r="1213" ht="22" customHeight="1">
      <c r="B1213" s="5" t="inlineStr">
        <is>
          <t>MTR-DYE-001</t>
        </is>
      </c>
      <c r="C1213" s="5" t="inlineStr">
        <is>
          <t>2024-04-27</t>
        </is>
      </c>
      <c r="D1213" s="11" t="n">
        <v>47.26</v>
      </c>
      <c r="E1213" s="11" t="n">
        <v>50</v>
      </c>
      <c r="F1213" s="11">
        <f>ROUND(D1213-E1213,2)</f>
        <v/>
      </c>
      <c r="G1213" s="13">
        <f>IFERROR(ROUND(F1213/E1213,4),"")</f>
        <v/>
      </c>
      <c r="H1213" s="14">
        <f>IF(D1213=0,"NO DATA",IF(D1213&gt;E1213*1.5,"OVER",IF(D1213&gt;E1213*1.1,"HIGH",IF(D1213&lt;E1213*0.5,"LOW","OK"))))</f>
        <v/>
      </c>
    </row>
    <row r="1214" ht="22" customHeight="1">
      <c r="B1214" s="8" t="inlineStr">
        <is>
          <t>MTR-DYE-001</t>
        </is>
      </c>
      <c r="C1214" s="8" t="inlineStr">
        <is>
          <t>2024-04-28</t>
        </is>
      </c>
      <c r="D1214" s="12" t="n">
        <v>26.98</v>
      </c>
      <c r="E1214" s="12" t="n">
        <v>50</v>
      </c>
      <c r="F1214" s="12">
        <f>ROUND(D1214-E1214,2)</f>
        <v/>
      </c>
      <c r="G1214" s="15">
        <f>IFERROR(ROUND(F1214/E1214,4),"")</f>
        <v/>
      </c>
      <c r="H1214" s="16">
        <f>IF(D1214=0,"NO DATA",IF(D1214&gt;E1214*1.5,"OVER",IF(D1214&gt;E1214*1.1,"HIGH",IF(D1214&lt;E1214*0.5,"LOW","OK"))))</f>
        <v/>
      </c>
    </row>
    <row r="1215" ht="22" customHeight="1">
      <c r="B1215" s="5" t="inlineStr">
        <is>
          <t>MTR-DYE-001</t>
        </is>
      </c>
      <c r="C1215" s="5" t="inlineStr">
        <is>
          <t>2024-04-29</t>
        </is>
      </c>
      <c r="D1215" s="11" t="n">
        <v>50.41</v>
      </c>
      <c r="E1215" s="11" t="n">
        <v>50</v>
      </c>
      <c r="F1215" s="11">
        <f>ROUND(D1215-E1215,2)</f>
        <v/>
      </c>
      <c r="G1215" s="13">
        <f>IFERROR(ROUND(F1215/E1215,4),"")</f>
        <v/>
      </c>
      <c r="H1215" s="14">
        <f>IF(D1215=0,"NO DATA",IF(D1215&gt;E1215*1.5,"OVER",IF(D1215&gt;E1215*1.1,"HIGH",IF(D1215&lt;E1215*0.5,"LOW","OK"))))</f>
        <v/>
      </c>
    </row>
    <row r="1216" ht="22" customHeight="1">
      <c r="B1216" s="8" t="inlineStr">
        <is>
          <t>MTR-DYE-001</t>
        </is>
      </c>
      <c r="C1216" s="8" t="inlineStr">
        <is>
          <t>2024-04-30</t>
        </is>
      </c>
      <c r="D1216" s="12" t="n">
        <v>57.99</v>
      </c>
      <c r="E1216" s="12" t="n">
        <v>50</v>
      </c>
      <c r="F1216" s="12">
        <f>ROUND(D1216-E1216,2)</f>
        <v/>
      </c>
      <c r="G1216" s="15">
        <f>IFERROR(ROUND(F1216/E1216,4),"")</f>
        <v/>
      </c>
      <c r="H1216" s="16">
        <f>IF(D1216=0,"NO DATA",IF(D1216&gt;E1216*1.5,"OVER",IF(D1216&gt;E1216*1.1,"HIGH",IF(D1216&lt;E1216*0.5,"LOW","OK"))))</f>
        <v/>
      </c>
    </row>
    <row r="1217" ht="22" customHeight="1">
      <c r="B1217" s="5" t="inlineStr">
        <is>
          <t>MTR-DYE-001</t>
        </is>
      </c>
      <c r="C1217" s="5" t="inlineStr">
        <is>
          <t>2024-05-01</t>
        </is>
      </c>
      <c r="D1217" s="11" t="n">
        <v>50.27</v>
      </c>
      <c r="E1217" s="11" t="n">
        <v>50</v>
      </c>
      <c r="F1217" s="11">
        <f>ROUND(D1217-E1217,2)</f>
        <v/>
      </c>
      <c r="G1217" s="13">
        <f>IFERROR(ROUND(F1217/E1217,4),"")</f>
        <v/>
      </c>
      <c r="H1217" s="14">
        <f>IF(D1217=0,"NO DATA",IF(D1217&gt;E1217*1.5,"OVER",IF(D1217&gt;E1217*1.1,"HIGH",IF(D1217&lt;E1217*0.5,"LOW","OK"))))</f>
        <v/>
      </c>
    </row>
    <row r="1218" ht="22" customHeight="1">
      <c r="B1218" s="8" t="inlineStr">
        <is>
          <t>MTR-DYE-001</t>
        </is>
      </c>
      <c r="C1218" s="8" t="inlineStr">
        <is>
          <t>2024-05-02</t>
        </is>
      </c>
      <c r="D1218" s="12" t="n">
        <v>46.61</v>
      </c>
      <c r="E1218" s="12" t="n">
        <v>50</v>
      </c>
      <c r="F1218" s="12">
        <f>ROUND(D1218-E1218,2)</f>
        <v/>
      </c>
      <c r="G1218" s="15">
        <f>IFERROR(ROUND(F1218/E1218,4),"")</f>
        <v/>
      </c>
      <c r="H1218" s="16">
        <f>IF(D1218=0,"NO DATA",IF(D1218&gt;E1218*1.5,"OVER",IF(D1218&gt;E1218*1.1,"HIGH",IF(D1218&lt;E1218*0.5,"LOW","OK"))))</f>
        <v/>
      </c>
    </row>
    <row r="1219" ht="22" customHeight="1">
      <c r="B1219" s="5" t="inlineStr">
        <is>
          <t>MTR-DYE-001</t>
        </is>
      </c>
      <c r="C1219" s="5" t="inlineStr">
        <is>
          <t>2024-05-03</t>
        </is>
      </c>
      <c r="D1219" s="11" t="n">
        <v>55.8</v>
      </c>
      <c r="E1219" s="11" t="n">
        <v>50</v>
      </c>
      <c r="F1219" s="11">
        <f>ROUND(D1219-E1219,2)</f>
        <v/>
      </c>
      <c r="G1219" s="13">
        <f>IFERROR(ROUND(F1219/E1219,4),"")</f>
        <v/>
      </c>
      <c r="H1219" s="14">
        <f>IF(D1219=0,"NO DATA",IF(D1219&gt;E1219*1.5,"OVER",IF(D1219&gt;E1219*1.1,"HIGH",IF(D1219&lt;E1219*0.5,"LOW","OK"))))</f>
        <v/>
      </c>
    </row>
    <row r="1220" ht="22" customHeight="1">
      <c r="B1220" s="8" t="inlineStr">
        <is>
          <t>MTR-DYE-001</t>
        </is>
      </c>
      <c r="C1220" s="8" t="inlineStr">
        <is>
          <t>2024-05-04</t>
        </is>
      </c>
      <c r="D1220" s="12" t="n">
        <v>44.01</v>
      </c>
      <c r="E1220" s="12" t="n">
        <v>50</v>
      </c>
      <c r="F1220" s="12">
        <f>ROUND(D1220-E1220,2)</f>
        <v/>
      </c>
      <c r="G1220" s="15">
        <f>IFERROR(ROUND(F1220/E1220,4),"")</f>
        <v/>
      </c>
      <c r="H1220" s="16">
        <f>IF(D1220=0,"NO DATA",IF(D1220&gt;E1220*1.5,"OVER",IF(D1220&gt;E1220*1.1,"HIGH",IF(D1220&lt;E1220*0.5,"LOW","OK"))))</f>
        <v/>
      </c>
    </row>
    <row r="1221" ht="22" customHeight="1">
      <c r="B1221" s="5" t="inlineStr">
        <is>
          <t>MTR-DYE-001</t>
        </is>
      </c>
      <c r="C1221" s="5" t="inlineStr">
        <is>
          <t>2024-05-05</t>
        </is>
      </c>
      <c r="D1221" s="11" t="n">
        <v>26.76</v>
      </c>
      <c r="E1221" s="11" t="n">
        <v>50</v>
      </c>
      <c r="F1221" s="11">
        <f>ROUND(D1221-E1221,2)</f>
        <v/>
      </c>
      <c r="G1221" s="13">
        <f>IFERROR(ROUND(F1221/E1221,4),"")</f>
        <v/>
      </c>
      <c r="H1221" s="14">
        <f>IF(D1221=0,"NO DATA",IF(D1221&gt;E1221*1.5,"OVER",IF(D1221&gt;E1221*1.1,"HIGH",IF(D1221&lt;E1221*0.5,"LOW","OK"))))</f>
        <v/>
      </c>
    </row>
    <row r="1222" ht="22" customHeight="1">
      <c r="B1222" s="8" t="inlineStr">
        <is>
          <t>MTR-DYE-001</t>
        </is>
      </c>
      <c r="C1222" s="8" t="inlineStr">
        <is>
          <t>2024-05-06</t>
        </is>
      </c>
      <c r="D1222" s="12" t="n">
        <v>47.38</v>
      </c>
      <c r="E1222" s="12" t="n">
        <v>50</v>
      </c>
      <c r="F1222" s="12">
        <f>ROUND(D1222-E1222,2)</f>
        <v/>
      </c>
      <c r="G1222" s="15">
        <f>IFERROR(ROUND(F1222/E1222,4),"")</f>
        <v/>
      </c>
      <c r="H1222" s="16">
        <f>IF(D1222=0,"NO DATA",IF(D1222&gt;E1222*1.5,"OVER",IF(D1222&gt;E1222*1.1,"HIGH",IF(D1222&lt;E1222*0.5,"LOW","OK"))))</f>
        <v/>
      </c>
    </row>
    <row r="1223" ht="22" customHeight="1">
      <c r="B1223" s="5" t="inlineStr">
        <is>
          <t>MTR-DYE-001</t>
        </is>
      </c>
      <c r="C1223" s="5" t="inlineStr">
        <is>
          <t>2024-05-07</t>
        </is>
      </c>
      <c r="D1223" s="11" t="n">
        <v>53.3</v>
      </c>
      <c r="E1223" s="11" t="n">
        <v>50</v>
      </c>
      <c r="F1223" s="11">
        <f>ROUND(D1223-E1223,2)</f>
        <v/>
      </c>
      <c r="G1223" s="13">
        <f>IFERROR(ROUND(F1223/E1223,4),"")</f>
        <v/>
      </c>
      <c r="H1223" s="14">
        <f>IF(D1223=0,"NO DATA",IF(D1223&gt;E1223*1.5,"OVER",IF(D1223&gt;E1223*1.1,"HIGH",IF(D1223&lt;E1223*0.5,"LOW","OK"))))</f>
        <v/>
      </c>
    </row>
    <row r="1224" ht="22" customHeight="1">
      <c r="B1224" s="8" t="inlineStr">
        <is>
          <t>MTR-DYE-001</t>
        </is>
      </c>
      <c r="C1224" s="8" t="inlineStr">
        <is>
          <t>2024-05-08</t>
        </is>
      </c>
      <c r="D1224" s="12" t="n">
        <v>50.29</v>
      </c>
      <c r="E1224" s="12" t="n">
        <v>50</v>
      </c>
      <c r="F1224" s="12">
        <f>ROUND(D1224-E1224,2)</f>
        <v/>
      </c>
      <c r="G1224" s="15">
        <f>IFERROR(ROUND(F1224/E1224,4),"")</f>
        <v/>
      </c>
      <c r="H1224" s="16">
        <f>IF(D1224=0,"NO DATA",IF(D1224&gt;E1224*1.5,"OVER",IF(D1224&gt;E1224*1.1,"HIGH",IF(D1224&lt;E1224*0.5,"LOW","OK"))))</f>
        <v/>
      </c>
    </row>
    <row r="1225" ht="22" customHeight="1">
      <c r="B1225" s="5" t="inlineStr">
        <is>
          <t>MTR-DYE-001</t>
        </is>
      </c>
      <c r="C1225" s="5" t="inlineStr">
        <is>
          <t>2024-05-09</t>
        </is>
      </c>
      <c r="D1225" s="11" t="n">
        <v>46.28</v>
      </c>
      <c r="E1225" s="11" t="n">
        <v>50</v>
      </c>
      <c r="F1225" s="11">
        <f>ROUND(D1225-E1225,2)</f>
        <v/>
      </c>
      <c r="G1225" s="13">
        <f>IFERROR(ROUND(F1225/E1225,4),"")</f>
        <v/>
      </c>
      <c r="H1225" s="14">
        <f>IF(D1225=0,"NO DATA",IF(D1225&gt;E1225*1.5,"OVER",IF(D1225&gt;E1225*1.1,"HIGH",IF(D1225&lt;E1225*0.5,"LOW","OK"))))</f>
        <v/>
      </c>
    </row>
    <row r="1226" ht="22" customHeight="1">
      <c r="B1226" s="8" t="inlineStr">
        <is>
          <t>MTR-DYE-001</t>
        </is>
      </c>
      <c r="C1226" s="8" t="inlineStr">
        <is>
          <t>2024-05-10</t>
        </is>
      </c>
      <c r="D1226" s="12" t="n">
        <v>53.86</v>
      </c>
      <c r="E1226" s="12" t="n">
        <v>50</v>
      </c>
      <c r="F1226" s="12">
        <f>ROUND(D1226-E1226,2)</f>
        <v/>
      </c>
      <c r="G1226" s="15">
        <f>IFERROR(ROUND(F1226/E1226,4),"")</f>
        <v/>
      </c>
      <c r="H1226" s="16">
        <f>IF(D1226=0,"NO DATA",IF(D1226&gt;E1226*1.5,"OVER",IF(D1226&gt;E1226*1.1,"HIGH",IF(D1226&lt;E1226*0.5,"LOW","OK"))))</f>
        <v/>
      </c>
    </row>
    <row r="1227" ht="22" customHeight="1">
      <c r="B1227" s="5" t="inlineStr">
        <is>
          <t>MTR-DYE-001</t>
        </is>
      </c>
      <c r="C1227" s="5" t="inlineStr">
        <is>
          <t>2024-05-11</t>
        </is>
      </c>
      <c r="D1227" s="11" t="n">
        <v>36.65</v>
      </c>
      <c r="E1227" s="11" t="n">
        <v>50</v>
      </c>
      <c r="F1227" s="11">
        <f>ROUND(D1227-E1227,2)</f>
        <v/>
      </c>
      <c r="G1227" s="13">
        <f>IFERROR(ROUND(F1227/E1227,4),"")</f>
        <v/>
      </c>
      <c r="H1227" s="14">
        <f>IF(D1227=0,"NO DATA",IF(D1227&gt;E1227*1.5,"OVER",IF(D1227&gt;E1227*1.1,"HIGH",IF(D1227&lt;E1227*0.5,"LOW","OK"))))</f>
        <v/>
      </c>
    </row>
    <row r="1228" ht="22" customHeight="1">
      <c r="B1228" s="8" t="inlineStr">
        <is>
          <t>MTR-DYE-001</t>
        </is>
      </c>
      <c r="C1228" s="8" t="inlineStr">
        <is>
          <t>2024-05-12</t>
        </is>
      </c>
      <c r="D1228" s="12" t="n">
        <v>27.78</v>
      </c>
      <c r="E1228" s="12" t="n">
        <v>50</v>
      </c>
      <c r="F1228" s="12">
        <f>ROUND(D1228-E1228,2)</f>
        <v/>
      </c>
      <c r="G1228" s="15">
        <f>IFERROR(ROUND(F1228/E1228,4),"")</f>
        <v/>
      </c>
      <c r="H1228" s="16">
        <f>IF(D1228=0,"NO DATA",IF(D1228&gt;E1228*1.5,"OVER",IF(D1228&gt;E1228*1.1,"HIGH",IF(D1228&lt;E1228*0.5,"LOW","OK"))))</f>
        <v/>
      </c>
    </row>
    <row r="1229" ht="22" customHeight="1">
      <c r="B1229" s="5" t="inlineStr">
        <is>
          <t>MTR-DYE-001</t>
        </is>
      </c>
      <c r="C1229" s="5" t="inlineStr">
        <is>
          <t>2024-05-13</t>
        </is>
      </c>
      <c r="D1229" s="11" t="n">
        <v>58.18</v>
      </c>
      <c r="E1229" s="11" t="n">
        <v>50</v>
      </c>
      <c r="F1229" s="11">
        <f>ROUND(D1229-E1229,2)</f>
        <v/>
      </c>
      <c r="G1229" s="13">
        <f>IFERROR(ROUND(F1229/E1229,4),"")</f>
        <v/>
      </c>
      <c r="H1229" s="14">
        <f>IF(D1229=0,"NO DATA",IF(D1229&gt;E1229*1.5,"OVER",IF(D1229&gt;E1229*1.1,"HIGH",IF(D1229&lt;E1229*0.5,"LOW","OK"))))</f>
        <v/>
      </c>
    </row>
    <row r="1230" ht="22" customHeight="1">
      <c r="B1230" s="8" t="inlineStr">
        <is>
          <t>MTR-DYE-001</t>
        </is>
      </c>
      <c r="C1230" s="8" t="inlineStr">
        <is>
          <t>2024-05-14</t>
        </is>
      </c>
      <c r="D1230" s="12" t="n">
        <v>57.43</v>
      </c>
      <c r="E1230" s="12" t="n">
        <v>50</v>
      </c>
      <c r="F1230" s="12">
        <f>ROUND(D1230-E1230,2)</f>
        <v/>
      </c>
      <c r="G1230" s="15">
        <f>IFERROR(ROUND(F1230/E1230,4),"")</f>
        <v/>
      </c>
      <c r="H1230" s="16">
        <f>IF(D1230=0,"NO DATA",IF(D1230&gt;E1230*1.5,"OVER",IF(D1230&gt;E1230*1.1,"HIGH",IF(D1230&lt;E1230*0.5,"LOW","OK"))))</f>
        <v/>
      </c>
    </row>
    <row r="1231" ht="22" customHeight="1">
      <c r="B1231" s="5" t="inlineStr">
        <is>
          <t>MTR-DYE-001</t>
        </is>
      </c>
      <c r="C1231" s="5" t="inlineStr">
        <is>
          <t>2024-05-15</t>
        </is>
      </c>
      <c r="D1231" s="11" t="n">
        <v>57.2</v>
      </c>
      <c r="E1231" s="11" t="n">
        <v>50</v>
      </c>
      <c r="F1231" s="11">
        <f>ROUND(D1231-E1231,2)</f>
        <v/>
      </c>
      <c r="G1231" s="13">
        <f>IFERROR(ROUND(F1231/E1231,4),"")</f>
        <v/>
      </c>
      <c r="H1231" s="14">
        <f>IF(D1231=0,"NO DATA",IF(D1231&gt;E1231*1.5,"OVER",IF(D1231&gt;E1231*1.1,"HIGH",IF(D1231&lt;E1231*0.5,"LOW","OK"))))</f>
        <v/>
      </c>
    </row>
    <row r="1232" ht="22" customHeight="1">
      <c r="B1232" s="8" t="inlineStr">
        <is>
          <t>MTR-DYE-001</t>
        </is>
      </c>
      <c r="C1232" s="8" t="inlineStr">
        <is>
          <t>2024-05-16</t>
        </is>
      </c>
      <c r="D1232" s="12" t="n">
        <v>53.79</v>
      </c>
      <c r="E1232" s="12" t="n">
        <v>50</v>
      </c>
      <c r="F1232" s="12">
        <f>ROUND(D1232-E1232,2)</f>
        <v/>
      </c>
      <c r="G1232" s="15">
        <f>IFERROR(ROUND(F1232/E1232,4),"")</f>
        <v/>
      </c>
      <c r="H1232" s="16">
        <f>IF(D1232=0,"NO DATA",IF(D1232&gt;E1232*1.5,"OVER",IF(D1232&gt;E1232*1.1,"HIGH",IF(D1232&lt;E1232*0.5,"LOW","OK"))))</f>
        <v/>
      </c>
    </row>
    <row r="1233" ht="22" customHeight="1">
      <c r="B1233" s="5" t="inlineStr">
        <is>
          <t>MTR-DYE-001</t>
        </is>
      </c>
      <c r="C1233" s="5" t="inlineStr">
        <is>
          <t>2024-05-17</t>
        </is>
      </c>
      <c r="D1233" s="11" t="n">
        <v>46.44</v>
      </c>
      <c r="E1233" s="11" t="n">
        <v>50</v>
      </c>
      <c r="F1233" s="11">
        <f>ROUND(D1233-E1233,2)</f>
        <v/>
      </c>
      <c r="G1233" s="13">
        <f>IFERROR(ROUND(F1233/E1233,4),"")</f>
        <v/>
      </c>
      <c r="H1233" s="14">
        <f>IF(D1233=0,"NO DATA",IF(D1233&gt;E1233*1.5,"OVER",IF(D1233&gt;E1233*1.1,"HIGH",IF(D1233&lt;E1233*0.5,"LOW","OK"))))</f>
        <v/>
      </c>
    </row>
    <row r="1234" ht="22" customHeight="1">
      <c r="B1234" s="8" t="inlineStr">
        <is>
          <t>MTR-DYE-001</t>
        </is>
      </c>
      <c r="C1234" s="8" t="inlineStr">
        <is>
          <t>2024-05-18</t>
        </is>
      </c>
      <c r="D1234" s="12" t="n">
        <v>39.3</v>
      </c>
      <c r="E1234" s="12" t="n">
        <v>50</v>
      </c>
      <c r="F1234" s="12">
        <f>ROUND(D1234-E1234,2)</f>
        <v/>
      </c>
      <c r="G1234" s="15">
        <f>IFERROR(ROUND(F1234/E1234,4),"")</f>
        <v/>
      </c>
      <c r="H1234" s="16">
        <f>IF(D1234=0,"NO DATA",IF(D1234&gt;E1234*1.5,"OVER",IF(D1234&gt;E1234*1.1,"HIGH",IF(D1234&lt;E1234*0.5,"LOW","OK"))))</f>
        <v/>
      </c>
    </row>
    <row r="1235" ht="22" customHeight="1">
      <c r="B1235" s="5" t="inlineStr">
        <is>
          <t>MTR-DYE-001</t>
        </is>
      </c>
      <c r="C1235" s="5" t="inlineStr">
        <is>
          <t>2024-05-19</t>
        </is>
      </c>
      <c r="D1235" s="11" t="n">
        <v>29.87</v>
      </c>
      <c r="E1235" s="11" t="n">
        <v>50</v>
      </c>
      <c r="F1235" s="11">
        <f>ROUND(D1235-E1235,2)</f>
        <v/>
      </c>
      <c r="G1235" s="13">
        <f>IFERROR(ROUND(F1235/E1235,4),"")</f>
        <v/>
      </c>
      <c r="H1235" s="14">
        <f>IF(D1235=0,"NO DATA",IF(D1235&gt;E1235*1.5,"OVER",IF(D1235&gt;E1235*1.1,"HIGH",IF(D1235&lt;E1235*0.5,"LOW","OK"))))</f>
        <v/>
      </c>
    </row>
    <row r="1236" ht="22" customHeight="1">
      <c r="B1236" s="8" t="inlineStr">
        <is>
          <t>MTR-DYE-001</t>
        </is>
      </c>
      <c r="C1236" s="8" t="inlineStr">
        <is>
          <t>2024-05-20</t>
        </is>
      </c>
      <c r="D1236" s="12" t="n">
        <v>46.75</v>
      </c>
      <c r="E1236" s="12" t="n">
        <v>50</v>
      </c>
      <c r="F1236" s="12">
        <f>ROUND(D1236-E1236,2)</f>
        <v/>
      </c>
      <c r="G1236" s="15">
        <f>IFERROR(ROUND(F1236/E1236,4),"")</f>
        <v/>
      </c>
      <c r="H1236" s="16">
        <f>IF(D1236=0,"NO DATA",IF(D1236&gt;E1236*1.5,"OVER",IF(D1236&gt;E1236*1.1,"HIGH",IF(D1236&lt;E1236*0.5,"LOW","OK"))))</f>
        <v/>
      </c>
    </row>
    <row r="1237" ht="22" customHeight="1">
      <c r="B1237" s="5" t="inlineStr">
        <is>
          <t>MTR-DYE-001</t>
        </is>
      </c>
      <c r="C1237" s="5" t="inlineStr">
        <is>
          <t>2024-05-21</t>
        </is>
      </c>
      <c r="D1237" s="11" t="n">
        <v>54.46</v>
      </c>
      <c r="E1237" s="11" t="n">
        <v>50</v>
      </c>
      <c r="F1237" s="11">
        <f>ROUND(D1237-E1237,2)</f>
        <v/>
      </c>
      <c r="G1237" s="13">
        <f>IFERROR(ROUND(F1237/E1237,4),"")</f>
        <v/>
      </c>
      <c r="H1237" s="14">
        <f>IF(D1237=0,"NO DATA",IF(D1237&gt;E1237*1.5,"OVER",IF(D1237&gt;E1237*1.1,"HIGH",IF(D1237&lt;E1237*0.5,"LOW","OK"))))</f>
        <v/>
      </c>
    </row>
    <row r="1238" ht="22" customHeight="1">
      <c r="B1238" s="8" t="inlineStr">
        <is>
          <t>MTR-DYE-001</t>
        </is>
      </c>
      <c r="C1238" s="8" t="inlineStr">
        <is>
          <t>2024-05-22</t>
        </is>
      </c>
      <c r="D1238" s="12" t="n">
        <v>55.53</v>
      </c>
      <c r="E1238" s="12" t="n">
        <v>50</v>
      </c>
      <c r="F1238" s="12">
        <f>ROUND(D1238-E1238,2)</f>
        <v/>
      </c>
      <c r="G1238" s="15">
        <f>IFERROR(ROUND(F1238/E1238,4),"")</f>
        <v/>
      </c>
      <c r="H1238" s="16">
        <f>IF(D1238=0,"NO DATA",IF(D1238&gt;E1238*1.5,"OVER",IF(D1238&gt;E1238*1.1,"HIGH",IF(D1238&lt;E1238*0.5,"LOW","OK"))))</f>
        <v/>
      </c>
    </row>
    <row r="1239" ht="22" customHeight="1">
      <c r="B1239" s="5" t="inlineStr">
        <is>
          <t>MTR-DYE-001</t>
        </is>
      </c>
      <c r="C1239" s="5" t="inlineStr">
        <is>
          <t>2024-05-23</t>
        </is>
      </c>
      <c r="D1239" s="11" t="n">
        <v>55.07</v>
      </c>
      <c r="E1239" s="11" t="n">
        <v>50</v>
      </c>
      <c r="F1239" s="11">
        <f>ROUND(D1239-E1239,2)</f>
        <v/>
      </c>
      <c r="G1239" s="13">
        <f>IFERROR(ROUND(F1239/E1239,4),"")</f>
        <v/>
      </c>
      <c r="H1239" s="14">
        <f>IF(D1239=0,"NO DATA",IF(D1239&gt;E1239*1.5,"OVER",IF(D1239&gt;E1239*1.1,"HIGH",IF(D1239&lt;E1239*0.5,"LOW","OK"))))</f>
        <v/>
      </c>
    </row>
    <row r="1240" ht="22" customHeight="1">
      <c r="B1240" s="8" t="inlineStr">
        <is>
          <t>MTR-DYE-001</t>
        </is>
      </c>
      <c r="C1240" s="8" t="inlineStr">
        <is>
          <t>2024-05-24</t>
        </is>
      </c>
      <c r="D1240" s="12" t="n">
        <v>57</v>
      </c>
      <c r="E1240" s="12" t="n">
        <v>50</v>
      </c>
      <c r="F1240" s="12">
        <f>ROUND(D1240-E1240,2)</f>
        <v/>
      </c>
      <c r="G1240" s="15">
        <f>IFERROR(ROUND(F1240/E1240,4),"")</f>
        <v/>
      </c>
      <c r="H1240" s="16">
        <f>IF(D1240=0,"NO DATA",IF(D1240&gt;E1240*1.5,"OVER",IF(D1240&gt;E1240*1.1,"HIGH",IF(D1240&lt;E1240*0.5,"LOW","OK"))))</f>
        <v/>
      </c>
    </row>
    <row r="1241" ht="22" customHeight="1">
      <c r="B1241" s="5" t="inlineStr">
        <is>
          <t>MTR-DYE-001</t>
        </is>
      </c>
      <c r="C1241" s="5" t="inlineStr">
        <is>
          <t>2024-05-25</t>
        </is>
      </c>
      <c r="D1241" s="11" t="n">
        <v>46.84</v>
      </c>
      <c r="E1241" s="11" t="n">
        <v>50</v>
      </c>
      <c r="F1241" s="11">
        <f>ROUND(D1241-E1241,2)</f>
        <v/>
      </c>
      <c r="G1241" s="13">
        <f>IFERROR(ROUND(F1241/E1241,4),"")</f>
        <v/>
      </c>
      <c r="H1241" s="14">
        <f>IF(D1241=0,"NO DATA",IF(D1241&gt;E1241*1.5,"OVER",IF(D1241&gt;E1241*1.1,"HIGH",IF(D1241&lt;E1241*0.5,"LOW","OK"))))</f>
        <v/>
      </c>
    </row>
    <row r="1242" ht="22" customHeight="1">
      <c r="B1242" s="8" t="inlineStr">
        <is>
          <t>MTR-DYE-001</t>
        </is>
      </c>
      <c r="C1242" s="8" t="inlineStr">
        <is>
          <t>2024-05-26</t>
        </is>
      </c>
      <c r="D1242" s="12" t="n">
        <v>26.87</v>
      </c>
      <c r="E1242" s="12" t="n">
        <v>50</v>
      </c>
      <c r="F1242" s="12">
        <f>ROUND(D1242-E1242,2)</f>
        <v/>
      </c>
      <c r="G1242" s="15">
        <f>IFERROR(ROUND(F1242/E1242,4),"")</f>
        <v/>
      </c>
      <c r="H1242" s="16">
        <f>IF(D1242=0,"NO DATA",IF(D1242&gt;E1242*1.5,"OVER",IF(D1242&gt;E1242*1.1,"HIGH",IF(D1242&lt;E1242*0.5,"LOW","OK"))))</f>
        <v/>
      </c>
    </row>
    <row r="1243" ht="22" customHeight="1">
      <c r="B1243" s="5" t="inlineStr">
        <is>
          <t>MTR-DYE-001</t>
        </is>
      </c>
      <c r="C1243" s="5" t="inlineStr">
        <is>
          <t>2024-05-27</t>
        </is>
      </c>
      <c r="D1243" s="11" t="n">
        <v>51.92</v>
      </c>
      <c r="E1243" s="11" t="n">
        <v>50</v>
      </c>
      <c r="F1243" s="11">
        <f>ROUND(D1243-E1243,2)</f>
        <v/>
      </c>
      <c r="G1243" s="13">
        <f>IFERROR(ROUND(F1243/E1243,4),"")</f>
        <v/>
      </c>
      <c r="H1243" s="14">
        <f>IF(D1243=0,"NO DATA",IF(D1243&gt;E1243*1.5,"OVER",IF(D1243&gt;E1243*1.1,"HIGH",IF(D1243&lt;E1243*0.5,"LOW","OK"))))</f>
        <v/>
      </c>
    </row>
    <row r="1244" ht="22" customHeight="1">
      <c r="B1244" s="8" t="inlineStr">
        <is>
          <t>MTR-DYE-001</t>
        </is>
      </c>
      <c r="C1244" s="8" t="inlineStr">
        <is>
          <t>2024-05-28</t>
        </is>
      </c>
      <c r="D1244" s="12" t="n">
        <v>56.53</v>
      </c>
      <c r="E1244" s="12" t="n">
        <v>50</v>
      </c>
      <c r="F1244" s="12">
        <f>ROUND(D1244-E1244,2)</f>
        <v/>
      </c>
      <c r="G1244" s="15">
        <f>IFERROR(ROUND(F1244/E1244,4),"")</f>
        <v/>
      </c>
      <c r="H1244" s="16">
        <f>IF(D1244=0,"NO DATA",IF(D1244&gt;E1244*1.5,"OVER",IF(D1244&gt;E1244*1.1,"HIGH",IF(D1244&lt;E1244*0.5,"LOW","OK"))))</f>
        <v/>
      </c>
    </row>
    <row r="1245" ht="22" customHeight="1">
      <c r="B1245" s="5" t="inlineStr">
        <is>
          <t>MTR-DYE-001</t>
        </is>
      </c>
      <c r="C1245" s="5" t="inlineStr">
        <is>
          <t>2024-05-29</t>
        </is>
      </c>
      <c r="D1245" s="11" t="n">
        <v>51.75</v>
      </c>
      <c r="E1245" s="11" t="n">
        <v>50</v>
      </c>
      <c r="F1245" s="11">
        <f>ROUND(D1245-E1245,2)</f>
        <v/>
      </c>
      <c r="G1245" s="13">
        <f>IFERROR(ROUND(F1245/E1245,4),"")</f>
        <v/>
      </c>
      <c r="H1245" s="14">
        <f>IF(D1245=0,"NO DATA",IF(D1245&gt;E1245*1.5,"OVER",IF(D1245&gt;E1245*1.1,"HIGH",IF(D1245&lt;E1245*0.5,"LOW","OK"))))</f>
        <v/>
      </c>
    </row>
    <row r="1246" ht="22" customHeight="1">
      <c r="B1246" s="8" t="inlineStr">
        <is>
          <t>MTR-DYE-001</t>
        </is>
      </c>
      <c r="C1246" s="8" t="inlineStr">
        <is>
          <t>2024-05-30</t>
        </is>
      </c>
      <c r="D1246" s="12" t="n">
        <v>51.43</v>
      </c>
      <c r="E1246" s="12" t="n">
        <v>50</v>
      </c>
      <c r="F1246" s="12">
        <f>ROUND(D1246-E1246,2)</f>
        <v/>
      </c>
      <c r="G1246" s="15">
        <f>IFERROR(ROUND(F1246/E1246,4),"")</f>
        <v/>
      </c>
      <c r="H1246" s="16">
        <f>IF(D1246=0,"NO DATA",IF(D1246&gt;E1246*1.5,"OVER",IF(D1246&gt;E1246*1.1,"HIGH",IF(D1246&lt;E1246*0.5,"LOW","OK"))))</f>
        <v/>
      </c>
    </row>
    <row r="1247" ht="22" customHeight="1">
      <c r="B1247" s="5" t="inlineStr">
        <is>
          <t>MTR-DYE-001</t>
        </is>
      </c>
      <c r="C1247" s="5" t="inlineStr">
        <is>
          <t>2024-05-31</t>
        </is>
      </c>
      <c r="D1247" s="11" t="n">
        <v>48.73</v>
      </c>
      <c r="E1247" s="11" t="n">
        <v>50</v>
      </c>
      <c r="F1247" s="11">
        <f>ROUND(D1247-E1247,2)</f>
        <v/>
      </c>
      <c r="G1247" s="13">
        <f>IFERROR(ROUND(F1247/E1247,4),"")</f>
        <v/>
      </c>
      <c r="H1247" s="14">
        <f>IF(D1247=0,"NO DATA",IF(D1247&gt;E1247*1.5,"OVER",IF(D1247&gt;E1247*1.1,"HIGH",IF(D1247&lt;E1247*0.5,"LOW","OK"))))</f>
        <v/>
      </c>
    </row>
    <row r="1248" ht="22" customHeight="1">
      <c r="B1248" s="8" t="inlineStr">
        <is>
          <t>MTR-DYE-001</t>
        </is>
      </c>
      <c r="C1248" s="8" t="inlineStr">
        <is>
          <t>2024-06-01</t>
        </is>
      </c>
      <c r="D1248" s="12" t="n">
        <v>44.96</v>
      </c>
      <c r="E1248" s="12" t="n">
        <v>50</v>
      </c>
      <c r="F1248" s="12">
        <f>ROUND(D1248-E1248,2)</f>
        <v/>
      </c>
      <c r="G1248" s="15">
        <f>IFERROR(ROUND(F1248/E1248,4),"")</f>
        <v/>
      </c>
      <c r="H1248" s="16">
        <f>IF(D1248=0,"NO DATA",IF(D1248&gt;E1248*1.5,"OVER",IF(D1248&gt;E1248*1.1,"HIGH",IF(D1248&lt;E1248*0.5,"LOW","OK"))))</f>
        <v/>
      </c>
    </row>
    <row r="1249" ht="22" customHeight="1">
      <c r="B1249" s="5" t="inlineStr">
        <is>
          <t>MTR-DYE-001</t>
        </is>
      </c>
      <c r="C1249" s="5" t="inlineStr">
        <is>
          <t>2024-06-02</t>
        </is>
      </c>
      <c r="D1249" s="11" t="n">
        <v>25.2</v>
      </c>
      <c r="E1249" s="11" t="n">
        <v>50</v>
      </c>
      <c r="F1249" s="11">
        <f>ROUND(D1249-E1249,2)</f>
        <v/>
      </c>
      <c r="G1249" s="13">
        <f>IFERROR(ROUND(F1249/E1249,4),"")</f>
        <v/>
      </c>
      <c r="H1249" s="14">
        <f>IF(D1249=0,"NO DATA",IF(D1249&gt;E1249*1.5,"OVER",IF(D1249&gt;E1249*1.1,"HIGH",IF(D1249&lt;E1249*0.5,"LOW","OK"))))</f>
        <v/>
      </c>
    </row>
    <row r="1250" ht="22" customHeight="1">
      <c r="B1250" s="8" t="inlineStr">
        <is>
          <t>MTR-DYE-001</t>
        </is>
      </c>
      <c r="C1250" s="8" t="inlineStr">
        <is>
          <t>2024-06-03</t>
        </is>
      </c>
      <c r="D1250" s="12" t="n">
        <v>49</v>
      </c>
      <c r="E1250" s="12" t="n">
        <v>50</v>
      </c>
      <c r="F1250" s="12">
        <f>ROUND(D1250-E1250,2)</f>
        <v/>
      </c>
      <c r="G1250" s="15">
        <f>IFERROR(ROUND(F1250/E1250,4),"")</f>
        <v/>
      </c>
      <c r="H1250" s="16">
        <f>IF(D1250=0,"NO DATA",IF(D1250&gt;E1250*1.5,"OVER",IF(D1250&gt;E1250*1.1,"HIGH",IF(D1250&lt;E1250*0.5,"LOW","OK"))))</f>
        <v/>
      </c>
    </row>
    <row r="1251" ht="22" customHeight="1">
      <c r="B1251" s="5" t="inlineStr">
        <is>
          <t>MTR-DYE-001</t>
        </is>
      </c>
      <c r="C1251" s="5" t="inlineStr">
        <is>
          <t>2024-06-04</t>
        </is>
      </c>
      <c r="D1251" s="11" t="n">
        <v>60.07</v>
      </c>
      <c r="E1251" s="11" t="n">
        <v>50</v>
      </c>
      <c r="F1251" s="11">
        <f>ROUND(D1251-E1251,2)</f>
        <v/>
      </c>
      <c r="G1251" s="13">
        <f>IFERROR(ROUND(F1251/E1251,4),"")</f>
        <v/>
      </c>
      <c r="H1251" s="14">
        <f>IF(D1251=0,"NO DATA",IF(D1251&gt;E1251*1.5,"OVER",IF(D1251&gt;E1251*1.1,"HIGH",IF(D1251&lt;E1251*0.5,"LOW","OK"))))</f>
        <v/>
      </c>
    </row>
    <row r="1252" ht="22" customHeight="1">
      <c r="B1252" s="8" t="inlineStr">
        <is>
          <t>MTR-DYE-001</t>
        </is>
      </c>
      <c r="C1252" s="8" t="inlineStr">
        <is>
          <t>2024-06-05</t>
        </is>
      </c>
      <c r="D1252" s="12" t="n">
        <v>46.62</v>
      </c>
      <c r="E1252" s="12" t="n">
        <v>50</v>
      </c>
      <c r="F1252" s="12">
        <f>ROUND(D1252-E1252,2)</f>
        <v/>
      </c>
      <c r="G1252" s="15">
        <f>IFERROR(ROUND(F1252/E1252,4),"")</f>
        <v/>
      </c>
      <c r="H1252" s="16">
        <f>IF(D1252=0,"NO DATA",IF(D1252&gt;E1252*1.5,"OVER",IF(D1252&gt;E1252*1.1,"HIGH",IF(D1252&lt;E1252*0.5,"LOW","OK"))))</f>
        <v/>
      </c>
    </row>
    <row r="1253" ht="22" customHeight="1">
      <c r="B1253" s="5" t="inlineStr">
        <is>
          <t>MTR-DYE-001</t>
        </is>
      </c>
      <c r="C1253" s="5" t="inlineStr">
        <is>
          <t>2024-06-06</t>
        </is>
      </c>
      <c r="D1253" s="11" t="n">
        <v>53.99</v>
      </c>
      <c r="E1253" s="11" t="n">
        <v>50</v>
      </c>
      <c r="F1253" s="11">
        <f>ROUND(D1253-E1253,2)</f>
        <v/>
      </c>
      <c r="G1253" s="13">
        <f>IFERROR(ROUND(F1253/E1253,4),"")</f>
        <v/>
      </c>
      <c r="H1253" s="14">
        <f>IF(D1253=0,"NO DATA",IF(D1253&gt;E1253*1.5,"OVER",IF(D1253&gt;E1253*1.1,"HIGH",IF(D1253&lt;E1253*0.5,"LOW","OK"))))</f>
        <v/>
      </c>
    </row>
    <row r="1254" ht="22" customHeight="1">
      <c r="B1254" s="8" t="inlineStr">
        <is>
          <t>MTR-DYE-001</t>
        </is>
      </c>
      <c r="C1254" s="8" t="inlineStr">
        <is>
          <t>2024-06-07</t>
        </is>
      </c>
      <c r="D1254" s="12" t="n">
        <v>56.62</v>
      </c>
      <c r="E1254" s="12" t="n">
        <v>50</v>
      </c>
      <c r="F1254" s="12">
        <f>ROUND(D1254-E1254,2)</f>
        <v/>
      </c>
      <c r="G1254" s="15">
        <f>IFERROR(ROUND(F1254/E1254,4),"")</f>
        <v/>
      </c>
      <c r="H1254" s="16">
        <f>IF(D1254=0,"NO DATA",IF(D1254&gt;E1254*1.5,"OVER",IF(D1254&gt;E1254*1.1,"HIGH",IF(D1254&lt;E1254*0.5,"LOW","OK"))))</f>
        <v/>
      </c>
    </row>
    <row r="1255" ht="22" customHeight="1">
      <c r="B1255" s="5" t="inlineStr">
        <is>
          <t>MTR-DYE-001</t>
        </is>
      </c>
      <c r="C1255" s="5" t="inlineStr">
        <is>
          <t>2024-06-08</t>
        </is>
      </c>
      <c r="D1255" s="11" t="n">
        <v>40.36</v>
      </c>
      <c r="E1255" s="11" t="n">
        <v>50</v>
      </c>
      <c r="F1255" s="11">
        <f>ROUND(D1255-E1255,2)</f>
        <v/>
      </c>
      <c r="G1255" s="13">
        <f>IFERROR(ROUND(F1255/E1255,4),"")</f>
        <v/>
      </c>
      <c r="H1255" s="14">
        <f>IF(D1255=0,"NO DATA",IF(D1255&gt;E1255*1.5,"OVER",IF(D1255&gt;E1255*1.1,"HIGH",IF(D1255&lt;E1255*0.5,"LOW","OK"))))</f>
        <v/>
      </c>
    </row>
    <row r="1256" ht="22" customHeight="1">
      <c r="B1256" s="8" t="inlineStr">
        <is>
          <t>MTR-DYE-001</t>
        </is>
      </c>
      <c r="C1256" s="8" t="inlineStr">
        <is>
          <t>2024-06-09</t>
        </is>
      </c>
      <c r="D1256" s="12" t="n">
        <v>28.48</v>
      </c>
      <c r="E1256" s="12" t="n">
        <v>50</v>
      </c>
      <c r="F1256" s="12">
        <f>ROUND(D1256-E1256,2)</f>
        <v/>
      </c>
      <c r="G1256" s="15">
        <f>IFERROR(ROUND(F1256/E1256,4),"")</f>
        <v/>
      </c>
      <c r="H1256" s="16">
        <f>IF(D1256=0,"NO DATA",IF(D1256&gt;E1256*1.5,"OVER",IF(D1256&gt;E1256*1.1,"HIGH",IF(D1256&lt;E1256*0.5,"LOW","OK"))))</f>
        <v/>
      </c>
    </row>
    <row r="1257" ht="22" customHeight="1">
      <c r="B1257" s="5" t="inlineStr">
        <is>
          <t>MTR-DYE-001</t>
        </is>
      </c>
      <c r="C1257" s="5" t="inlineStr">
        <is>
          <t>2024-06-10</t>
        </is>
      </c>
      <c r="D1257" s="11" t="n">
        <v>47.51</v>
      </c>
      <c r="E1257" s="11" t="n">
        <v>50</v>
      </c>
      <c r="F1257" s="11">
        <f>ROUND(D1257-E1257,2)</f>
        <v/>
      </c>
      <c r="G1257" s="13">
        <f>IFERROR(ROUND(F1257/E1257,4),"")</f>
        <v/>
      </c>
      <c r="H1257" s="14">
        <f>IF(D1257=0,"NO DATA",IF(D1257&gt;E1257*1.5,"OVER",IF(D1257&gt;E1257*1.1,"HIGH",IF(D1257&lt;E1257*0.5,"LOW","OK"))))</f>
        <v/>
      </c>
    </row>
    <row r="1258" ht="22" customHeight="1">
      <c r="B1258" s="8" t="inlineStr">
        <is>
          <t>MTR-DYE-001</t>
        </is>
      </c>
      <c r="C1258" s="8" t="inlineStr">
        <is>
          <t>2024-06-11</t>
        </is>
      </c>
      <c r="D1258" s="12" t="n">
        <v>61.78</v>
      </c>
      <c r="E1258" s="12" t="n">
        <v>50</v>
      </c>
      <c r="F1258" s="12">
        <f>ROUND(D1258-E1258,2)</f>
        <v/>
      </c>
      <c r="G1258" s="15">
        <f>IFERROR(ROUND(F1258/E1258,4),"")</f>
        <v/>
      </c>
      <c r="H1258" s="16">
        <f>IF(D1258=0,"NO DATA",IF(D1258&gt;E1258*1.5,"OVER",IF(D1258&gt;E1258*1.1,"HIGH",IF(D1258&lt;E1258*0.5,"LOW","OK"))))</f>
        <v/>
      </c>
    </row>
    <row r="1259" ht="22" customHeight="1">
      <c r="B1259" s="5" t="inlineStr">
        <is>
          <t>MTR-DYE-001</t>
        </is>
      </c>
      <c r="C1259" s="5" t="inlineStr">
        <is>
          <t>2024-06-12</t>
        </is>
      </c>
      <c r="D1259" s="11" t="n">
        <v>51.73</v>
      </c>
      <c r="E1259" s="11" t="n">
        <v>50</v>
      </c>
      <c r="F1259" s="11">
        <f>ROUND(D1259-E1259,2)</f>
        <v/>
      </c>
      <c r="G1259" s="13">
        <f>IFERROR(ROUND(F1259/E1259,4),"")</f>
        <v/>
      </c>
      <c r="H1259" s="14">
        <f>IF(D1259=0,"NO DATA",IF(D1259&gt;E1259*1.5,"OVER",IF(D1259&gt;E1259*1.1,"HIGH",IF(D1259&lt;E1259*0.5,"LOW","OK"))))</f>
        <v/>
      </c>
    </row>
    <row r="1260" ht="22" customHeight="1">
      <c r="B1260" s="8" t="inlineStr">
        <is>
          <t>MTR-DYE-001</t>
        </is>
      </c>
      <c r="C1260" s="8" t="inlineStr">
        <is>
          <t>2024-06-13</t>
        </is>
      </c>
      <c r="D1260" s="12" t="n">
        <v>50.13</v>
      </c>
      <c r="E1260" s="12" t="n">
        <v>50</v>
      </c>
      <c r="F1260" s="12">
        <f>ROUND(D1260-E1260,2)</f>
        <v/>
      </c>
      <c r="G1260" s="15">
        <f>IFERROR(ROUND(F1260/E1260,4),"")</f>
        <v/>
      </c>
      <c r="H1260" s="16">
        <f>IF(D1260=0,"NO DATA",IF(D1260&gt;E1260*1.5,"OVER",IF(D1260&gt;E1260*1.1,"HIGH",IF(D1260&lt;E1260*0.5,"LOW","OK"))))</f>
        <v/>
      </c>
    </row>
    <row r="1261" ht="22" customHeight="1">
      <c r="B1261" s="5" t="inlineStr">
        <is>
          <t>MTR-DYE-001</t>
        </is>
      </c>
      <c r="C1261" s="5" t="inlineStr">
        <is>
          <t>2024-06-14</t>
        </is>
      </c>
      <c r="D1261" s="11" t="n">
        <v>59.45</v>
      </c>
      <c r="E1261" s="11" t="n">
        <v>50</v>
      </c>
      <c r="F1261" s="11">
        <f>ROUND(D1261-E1261,2)</f>
        <v/>
      </c>
      <c r="G1261" s="13">
        <f>IFERROR(ROUND(F1261/E1261,4),"")</f>
        <v/>
      </c>
      <c r="H1261" s="14">
        <f>IF(D1261=0,"NO DATA",IF(D1261&gt;E1261*1.5,"OVER",IF(D1261&gt;E1261*1.1,"HIGH",IF(D1261&lt;E1261*0.5,"LOW","OK"))))</f>
        <v/>
      </c>
    </row>
    <row r="1262" ht="22" customHeight="1">
      <c r="B1262" s="8" t="inlineStr">
        <is>
          <t>MTR-DYE-001</t>
        </is>
      </c>
      <c r="C1262" s="8" t="inlineStr">
        <is>
          <t>2024-06-15</t>
        </is>
      </c>
      <c r="D1262" s="12" t="n">
        <v>49.86</v>
      </c>
      <c r="E1262" s="12" t="n">
        <v>50</v>
      </c>
      <c r="F1262" s="12">
        <f>ROUND(D1262-E1262,2)</f>
        <v/>
      </c>
      <c r="G1262" s="15">
        <f>IFERROR(ROUND(F1262/E1262,4),"")</f>
        <v/>
      </c>
      <c r="H1262" s="16">
        <f>IF(D1262=0,"NO DATA",IF(D1262&gt;E1262*1.5,"OVER",IF(D1262&gt;E1262*1.1,"HIGH",IF(D1262&lt;E1262*0.5,"LOW","OK"))))</f>
        <v/>
      </c>
    </row>
    <row r="1263" ht="22" customHeight="1">
      <c r="B1263" s="5" t="inlineStr">
        <is>
          <t>MTR-DYE-001</t>
        </is>
      </c>
      <c r="C1263" s="5" t="inlineStr">
        <is>
          <t>2024-06-16</t>
        </is>
      </c>
      <c r="D1263" s="11" t="n">
        <v>28.78</v>
      </c>
      <c r="E1263" s="11" t="n">
        <v>50</v>
      </c>
      <c r="F1263" s="11">
        <f>ROUND(D1263-E1263,2)</f>
        <v/>
      </c>
      <c r="G1263" s="13">
        <f>IFERROR(ROUND(F1263/E1263,4),"")</f>
        <v/>
      </c>
      <c r="H1263" s="14">
        <f>IF(D1263=0,"NO DATA",IF(D1263&gt;E1263*1.5,"OVER",IF(D1263&gt;E1263*1.1,"HIGH",IF(D1263&lt;E1263*0.5,"LOW","OK"))))</f>
        <v/>
      </c>
    </row>
    <row r="1264" ht="22" customHeight="1">
      <c r="B1264" s="8" t="inlineStr">
        <is>
          <t>MTR-DYE-001</t>
        </is>
      </c>
      <c r="C1264" s="8" t="inlineStr">
        <is>
          <t>2024-06-17</t>
        </is>
      </c>
      <c r="D1264" s="12" t="n">
        <v>50.89</v>
      </c>
      <c r="E1264" s="12" t="n">
        <v>50</v>
      </c>
      <c r="F1264" s="12">
        <f>ROUND(D1264-E1264,2)</f>
        <v/>
      </c>
      <c r="G1264" s="15">
        <f>IFERROR(ROUND(F1264/E1264,4),"")</f>
        <v/>
      </c>
      <c r="H1264" s="16">
        <f>IF(D1264=0,"NO DATA",IF(D1264&gt;E1264*1.5,"OVER",IF(D1264&gt;E1264*1.1,"HIGH",IF(D1264&lt;E1264*0.5,"LOW","OK"))))</f>
        <v/>
      </c>
    </row>
    <row r="1265" ht="22" customHeight="1">
      <c r="B1265" s="5" t="inlineStr">
        <is>
          <t>MTR-DYE-001</t>
        </is>
      </c>
      <c r="C1265" s="5" t="inlineStr">
        <is>
          <t>2024-06-18</t>
        </is>
      </c>
      <c r="D1265" s="11" t="n">
        <v>55.28</v>
      </c>
      <c r="E1265" s="11" t="n">
        <v>50</v>
      </c>
      <c r="F1265" s="11">
        <f>ROUND(D1265-E1265,2)</f>
        <v/>
      </c>
      <c r="G1265" s="13">
        <f>IFERROR(ROUND(F1265/E1265,4),"")</f>
        <v/>
      </c>
      <c r="H1265" s="14">
        <f>IF(D1265=0,"NO DATA",IF(D1265&gt;E1265*1.5,"OVER",IF(D1265&gt;E1265*1.1,"HIGH",IF(D1265&lt;E1265*0.5,"LOW","OK"))))</f>
        <v/>
      </c>
    </row>
    <row r="1266" ht="22" customHeight="1">
      <c r="B1266" s="8" t="inlineStr">
        <is>
          <t>MTR-DYE-001</t>
        </is>
      </c>
      <c r="C1266" s="8" t="inlineStr">
        <is>
          <t>2024-06-19</t>
        </is>
      </c>
      <c r="D1266" s="12" t="n">
        <v>54.65</v>
      </c>
      <c r="E1266" s="12" t="n">
        <v>50</v>
      </c>
      <c r="F1266" s="12">
        <f>ROUND(D1266-E1266,2)</f>
        <v/>
      </c>
      <c r="G1266" s="15">
        <f>IFERROR(ROUND(F1266/E1266,4),"")</f>
        <v/>
      </c>
      <c r="H1266" s="16">
        <f>IF(D1266=0,"NO DATA",IF(D1266&gt;E1266*1.5,"OVER",IF(D1266&gt;E1266*1.1,"HIGH",IF(D1266&lt;E1266*0.5,"LOW","OK"))))</f>
        <v/>
      </c>
    </row>
    <row r="1267" ht="22" customHeight="1">
      <c r="B1267" s="5" t="inlineStr">
        <is>
          <t>MTR-DYE-001</t>
        </is>
      </c>
      <c r="C1267" s="5" t="inlineStr">
        <is>
          <t>2024-06-20</t>
        </is>
      </c>
      <c r="D1267" s="11" t="n">
        <v>51.67</v>
      </c>
      <c r="E1267" s="11" t="n">
        <v>50</v>
      </c>
      <c r="F1267" s="11">
        <f>ROUND(D1267-E1267,2)</f>
        <v/>
      </c>
      <c r="G1267" s="13">
        <f>IFERROR(ROUND(F1267/E1267,4),"")</f>
        <v/>
      </c>
      <c r="H1267" s="14">
        <f>IF(D1267=0,"NO DATA",IF(D1267&gt;E1267*1.5,"OVER",IF(D1267&gt;E1267*1.1,"HIGH",IF(D1267&lt;E1267*0.5,"LOW","OK"))))</f>
        <v/>
      </c>
    </row>
    <row r="1268" ht="22" customHeight="1">
      <c r="B1268" s="8" t="inlineStr">
        <is>
          <t>MTR-DYE-001</t>
        </is>
      </c>
      <c r="C1268" s="8" t="inlineStr">
        <is>
          <t>2024-06-21</t>
        </is>
      </c>
      <c r="D1268" s="12" t="n">
        <v>51.2</v>
      </c>
      <c r="E1268" s="12" t="n">
        <v>50</v>
      </c>
      <c r="F1268" s="12">
        <f>ROUND(D1268-E1268,2)</f>
        <v/>
      </c>
      <c r="G1268" s="15">
        <f>IFERROR(ROUND(F1268/E1268,4),"")</f>
        <v/>
      </c>
      <c r="H1268" s="16">
        <f>IF(D1268=0,"NO DATA",IF(D1268&gt;E1268*1.5,"OVER",IF(D1268&gt;E1268*1.1,"HIGH",IF(D1268&lt;E1268*0.5,"LOW","OK"))))</f>
        <v/>
      </c>
    </row>
    <row r="1269" ht="22" customHeight="1">
      <c r="B1269" s="5" t="inlineStr">
        <is>
          <t>MTR-DYE-001</t>
        </is>
      </c>
      <c r="C1269" s="5" t="inlineStr">
        <is>
          <t>2024-06-22</t>
        </is>
      </c>
      <c r="D1269" s="11" t="n">
        <v>98.97</v>
      </c>
      <c r="E1269" s="11" t="n">
        <v>50</v>
      </c>
      <c r="F1269" s="11">
        <f>ROUND(D1269-E1269,2)</f>
        <v/>
      </c>
      <c r="G1269" s="13">
        <f>IFERROR(ROUND(F1269/E1269,4),"")</f>
        <v/>
      </c>
      <c r="H1269" s="14">
        <f>IF(D1269=0,"NO DATA",IF(D1269&gt;E1269*1.5,"OVER",IF(D1269&gt;E1269*1.1,"HIGH",IF(D1269&lt;E1269*0.5,"LOW","OK"))))</f>
        <v/>
      </c>
    </row>
    <row r="1270" ht="22" customHeight="1">
      <c r="B1270" s="8" t="inlineStr">
        <is>
          <t>MTR-DYE-001</t>
        </is>
      </c>
      <c r="C1270" s="8" t="inlineStr">
        <is>
          <t>2024-06-23</t>
        </is>
      </c>
      <c r="D1270" s="12" t="n">
        <v>25.82</v>
      </c>
      <c r="E1270" s="12" t="n">
        <v>50</v>
      </c>
      <c r="F1270" s="12">
        <f>ROUND(D1270-E1270,2)</f>
        <v/>
      </c>
      <c r="G1270" s="15">
        <f>IFERROR(ROUND(F1270/E1270,4),"")</f>
        <v/>
      </c>
      <c r="H1270" s="16">
        <f>IF(D1270=0,"NO DATA",IF(D1270&gt;E1270*1.5,"OVER",IF(D1270&gt;E1270*1.1,"HIGH",IF(D1270&lt;E1270*0.5,"LOW","OK"))))</f>
        <v/>
      </c>
    </row>
    <row r="1271" ht="22" customHeight="1">
      <c r="B1271" s="5" t="inlineStr">
        <is>
          <t>MTR-DYE-001</t>
        </is>
      </c>
      <c r="C1271" s="5" t="inlineStr">
        <is>
          <t>2024-06-24</t>
        </is>
      </c>
      <c r="D1271" s="11" t="n">
        <v>48.44</v>
      </c>
      <c r="E1271" s="11" t="n">
        <v>50</v>
      </c>
      <c r="F1271" s="11">
        <f>ROUND(D1271-E1271,2)</f>
        <v/>
      </c>
      <c r="G1271" s="13">
        <f>IFERROR(ROUND(F1271/E1271,4),"")</f>
        <v/>
      </c>
      <c r="H1271" s="14">
        <f>IF(D1271=0,"NO DATA",IF(D1271&gt;E1271*1.5,"OVER",IF(D1271&gt;E1271*1.1,"HIGH",IF(D1271&lt;E1271*0.5,"LOW","OK"))))</f>
        <v/>
      </c>
    </row>
    <row r="1272" ht="22" customHeight="1">
      <c r="B1272" s="8" t="inlineStr">
        <is>
          <t>MTR-DYE-001</t>
        </is>
      </c>
      <c r="C1272" s="8" t="inlineStr">
        <is>
          <t>2024-06-25</t>
        </is>
      </c>
      <c r="D1272" s="12" t="n">
        <v>57.2</v>
      </c>
      <c r="E1272" s="12" t="n">
        <v>50</v>
      </c>
      <c r="F1272" s="12">
        <f>ROUND(D1272-E1272,2)</f>
        <v/>
      </c>
      <c r="G1272" s="15">
        <f>IFERROR(ROUND(F1272/E1272,4),"")</f>
        <v/>
      </c>
      <c r="H1272" s="16">
        <f>IF(D1272=0,"NO DATA",IF(D1272&gt;E1272*1.5,"OVER",IF(D1272&gt;E1272*1.1,"HIGH",IF(D1272&lt;E1272*0.5,"LOW","OK"))))</f>
        <v/>
      </c>
    </row>
    <row r="1273" ht="22" customHeight="1">
      <c r="B1273" s="5" t="inlineStr">
        <is>
          <t>MTR-DYE-001</t>
        </is>
      </c>
      <c r="C1273" s="5" t="inlineStr">
        <is>
          <t>2024-06-26</t>
        </is>
      </c>
      <c r="D1273" s="11" t="n">
        <v>58.76</v>
      </c>
      <c r="E1273" s="11" t="n">
        <v>50</v>
      </c>
      <c r="F1273" s="11">
        <f>ROUND(D1273-E1273,2)</f>
        <v/>
      </c>
      <c r="G1273" s="13">
        <f>IFERROR(ROUND(F1273/E1273,4),"")</f>
        <v/>
      </c>
      <c r="H1273" s="14">
        <f>IF(D1273=0,"NO DATA",IF(D1273&gt;E1273*1.5,"OVER",IF(D1273&gt;E1273*1.1,"HIGH",IF(D1273&lt;E1273*0.5,"LOW","OK"))))</f>
        <v/>
      </c>
    </row>
    <row r="1274" ht="22" customHeight="1">
      <c r="B1274" s="8" t="inlineStr">
        <is>
          <t>MTR-DYE-001</t>
        </is>
      </c>
      <c r="C1274" s="8" t="inlineStr">
        <is>
          <t>2024-06-27</t>
        </is>
      </c>
      <c r="D1274" s="12" t="n">
        <v>52.38</v>
      </c>
      <c r="E1274" s="12" t="n">
        <v>50</v>
      </c>
      <c r="F1274" s="12">
        <f>ROUND(D1274-E1274,2)</f>
        <v/>
      </c>
      <c r="G1274" s="15">
        <f>IFERROR(ROUND(F1274/E1274,4),"")</f>
        <v/>
      </c>
      <c r="H1274" s="16">
        <f>IF(D1274=0,"NO DATA",IF(D1274&gt;E1274*1.5,"OVER",IF(D1274&gt;E1274*1.1,"HIGH",IF(D1274&lt;E1274*0.5,"LOW","OK"))))</f>
        <v/>
      </c>
    </row>
    <row r="1275" ht="22" customHeight="1">
      <c r="B1275" s="5" t="inlineStr">
        <is>
          <t>MTR-DYE-001</t>
        </is>
      </c>
      <c r="C1275" s="5" t="inlineStr">
        <is>
          <t>2024-06-28</t>
        </is>
      </c>
      <c r="D1275" s="11" t="n">
        <v>54</v>
      </c>
      <c r="E1275" s="11" t="n">
        <v>50</v>
      </c>
      <c r="F1275" s="11">
        <f>ROUND(D1275-E1275,2)</f>
        <v/>
      </c>
      <c r="G1275" s="13">
        <f>IFERROR(ROUND(F1275/E1275,4),"")</f>
        <v/>
      </c>
      <c r="H1275" s="14">
        <f>IF(D1275=0,"NO DATA",IF(D1275&gt;E1275*1.5,"OVER",IF(D1275&gt;E1275*1.1,"HIGH",IF(D1275&lt;E1275*0.5,"LOW","OK"))))</f>
        <v/>
      </c>
    </row>
    <row r="1276" ht="22" customHeight="1">
      <c r="B1276" s="8" t="inlineStr">
        <is>
          <t>MTR-DYE-001</t>
        </is>
      </c>
      <c r="C1276" s="8" t="inlineStr">
        <is>
          <t>2024-06-29</t>
        </is>
      </c>
      <c r="D1276" s="12" t="n">
        <v>46.23</v>
      </c>
      <c r="E1276" s="12" t="n">
        <v>50</v>
      </c>
      <c r="F1276" s="12">
        <f>ROUND(D1276-E1276,2)</f>
        <v/>
      </c>
      <c r="G1276" s="15">
        <f>IFERROR(ROUND(F1276/E1276,4),"")</f>
        <v/>
      </c>
      <c r="H1276" s="16">
        <f>IF(D1276=0,"NO DATA",IF(D1276&gt;E1276*1.5,"OVER",IF(D1276&gt;E1276*1.1,"HIGH",IF(D1276&lt;E1276*0.5,"LOW","OK"))))</f>
        <v/>
      </c>
    </row>
    <row r="1277" ht="22" customHeight="1">
      <c r="B1277" s="5" t="inlineStr">
        <is>
          <t>MTR-DYE-001</t>
        </is>
      </c>
      <c r="C1277" s="5" t="inlineStr">
        <is>
          <t>2024-06-30</t>
        </is>
      </c>
      <c r="D1277" s="11" t="n">
        <v>32.54</v>
      </c>
      <c r="E1277" s="11" t="n">
        <v>50</v>
      </c>
      <c r="F1277" s="11">
        <f>ROUND(D1277-E1277,2)</f>
        <v/>
      </c>
      <c r="G1277" s="13">
        <f>IFERROR(ROUND(F1277/E1277,4),"")</f>
        <v/>
      </c>
      <c r="H1277" s="14">
        <f>IF(D1277=0,"NO DATA",IF(D1277&gt;E1277*1.5,"OVER",IF(D1277&gt;E1277*1.1,"HIGH",IF(D1277&lt;E1277*0.5,"LOW","OK"))))</f>
        <v/>
      </c>
    </row>
    <row r="1278" ht="22" customHeight="1">
      <c r="B1278" s="8" t="inlineStr">
        <is>
          <t>MTR-DYE-001</t>
        </is>
      </c>
      <c r="C1278" s="8" t="inlineStr">
        <is>
          <t>2024-07-01</t>
        </is>
      </c>
      <c r="D1278" s="12" t="n">
        <v>58.3</v>
      </c>
      <c r="E1278" s="12" t="n">
        <v>50</v>
      </c>
      <c r="F1278" s="12">
        <f>ROUND(D1278-E1278,2)</f>
        <v/>
      </c>
      <c r="G1278" s="15">
        <f>IFERROR(ROUND(F1278/E1278,4),"")</f>
        <v/>
      </c>
      <c r="H1278" s="16">
        <f>IF(D1278=0,"NO DATA",IF(D1278&gt;E1278*1.5,"OVER",IF(D1278&gt;E1278*1.1,"HIGH",IF(D1278&lt;E1278*0.5,"LOW","OK"))))</f>
        <v/>
      </c>
    </row>
    <row r="1279" ht="22" customHeight="1">
      <c r="B1279" s="5" t="inlineStr">
        <is>
          <t>MTR-DYE-001</t>
        </is>
      </c>
      <c r="C1279" s="5" t="inlineStr">
        <is>
          <t>2024-07-02</t>
        </is>
      </c>
      <c r="D1279" s="11" t="n">
        <v>64.06999999999999</v>
      </c>
      <c r="E1279" s="11" t="n">
        <v>50</v>
      </c>
      <c r="F1279" s="11">
        <f>ROUND(D1279-E1279,2)</f>
        <v/>
      </c>
      <c r="G1279" s="13">
        <f>IFERROR(ROUND(F1279/E1279,4),"")</f>
        <v/>
      </c>
      <c r="H1279" s="14">
        <f>IF(D1279=0,"NO DATA",IF(D1279&gt;E1279*1.5,"OVER",IF(D1279&gt;E1279*1.1,"HIGH",IF(D1279&lt;E1279*0.5,"LOW","OK"))))</f>
        <v/>
      </c>
    </row>
    <row r="1280" ht="22" customHeight="1">
      <c r="B1280" s="8" t="inlineStr">
        <is>
          <t>MTR-DYE-001</t>
        </is>
      </c>
      <c r="C1280" s="8" t="inlineStr">
        <is>
          <t>2024-07-03</t>
        </is>
      </c>
      <c r="D1280" s="12" t="n">
        <v>52.15</v>
      </c>
      <c r="E1280" s="12" t="n">
        <v>50</v>
      </c>
      <c r="F1280" s="12">
        <f>ROUND(D1280-E1280,2)</f>
        <v/>
      </c>
      <c r="G1280" s="15">
        <f>IFERROR(ROUND(F1280/E1280,4),"")</f>
        <v/>
      </c>
      <c r="H1280" s="16">
        <f>IF(D1280=0,"NO DATA",IF(D1280&gt;E1280*1.5,"OVER",IF(D1280&gt;E1280*1.1,"HIGH",IF(D1280&lt;E1280*0.5,"LOW","OK"))))</f>
        <v/>
      </c>
    </row>
    <row r="1281" ht="22" customHeight="1">
      <c r="B1281" s="5" t="inlineStr">
        <is>
          <t>MTR-DYE-001</t>
        </is>
      </c>
      <c r="C1281" s="5" t="inlineStr">
        <is>
          <t>2024-07-04</t>
        </is>
      </c>
      <c r="D1281" s="11" t="n">
        <v>55.07</v>
      </c>
      <c r="E1281" s="11" t="n">
        <v>50</v>
      </c>
      <c r="F1281" s="11">
        <f>ROUND(D1281-E1281,2)</f>
        <v/>
      </c>
      <c r="G1281" s="13">
        <f>IFERROR(ROUND(F1281/E1281,4),"")</f>
        <v/>
      </c>
      <c r="H1281" s="14">
        <f>IF(D1281=0,"NO DATA",IF(D1281&gt;E1281*1.5,"OVER",IF(D1281&gt;E1281*1.1,"HIGH",IF(D1281&lt;E1281*0.5,"LOW","OK"))))</f>
        <v/>
      </c>
    </row>
    <row r="1282" ht="22" customHeight="1">
      <c r="B1282" s="8" t="inlineStr">
        <is>
          <t>MTR-DYE-001</t>
        </is>
      </c>
      <c r="C1282" s="8" t="inlineStr">
        <is>
          <t>2024-07-05</t>
        </is>
      </c>
      <c r="D1282" s="12" t="n">
        <v>56.01</v>
      </c>
      <c r="E1282" s="12" t="n">
        <v>50</v>
      </c>
      <c r="F1282" s="12">
        <f>ROUND(D1282-E1282,2)</f>
        <v/>
      </c>
      <c r="G1282" s="15">
        <f>IFERROR(ROUND(F1282/E1282,4),"")</f>
        <v/>
      </c>
      <c r="H1282" s="16">
        <f>IF(D1282=0,"NO DATA",IF(D1282&gt;E1282*1.5,"OVER",IF(D1282&gt;E1282*1.1,"HIGH",IF(D1282&lt;E1282*0.5,"LOW","OK"))))</f>
        <v/>
      </c>
    </row>
    <row r="1283" ht="22" customHeight="1">
      <c r="B1283" s="5" t="inlineStr">
        <is>
          <t>MTR-DYE-001</t>
        </is>
      </c>
      <c r="C1283" s="5" t="inlineStr">
        <is>
          <t>2024-07-06</t>
        </is>
      </c>
      <c r="D1283" s="11" t="n">
        <v>51.28</v>
      </c>
      <c r="E1283" s="11" t="n">
        <v>50</v>
      </c>
      <c r="F1283" s="11">
        <f>ROUND(D1283-E1283,2)</f>
        <v/>
      </c>
      <c r="G1283" s="13">
        <f>IFERROR(ROUND(F1283/E1283,4),"")</f>
        <v/>
      </c>
      <c r="H1283" s="14">
        <f>IF(D1283=0,"NO DATA",IF(D1283&gt;E1283*1.5,"OVER",IF(D1283&gt;E1283*1.1,"HIGH",IF(D1283&lt;E1283*0.5,"LOW","OK"))))</f>
        <v/>
      </c>
    </row>
    <row r="1284" ht="22" customHeight="1">
      <c r="B1284" s="8" t="inlineStr">
        <is>
          <t>MTR-DYE-001</t>
        </is>
      </c>
      <c r="C1284" s="8" t="inlineStr">
        <is>
          <t>2024-07-07</t>
        </is>
      </c>
      <c r="D1284" s="12" t="n">
        <v>28.38</v>
      </c>
      <c r="E1284" s="12" t="n">
        <v>50</v>
      </c>
      <c r="F1284" s="12">
        <f>ROUND(D1284-E1284,2)</f>
        <v/>
      </c>
      <c r="G1284" s="15">
        <f>IFERROR(ROUND(F1284/E1284,4),"")</f>
        <v/>
      </c>
      <c r="H1284" s="16">
        <f>IF(D1284=0,"NO DATA",IF(D1284&gt;E1284*1.5,"OVER",IF(D1284&gt;E1284*1.1,"HIGH",IF(D1284&lt;E1284*0.5,"LOW","OK"))))</f>
        <v/>
      </c>
    </row>
    <row r="1285" ht="22" customHeight="1">
      <c r="B1285" s="5" t="inlineStr">
        <is>
          <t>MTR-DYE-001</t>
        </is>
      </c>
      <c r="C1285" s="5" t="inlineStr">
        <is>
          <t>2024-07-08</t>
        </is>
      </c>
      <c r="D1285" s="11" t="n">
        <v>55.39</v>
      </c>
      <c r="E1285" s="11" t="n">
        <v>50</v>
      </c>
      <c r="F1285" s="11">
        <f>ROUND(D1285-E1285,2)</f>
        <v/>
      </c>
      <c r="G1285" s="13">
        <f>IFERROR(ROUND(F1285/E1285,4),"")</f>
        <v/>
      </c>
      <c r="H1285" s="14">
        <f>IF(D1285=0,"NO DATA",IF(D1285&gt;E1285*1.5,"OVER",IF(D1285&gt;E1285*1.1,"HIGH",IF(D1285&lt;E1285*0.5,"LOW","OK"))))</f>
        <v/>
      </c>
    </row>
    <row r="1286" ht="22" customHeight="1">
      <c r="B1286" s="8" t="inlineStr">
        <is>
          <t>MTR-DYE-001</t>
        </is>
      </c>
      <c r="C1286" s="8" t="inlineStr">
        <is>
          <t>2024-07-09</t>
        </is>
      </c>
      <c r="D1286" s="12" t="n">
        <v>58.77</v>
      </c>
      <c r="E1286" s="12" t="n">
        <v>50</v>
      </c>
      <c r="F1286" s="12">
        <f>ROUND(D1286-E1286,2)</f>
        <v/>
      </c>
      <c r="G1286" s="15">
        <f>IFERROR(ROUND(F1286/E1286,4),"")</f>
        <v/>
      </c>
      <c r="H1286" s="16">
        <f>IF(D1286=0,"NO DATA",IF(D1286&gt;E1286*1.5,"OVER",IF(D1286&gt;E1286*1.1,"HIGH",IF(D1286&lt;E1286*0.5,"LOW","OK"))))</f>
        <v/>
      </c>
    </row>
    <row r="1287" ht="22" customHeight="1">
      <c r="B1287" s="5" t="inlineStr">
        <is>
          <t>MTR-DYE-001</t>
        </is>
      </c>
      <c r="C1287" s="5" t="inlineStr">
        <is>
          <t>2024-07-10</t>
        </is>
      </c>
      <c r="D1287" s="11" t="n">
        <v>62.49</v>
      </c>
      <c r="E1287" s="11" t="n">
        <v>50</v>
      </c>
      <c r="F1287" s="11">
        <f>ROUND(D1287-E1287,2)</f>
        <v/>
      </c>
      <c r="G1287" s="13">
        <f>IFERROR(ROUND(F1287/E1287,4),"")</f>
        <v/>
      </c>
      <c r="H1287" s="14">
        <f>IF(D1287=0,"NO DATA",IF(D1287&gt;E1287*1.5,"OVER",IF(D1287&gt;E1287*1.1,"HIGH",IF(D1287&lt;E1287*0.5,"LOW","OK"))))</f>
        <v/>
      </c>
    </row>
    <row r="1288" ht="22" customHeight="1">
      <c r="B1288" s="8" t="inlineStr">
        <is>
          <t>MTR-DYE-001</t>
        </is>
      </c>
      <c r="C1288" s="8" t="inlineStr">
        <is>
          <t>2024-07-11</t>
        </is>
      </c>
      <c r="D1288" s="12" t="n">
        <v>54.84</v>
      </c>
      <c r="E1288" s="12" t="n">
        <v>50</v>
      </c>
      <c r="F1288" s="12">
        <f>ROUND(D1288-E1288,2)</f>
        <v/>
      </c>
      <c r="G1288" s="15">
        <f>IFERROR(ROUND(F1288/E1288,4),"")</f>
        <v/>
      </c>
      <c r="H1288" s="16">
        <f>IF(D1288=0,"NO DATA",IF(D1288&gt;E1288*1.5,"OVER",IF(D1288&gt;E1288*1.1,"HIGH",IF(D1288&lt;E1288*0.5,"LOW","OK"))))</f>
        <v/>
      </c>
    </row>
    <row r="1289" ht="22" customHeight="1">
      <c r="B1289" s="5" t="inlineStr">
        <is>
          <t>MTR-DYE-001</t>
        </is>
      </c>
      <c r="C1289" s="5" t="inlineStr">
        <is>
          <t>2024-07-12</t>
        </is>
      </c>
      <c r="D1289" s="11" t="n">
        <v>51.65</v>
      </c>
      <c r="E1289" s="11" t="n">
        <v>50</v>
      </c>
      <c r="F1289" s="11">
        <f>ROUND(D1289-E1289,2)</f>
        <v/>
      </c>
      <c r="G1289" s="13">
        <f>IFERROR(ROUND(F1289/E1289,4),"")</f>
        <v/>
      </c>
      <c r="H1289" s="14">
        <f>IF(D1289=0,"NO DATA",IF(D1289&gt;E1289*1.5,"OVER",IF(D1289&gt;E1289*1.1,"HIGH",IF(D1289&lt;E1289*0.5,"LOW","OK"))))</f>
        <v/>
      </c>
    </row>
    <row r="1290" ht="22" customHeight="1">
      <c r="B1290" s="8" t="inlineStr">
        <is>
          <t>MTR-DYE-001</t>
        </is>
      </c>
      <c r="C1290" s="8" t="inlineStr">
        <is>
          <t>2024-07-13</t>
        </is>
      </c>
      <c r="D1290" s="12" t="n">
        <v>51.72</v>
      </c>
      <c r="E1290" s="12" t="n">
        <v>50</v>
      </c>
      <c r="F1290" s="12">
        <f>ROUND(D1290-E1290,2)</f>
        <v/>
      </c>
      <c r="G1290" s="15">
        <f>IFERROR(ROUND(F1290/E1290,4),"")</f>
        <v/>
      </c>
      <c r="H1290" s="16">
        <f>IF(D1290=0,"NO DATA",IF(D1290&gt;E1290*1.5,"OVER",IF(D1290&gt;E1290*1.1,"HIGH",IF(D1290&lt;E1290*0.5,"LOW","OK"))))</f>
        <v/>
      </c>
    </row>
    <row r="1291" ht="22" customHeight="1">
      <c r="B1291" s="5" t="inlineStr">
        <is>
          <t>MTR-DYE-001</t>
        </is>
      </c>
      <c r="C1291" s="5" t="inlineStr">
        <is>
          <t>2024-07-14</t>
        </is>
      </c>
      <c r="D1291" s="11" t="n">
        <v>28.75</v>
      </c>
      <c r="E1291" s="11" t="n">
        <v>50</v>
      </c>
      <c r="F1291" s="11">
        <f>ROUND(D1291-E1291,2)</f>
        <v/>
      </c>
      <c r="G1291" s="13">
        <f>IFERROR(ROUND(F1291/E1291,4),"")</f>
        <v/>
      </c>
      <c r="H1291" s="14">
        <f>IF(D1291=0,"NO DATA",IF(D1291&gt;E1291*1.5,"OVER",IF(D1291&gt;E1291*1.1,"HIGH",IF(D1291&lt;E1291*0.5,"LOW","OK"))))</f>
        <v/>
      </c>
    </row>
    <row r="1292" ht="22" customHeight="1">
      <c r="B1292" s="8" t="inlineStr">
        <is>
          <t>MTR-DYE-001</t>
        </is>
      </c>
      <c r="C1292" s="8" t="inlineStr">
        <is>
          <t>2024-07-15</t>
        </is>
      </c>
      <c r="D1292" s="12" t="n">
        <v>59.57</v>
      </c>
      <c r="E1292" s="12" t="n">
        <v>50</v>
      </c>
      <c r="F1292" s="12">
        <f>ROUND(D1292-E1292,2)</f>
        <v/>
      </c>
      <c r="G1292" s="15">
        <f>IFERROR(ROUND(F1292/E1292,4),"")</f>
        <v/>
      </c>
      <c r="H1292" s="16">
        <f>IF(D1292=0,"NO DATA",IF(D1292&gt;E1292*1.5,"OVER",IF(D1292&gt;E1292*1.1,"HIGH",IF(D1292&lt;E1292*0.5,"LOW","OK"))))</f>
        <v/>
      </c>
    </row>
    <row r="1293" ht="22" customHeight="1">
      <c r="B1293" s="5" t="inlineStr">
        <is>
          <t>MTR-DYE-001</t>
        </is>
      </c>
      <c r="C1293" s="5" t="inlineStr">
        <is>
          <t>2024-07-16</t>
        </is>
      </c>
      <c r="D1293" s="11" t="n">
        <v>55.1</v>
      </c>
      <c r="E1293" s="11" t="n">
        <v>50</v>
      </c>
      <c r="F1293" s="11">
        <f>ROUND(D1293-E1293,2)</f>
        <v/>
      </c>
      <c r="G1293" s="13">
        <f>IFERROR(ROUND(F1293/E1293,4),"")</f>
        <v/>
      </c>
      <c r="H1293" s="14">
        <f>IF(D1293=0,"NO DATA",IF(D1293&gt;E1293*1.5,"OVER",IF(D1293&gt;E1293*1.1,"HIGH",IF(D1293&lt;E1293*0.5,"LOW","OK"))))</f>
        <v/>
      </c>
    </row>
    <row r="1294" ht="22" customHeight="1">
      <c r="B1294" s="8" t="inlineStr">
        <is>
          <t>MTR-DYE-001</t>
        </is>
      </c>
      <c r="C1294" s="8" t="inlineStr">
        <is>
          <t>2024-07-17</t>
        </is>
      </c>
      <c r="D1294" s="12" t="n">
        <v>49.08</v>
      </c>
      <c r="E1294" s="12" t="n">
        <v>50</v>
      </c>
      <c r="F1294" s="12">
        <f>ROUND(D1294-E1294,2)</f>
        <v/>
      </c>
      <c r="G1294" s="15">
        <f>IFERROR(ROUND(F1294/E1294,4),"")</f>
        <v/>
      </c>
      <c r="H1294" s="16">
        <f>IF(D1294=0,"NO DATA",IF(D1294&gt;E1294*1.5,"OVER",IF(D1294&gt;E1294*1.1,"HIGH",IF(D1294&lt;E1294*0.5,"LOW","OK"))))</f>
        <v/>
      </c>
    </row>
    <row r="1295" ht="22" customHeight="1">
      <c r="B1295" s="5" t="inlineStr">
        <is>
          <t>MTR-DYE-001</t>
        </is>
      </c>
      <c r="C1295" s="5" t="inlineStr">
        <is>
          <t>2024-07-18</t>
        </is>
      </c>
      <c r="D1295" s="11" t="n">
        <v>49.74</v>
      </c>
      <c r="E1295" s="11" t="n">
        <v>50</v>
      </c>
      <c r="F1295" s="11">
        <f>ROUND(D1295-E1295,2)</f>
        <v/>
      </c>
      <c r="G1295" s="13">
        <f>IFERROR(ROUND(F1295/E1295,4),"")</f>
        <v/>
      </c>
      <c r="H1295" s="14">
        <f>IF(D1295=0,"NO DATA",IF(D1295&gt;E1295*1.5,"OVER",IF(D1295&gt;E1295*1.1,"HIGH",IF(D1295&lt;E1295*0.5,"LOW","OK"))))</f>
        <v/>
      </c>
    </row>
    <row r="1296" ht="22" customHeight="1">
      <c r="B1296" s="8" t="inlineStr">
        <is>
          <t>MTR-DYE-001</t>
        </is>
      </c>
      <c r="C1296" s="8" t="inlineStr">
        <is>
          <t>2024-07-19</t>
        </is>
      </c>
      <c r="D1296" s="12" t="n">
        <v>63.88</v>
      </c>
      <c r="E1296" s="12" t="n">
        <v>50</v>
      </c>
      <c r="F1296" s="12">
        <f>ROUND(D1296-E1296,2)</f>
        <v/>
      </c>
      <c r="G1296" s="15">
        <f>IFERROR(ROUND(F1296/E1296,4),"")</f>
        <v/>
      </c>
      <c r="H1296" s="16">
        <f>IF(D1296=0,"NO DATA",IF(D1296&gt;E1296*1.5,"OVER",IF(D1296&gt;E1296*1.1,"HIGH",IF(D1296&lt;E1296*0.5,"LOW","OK"))))</f>
        <v/>
      </c>
    </row>
    <row r="1297" ht="22" customHeight="1">
      <c r="B1297" s="5" t="inlineStr">
        <is>
          <t>MTR-DYE-001</t>
        </is>
      </c>
      <c r="C1297" s="5" t="inlineStr">
        <is>
          <t>2024-07-20</t>
        </is>
      </c>
      <c r="D1297" s="11" t="n">
        <v>45.08</v>
      </c>
      <c r="E1297" s="11" t="n">
        <v>50</v>
      </c>
      <c r="F1297" s="11">
        <f>ROUND(D1297-E1297,2)</f>
        <v/>
      </c>
      <c r="G1297" s="13">
        <f>IFERROR(ROUND(F1297/E1297,4),"")</f>
        <v/>
      </c>
      <c r="H1297" s="14">
        <f>IF(D1297=0,"NO DATA",IF(D1297&gt;E1297*1.5,"OVER",IF(D1297&gt;E1297*1.1,"HIGH",IF(D1297&lt;E1297*0.5,"LOW","OK"))))</f>
        <v/>
      </c>
    </row>
    <row r="1298" ht="22" customHeight="1">
      <c r="B1298" s="8" t="inlineStr">
        <is>
          <t>MTR-DYE-001</t>
        </is>
      </c>
      <c r="C1298" s="8" t="inlineStr">
        <is>
          <t>2024-07-21</t>
        </is>
      </c>
      <c r="D1298" s="12" t="n">
        <v>28.97</v>
      </c>
      <c r="E1298" s="12" t="n">
        <v>50</v>
      </c>
      <c r="F1298" s="12">
        <f>ROUND(D1298-E1298,2)</f>
        <v/>
      </c>
      <c r="G1298" s="15">
        <f>IFERROR(ROUND(F1298/E1298,4),"")</f>
        <v/>
      </c>
      <c r="H1298" s="16">
        <f>IF(D1298=0,"NO DATA",IF(D1298&gt;E1298*1.5,"OVER",IF(D1298&gt;E1298*1.1,"HIGH",IF(D1298&lt;E1298*0.5,"LOW","OK"))))</f>
        <v/>
      </c>
    </row>
    <row r="1299" ht="22" customHeight="1">
      <c r="B1299" s="5" t="inlineStr">
        <is>
          <t>MTR-DYE-001</t>
        </is>
      </c>
      <c r="C1299" s="5" t="inlineStr">
        <is>
          <t>2024-07-22</t>
        </is>
      </c>
      <c r="D1299" s="11" t="n">
        <v>53.89</v>
      </c>
      <c r="E1299" s="11" t="n">
        <v>50</v>
      </c>
      <c r="F1299" s="11">
        <f>ROUND(D1299-E1299,2)</f>
        <v/>
      </c>
      <c r="G1299" s="13">
        <f>IFERROR(ROUND(F1299/E1299,4),"")</f>
        <v/>
      </c>
      <c r="H1299" s="14">
        <f>IF(D1299=0,"NO DATA",IF(D1299&gt;E1299*1.5,"OVER",IF(D1299&gt;E1299*1.1,"HIGH",IF(D1299&lt;E1299*0.5,"LOW","OK"))))</f>
        <v/>
      </c>
    </row>
    <row r="1300" ht="22" customHeight="1">
      <c r="B1300" s="8" t="inlineStr">
        <is>
          <t>MTR-DYE-001</t>
        </is>
      </c>
      <c r="C1300" s="8" t="inlineStr">
        <is>
          <t>2024-07-23</t>
        </is>
      </c>
      <c r="D1300" s="12" t="n">
        <v>58.66</v>
      </c>
      <c r="E1300" s="12" t="n">
        <v>50</v>
      </c>
      <c r="F1300" s="12">
        <f>ROUND(D1300-E1300,2)</f>
        <v/>
      </c>
      <c r="G1300" s="15">
        <f>IFERROR(ROUND(F1300/E1300,4),"")</f>
        <v/>
      </c>
      <c r="H1300" s="16">
        <f>IF(D1300=0,"NO DATA",IF(D1300&gt;E1300*1.5,"OVER",IF(D1300&gt;E1300*1.1,"HIGH",IF(D1300&lt;E1300*0.5,"LOW","OK"))))</f>
        <v/>
      </c>
    </row>
    <row r="1301" ht="22" customHeight="1">
      <c r="B1301" s="5" t="inlineStr">
        <is>
          <t>MTR-DYE-001</t>
        </is>
      </c>
      <c r="C1301" s="5" t="inlineStr">
        <is>
          <t>2024-07-24</t>
        </is>
      </c>
      <c r="D1301" s="11" t="n">
        <v>52.46</v>
      </c>
      <c r="E1301" s="11" t="n">
        <v>50</v>
      </c>
      <c r="F1301" s="11">
        <f>ROUND(D1301-E1301,2)</f>
        <v/>
      </c>
      <c r="G1301" s="13">
        <f>IFERROR(ROUND(F1301/E1301,4),"")</f>
        <v/>
      </c>
      <c r="H1301" s="14">
        <f>IF(D1301=0,"NO DATA",IF(D1301&gt;E1301*1.5,"OVER",IF(D1301&gt;E1301*1.1,"HIGH",IF(D1301&lt;E1301*0.5,"LOW","OK"))))</f>
        <v/>
      </c>
    </row>
    <row r="1302" ht="22" customHeight="1">
      <c r="B1302" s="8" t="inlineStr">
        <is>
          <t>MTR-DYE-001</t>
        </is>
      </c>
      <c r="C1302" s="8" t="inlineStr">
        <is>
          <t>2024-07-25</t>
        </is>
      </c>
      <c r="D1302" s="12" t="n">
        <v>54.03</v>
      </c>
      <c r="E1302" s="12" t="n">
        <v>50</v>
      </c>
      <c r="F1302" s="12">
        <f>ROUND(D1302-E1302,2)</f>
        <v/>
      </c>
      <c r="G1302" s="15">
        <f>IFERROR(ROUND(F1302/E1302,4),"")</f>
        <v/>
      </c>
      <c r="H1302" s="16">
        <f>IF(D1302=0,"NO DATA",IF(D1302&gt;E1302*1.5,"OVER",IF(D1302&gt;E1302*1.1,"HIGH",IF(D1302&lt;E1302*0.5,"LOW","OK"))))</f>
        <v/>
      </c>
    </row>
    <row r="1303" ht="22" customHeight="1">
      <c r="B1303" s="5" t="inlineStr">
        <is>
          <t>MTR-DYE-001</t>
        </is>
      </c>
      <c r="C1303" s="5" t="inlineStr">
        <is>
          <t>2024-07-26</t>
        </is>
      </c>
      <c r="D1303" s="11" t="n">
        <v>49.04</v>
      </c>
      <c r="E1303" s="11" t="n">
        <v>50</v>
      </c>
      <c r="F1303" s="11">
        <f>ROUND(D1303-E1303,2)</f>
        <v/>
      </c>
      <c r="G1303" s="13">
        <f>IFERROR(ROUND(F1303/E1303,4),"")</f>
        <v/>
      </c>
      <c r="H1303" s="14">
        <f>IF(D1303=0,"NO DATA",IF(D1303&gt;E1303*1.5,"OVER",IF(D1303&gt;E1303*1.1,"HIGH",IF(D1303&lt;E1303*0.5,"LOW","OK"))))</f>
        <v/>
      </c>
    </row>
    <row r="1304" ht="22" customHeight="1">
      <c r="B1304" s="8" t="inlineStr">
        <is>
          <t>MTR-DYE-001</t>
        </is>
      </c>
      <c r="C1304" s="8" t="inlineStr">
        <is>
          <t>2024-07-27</t>
        </is>
      </c>
      <c r="D1304" s="12" t="n">
        <v>41.9</v>
      </c>
      <c r="E1304" s="12" t="n">
        <v>50</v>
      </c>
      <c r="F1304" s="12">
        <f>ROUND(D1304-E1304,2)</f>
        <v/>
      </c>
      <c r="G1304" s="15">
        <f>IFERROR(ROUND(F1304/E1304,4),"")</f>
        <v/>
      </c>
      <c r="H1304" s="16">
        <f>IF(D1304=0,"NO DATA",IF(D1304&gt;E1304*1.5,"OVER",IF(D1304&gt;E1304*1.1,"HIGH",IF(D1304&lt;E1304*0.5,"LOW","OK"))))</f>
        <v/>
      </c>
    </row>
    <row r="1305" ht="22" customHeight="1">
      <c r="B1305" s="5" t="inlineStr">
        <is>
          <t>MTR-DYE-001</t>
        </is>
      </c>
      <c r="C1305" s="5" t="inlineStr">
        <is>
          <t>2024-07-28</t>
        </is>
      </c>
      <c r="D1305" s="11" t="n">
        <v>33.09</v>
      </c>
      <c r="E1305" s="11" t="n">
        <v>50</v>
      </c>
      <c r="F1305" s="11">
        <f>ROUND(D1305-E1305,2)</f>
        <v/>
      </c>
      <c r="G1305" s="13">
        <f>IFERROR(ROUND(F1305/E1305,4),"")</f>
        <v/>
      </c>
      <c r="H1305" s="14">
        <f>IF(D1305=0,"NO DATA",IF(D1305&gt;E1305*1.5,"OVER",IF(D1305&gt;E1305*1.1,"HIGH",IF(D1305&lt;E1305*0.5,"LOW","OK"))))</f>
        <v/>
      </c>
    </row>
    <row r="1306" ht="22" customHeight="1">
      <c r="B1306" s="8" t="inlineStr">
        <is>
          <t>MTR-DYE-001</t>
        </is>
      </c>
      <c r="C1306" s="8" t="inlineStr">
        <is>
          <t>2024-07-29</t>
        </is>
      </c>
      <c r="D1306" s="12" t="n">
        <v>56.53</v>
      </c>
      <c r="E1306" s="12" t="n">
        <v>50</v>
      </c>
      <c r="F1306" s="12">
        <f>ROUND(D1306-E1306,2)</f>
        <v/>
      </c>
      <c r="G1306" s="15">
        <f>IFERROR(ROUND(F1306/E1306,4),"")</f>
        <v/>
      </c>
      <c r="H1306" s="16">
        <f>IF(D1306=0,"NO DATA",IF(D1306&gt;E1306*1.5,"OVER",IF(D1306&gt;E1306*1.1,"HIGH",IF(D1306&lt;E1306*0.5,"LOW","OK"))))</f>
        <v/>
      </c>
    </row>
    <row r="1307" ht="22" customHeight="1">
      <c r="B1307" s="5" t="inlineStr">
        <is>
          <t>MTR-DYE-001</t>
        </is>
      </c>
      <c r="C1307" s="5" t="inlineStr">
        <is>
          <t>2024-07-30</t>
        </is>
      </c>
      <c r="D1307" s="11" t="n">
        <v>54.29</v>
      </c>
      <c r="E1307" s="11" t="n">
        <v>50</v>
      </c>
      <c r="F1307" s="11">
        <f>ROUND(D1307-E1307,2)</f>
        <v/>
      </c>
      <c r="G1307" s="13">
        <f>IFERROR(ROUND(F1307/E1307,4),"")</f>
        <v/>
      </c>
      <c r="H1307" s="14">
        <f>IF(D1307=0,"NO DATA",IF(D1307&gt;E1307*1.5,"OVER",IF(D1307&gt;E1307*1.1,"HIGH",IF(D1307&lt;E1307*0.5,"LOW","OK"))))</f>
        <v/>
      </c>
    </row>
    <row r="1308" ht="22" customHeight="1">
      <c r="B1308" s="8" t="inlineStr">
        <is>
          <t>MTR-DYE-001</t>
        </is>
      </c>
      <c r="C1308" s="8" t="inlineStr">
        <is>
          <t>2024-07-31</t>
        </is>
      </c>
      <c r="D1308" s="12" t="n">
        <v>62.66</v>
      </c>
      <c r="E1308" s="12" t="n">
        <v>50</v>
      </c>
      <c r="F1308" s="12">
        <f>ROUND(D1308-E1308,2)</f>
        <v/>
      </c>
      <c r="G1308" s="15">
        <f>IFERROR(ROUND(F1308/E1308,4),"")</f>
        <v/>
      </c>
      <c r="H1308" s="16">
        <f>IF(D1308=0,"NO DATA",IF(D1308&gt;E1308*1.5,"OVER",IF(D1308&gt;E1308*1.1,"HIGH",IF(D1308&lt;E1308*0.5,"LOW","OK"))))</f>
        <v/>
      </c>
    </row>
    <row r="1309" ht="22" customHeight="1">
      <c r="B1309" s="5" t="inlineStr">
        <is>
          <t>MTR-DYE-001</t>
        </is>
      </c>
      <c r="C1309" s="5" t="inlineStr">
        <is>
          <t>2024-08-01</t>
        </is>
      </c>
      <c r="D1309" s="11" t="n">
        <v>54.37</v>
      </c>
      <c r="E1309" s="11" t="n">
        <v>50</v>
      </c>
      <c r="F1309" s="11">
        <f>ROUND(D1309-E1309,2)</f>
        <v/>
      </c>
      <c r="G1309" s="13">
        <f>IFERROR(ROUND(F1309/E1309,4),"")</f>
        <v/>
      </c>
      <c r="H1309" s="14">
        <f>IF(D1309=0,"NO DATA",IF(D1309&gt;E1309*1.5,"OVER",IF(D1309&gt;E1309*1.1,"HIGH",IF(D1309&lt;E1309*0.5,"LOW","OK"))))</f>
        <v/>
      </c>
    </row>
    <row r="1310" ht="22" customHeight="1">
      <c r="B1310" s="8" t="inlineStr">
        <is>
          <t>MTR-DYE-001</t>
        </is>
      </c>
      <c r="C1310" s="8" t="inlineStr">
        <is>
          <t>2024-08-02</t>
        </is>
      </c>
      <c r="D1310" s="12" t="n">
        <v>50.54</v>
      </c>
      <c r="E1310" s="12" t="n">
        <v>50</v>
      </c>
      <c r="F1310" s="12">
        <f>ROUND(D1310-E1310,2)</f>
        <v/>
      </c>
      <c r="G1310" s="15">
        <f>IFERROR(ROUND(F1310/E1310,4),"")</f>
        <v/>
      </c>
      <c r="H1310" s="16">
        <f>IF(D1310=0,"NO DATA",IF(D1310&gt;E1310*1.5,"OVER",IF(D1310&gt;E1310*1.1,"HIGH",IF(D1310&lt;E1310*0.5,"LOW","OK"))))</f>
        <v/>
      </c>
    </row>
    <row r="1311" ht="22" customHeight="1">
      <c r="B1311" s="5" t="inlineStr">
        <is>
          <t>MTR-DYE-001</t>
        </is>
      </c>
      <c r="C1311" s="5" t="inlineStr">
        <is>
          <t>2024-08-03</t>
        </is>
      </c>
      <c r="D1311" s="11" t="n">
        <v>47.41</v>
      </c>
      <c r="E1311" s="11" t="n">
        <v>50</v>
      </c>
      <c r="F1311" s="11">
        <f>ROUND(D1311-E1311,2)</f>
        <v/>
      </c>
      <c r="G1311" s="13">
        <f>IFERROR(ROUND(F1311/E1311,4),"")</f>
        <v/>
      </c>
      <c r="H1311" s="14">
        <f>IF(D1311=0,"NO DATA",IF(D1311&gt;E1311*1.5,"OVER",IF(D1311&gt;E1311*1.1,"HIGH",IF(D1311&lt;E1311*0.5,"LOW","OK"))))</f>
        <v/>
      </c>
    </row>
    <row r="1312" ht="22" customHeight="1">
      <c r="B1312" s="8" t="inlineStr">
        <is>
          <t>MTR-DYE-001</t>
        </is>
      </c>
      <c r="C1312" s="8" t="inlineStr">
        <is>
          <t>2024-08-04</t>
        </is>
      </c>
      <c r="D1312" s="12" t="n">
        <v>30.89</v>
      </c>
      <c r="E1312" s="12" t="n">
        <v>50</v>
      </c>
      <c r="F1312" s="12">
        <f>ROUND(D1312-E1312,2)</f>
        <v/>
      </c>
      <c r="G1312" s="15">
        <f>IFERROR(ROUND(F1312/E1312,4),"")</f>
        <v/>
      </c>
      <c r="H1312" s="16">
        <f>IF(D1312=0,"NO DATA",IF(D1312&gt;E1312*1.5,"OVER",IF(D1312&gt;E1312*1.1,"HIGH",IF(D1312&lt;E1312*0.5,"LOW","OK"))))</f>
        <v/>
      </c>
    </row>
    <row r="1313" ht="22" customHeight="1">
      <c r="B1313" s="5" t="inlineStr">
        <is>
          <t>MTR-DYE-001</t>
        </is>
      </c>
      <c r="C1313" s="5" t="inlineStr">
        <is>
          <t>2024-08-05</t>
        </is>
      </c>
      <c r="D1313" s="11" t="n">
        <v>57.34</v>
      </c>
      <c r="E1313" s="11" t="n">
        <v>50</v>
      </c>
      <c r="F1313" s="11">
        <f>ROUND(D1313-E1313,2)</f>
        <v/>
      </c>
      <c r="G1313" s="13">
        <f>IFERROR(ROUND(F1313/E1313,4),"")</f>
        <v/>
      </c>
      <c r="H1313" s="14">
        <f>IF(D1313=0,"NO DATA",IF(D1313&gt;E1313*1.5,"OVER",IF(D1313&gt;E1313*1.1,"HIGH",IF(D1313&lt;E1313*0.5,"LOW","OK"))))</f>
        <v/>
      </c>
    </row>
    <row r="1314" ht="22" customHeight="1">
      <c r="B1314" s="8" t="inlineStr">
        <is>
          <t>MTR-DYE-001</t>
        </is>
      </c>
      <c r="C1314" s="8" t="inlineStr">
        <is>
          <t>2024-08-06</t>
        </is>
      </c>
      <c r="D1314" s="12" t="n">
        <v>59.57</v>
      </c>
      <c r="E1314" s="12" t="n">
        <v>50</v>
      </c>
      <c r="F1314" s="12">
        <f>ROUND(D1314-E1314,2)</f>
        <v/>
      </c>
      <c r="G1314" s="15">
        <f>IFERROR(ROUND(F1314/E1314,4),"")</f>
        <v/>
      </c>
      <c r="H1314" s="16">
        <f>IF(D1314=0,"NO DATA",IF(D1314&gt;E1314*1.5,"OVER",IF(D1314&gt;E1314*1.1,"HIGH",IF(D1314&lt;E1314*0.5,"LOW","OK"))))</f>
        <v/>
      </c>
    </row>
    <row r="1315" ht="22" customHeight="1">
      <c r="B1315" s="5" t="inlineStr">
        <is>
          <t>MTR-DYE-001</t>
        </is>
      </c>
      <c r="C1315" s="5" t="inlineStr">
        <is>
          <t>2024-08-07</t>
        </is>
      </c>
      <c r="D1315" s="11" t="n">
        <v>57.99</v>
      </c>
      <c r="E1315" s="11" t="n">
        <v>50</v>
      </c>
      <c r="F1315" s="11">
        <f>ROUND(D1315-E1315,2)</f>
        <v/>
      </c>
      <c r="G1315" s="13">
        <f>IFERROR(ROUND(F1315/E1315,4),"")</f>
        <v/>
      </c>
      <c r="H1315" s="14">
        <f>IF(D1315=0,"NO DATA",IF(D1315&gt;E1315*1.5,"OVER",IF(D1315&gt;E1315*1.1,"HIGH",IF(D1315&lt;E1315*0.5,"LOW","OK"))))</f>
        <v/>
      </c>
    </row>
    <row r="1316" ht="22" customHeight="1">
      <c r="B1316" s="8" t="inlineStr">
        <is>
          <t>MTR-DYE-001</t>
        </is>
      </c>
      <c r="C1316" s="8" t="inlineStr">
        <is>
          <t>2024-08-08</t>
        </is>
      </c>
      <c r="D1316" s="12" t="n">
        <v>61.98</v>
      </c>
      <c r="E1316" s="12" t="n">
        <v>50</v>
      </c>
      <c r="F1316" s="12">
        <f>ROUND(D1316-E1316,2)</f>
        <v/>
      </c>
      <c r="G1316" s="15">
        <f>IFERROR(ROUND(F1316/E1316,4),"")</f>
        <v/>
      </c>
      <c r="H1316" s="16">
        <f>IF(D1316=0,"NO DATA",IF(D1316&gt;E1316*1.5,"OVER",IF(D1316&gt;E1316*1.1,"HIGH",IF(D1316&lt;E1316*0.5,"LOW","OK"))))</f>
        <v/>
      </c>
    </row>
    <row r="1317" ht="22" customHeight="1">
      <c r="B1317" s="5" t="inlineStr">
        <is>
          <t>MTR-DYE-001</t>
        </is>
      </c>
      <c r="C1317" s="5" t="inlineStr">
        <is>
          <t>2024-08-09</t>
        </is>
      </c>
      <c r="D1317" s="11" t="n">
        <v>55.74</v>
      </c>
      <c r="E1317" s="11" t="n">
        <v>50</v>
      </c>
      <c r="F1317" s="11">
        <f>ROUND(D1317-E1317,2)</f>
        <v/>
      </c>
      <c r="G1317" s="13">
        <f>IFERROR(ROUND(F1317/E1317,4),"")</f>
        <v/>
      </c>
      <c r="H1317" s="14">
        <f>IF(D1317=0,"NO DATA",IF(D1317&gt;E1317*1.5,"OVER",IF(D1317&gt;E1317*1.1,"HIGH",IF(D1317&lt;E1317*0.5,"LOW","OK"))))</f>
        <v/>
      </c>
    </row>
    <row r="1318" ht="22" customHeight="1">
      <c r="B1318" s="8" t="inlineStr">
        <is>
          <t>MTR-DYE-001</t>
        </is>
      </c>
      <c r="C1318" s="8" t="inlineStr">
        <is>
          <t>2024-08-10</t>
        </is>
      </c>
      <c r="D1318" s="12" t="n">
        <v>39.43</v>
      </c>
      <c r="E1318" s="12" t="n">
        <v>50</v>
      </c>
      <c r="F1318" s="12">
        <f>ROUND(D1318-E1318,2)</f>
        <v/>
      </c>
      <c r="G1318" s="15">
        <f>IFERROR(ROUND(F1318/E1318,4),"")</f>
        <v/>
      </c>
      <c r="H1318" s="16">
        <f>IF(D1318=0,"NO DATA",IF(D1318&gt;E1318*1.5,"OVER",IF(D1318&gt;E1318*1.1,"HIGH",IF(D1318&lt;E1318*0.5,"LOW","OK"))))</f>
        <v/>
      </c>
    </row>
    <row r="1319" ht="22" customHeight="1">
      <c r="B1319" s="5" t="inlineStr">
        <is>
          <t>MTR-DYE-001</t>
        </is>
      </c>
      <c r="C1319" s="5" t="inlineStr">
        <is>
          <t>2024-08-11</t>
        </is>
      </c>
      <c r="D1319" s="11" t="n">
        <v>28.95</v>
      </c>
      <c r="E1319" s="11" t="n">
        <v>50</v>
      </c>
      <c r="F1319" s="11">
        <f>ROUND(D1319-E1319,2)</f>
        <v/>
      </c>
      <c r="G1319" s="13">
        <f>IFERROR(ROUND(F1319/E1319,4),"")</f>
        <v/>
      </c>
      <c r="H1319" s="14">
        <f>IF(D1319=0,"NO DATA",IF(D1319&gt;E1319*1.5,"OVER",IF(D1319&gt;E1319*1.1,"HIGH",IF(D1319&lt;E1319*0.5,"LOW","OK"))))</f>
        <v/>
      </c>
    </row>
    <row r="1320" ht="22" customHeight="1">
      <c r="B1320" s="8" t="inlineStr">
        <is>
          <t>MTR-DYE-001</t>
        </is>
      </c>
      <c r="C1320" s="8" t="inlineStr">
        <is>
          <t>2024-08-12</t>
        </is>
      </c>
      <c r="D1320" s="12" t="n">
        <v>52.51</v>
      </c>
      <c r="E1320" s="12" t="n">
        <v>50</v>
      </c>
      <c r="F1320" s="12">
        <f>ROUND(D1320-E1320,2)</f>
        <v/>
      </c>
      <c r="G1320" s="15">
        <f>IFERROR(ROUND(F1320/E1320,4),"")</f>
        <v/>
      </c>
      <c r="H1320" s="16">
        <f>IF(D1320=0,"NO DATA",IF(D1320&gt;E1320*1.5,"OVER",IF(D1320&gt;E1320*1.1,"HIGH",IF(D1320&lt;E1320*0.5,"LOW","OK"))))</f>
        <v/>
      </c>
    </row>
    <row r="1321" ht="22" customHeight="1">
      <c r="B1321" s="5" t="inlineStr">
        <is>
          <t>MTR-DYE-001</t>
        </is>
      </c>
      <c r="C1321" s="5" t="inlineStr">
        <is>
          <t>2024-08-13</t>
        </is>
      </c>
      <c r="D1321" s="11" t="n">
        <v>50.56</v>
      </c>
      <c r="E1321" s="11" t="n">
        <v>50</v>
      </c>
      <c r="F1321" s="11">
        <f>ROUND(D1321-E1321,2)</f>
        <v/>
      </c>
      <c r="G1321" s="13">
        <f>IFERROR(ROUND(F1321/E1321,4),"")</f>
        <v/>
      </c>
      <c r="H1321" s="14">
        <f>IF(D1321=0,"NO DATA",IF(D1321&gt;E1321*1.5,"OVER",IF(D1321&gt;E1321*1.1,"HIGH",IF(D1321&lt;E1321*0.5,"LOW","OK"))))</f>
        <v/>
      </c>
    </row>
    <row r="1322" ht="22" customHeight="1">
      <c r="B1322" s="8" t="inlineStr">
        <is>
          <t>MTR-DYE-001</t>
        </is>
      </c>
      <c r="C1322" s="8" t="inlineStr">
        <is>
          <t>2024-08-14</t>
        </is>
      </c>
      <c r="D1322" s="12" t="n">
        <v>55.87</v>
      </c>
      <c r="E1322" s="12" t="n">
        <v>50</v>
      </c>
      <c r="F1322" s="12">
        <f>ROUND(D1322-E1322,2)</f>
        <v/>
      </c>
      <c r="G1322" s="15">
        <f>IFERROR(ROUND(F1322/E1322,4),"")</f>
        <v/>
      </c>
      <c r="H1322" s="16">
        <f>IF(D1322=0,"NO DATA",IF(D1322&gt;E1322*1.5,"OVER",IF(D1322&gt;E1322*1.1,"HIGH",IF(D1322&lt;E1322*0.5,"LOW","OK"))))</f>
        <v/>
      </c>
    </row>
    <row r="1323" ht="22" customHeight="1">
      <c r="B1323" s="5" t="inlineStr">
        <is>
          <t>MTR-DYE-001</t>
        </is>
      </c>
      <c r="C1323" s="5" t="inlineStr">
        <is>
          <t>2024-08-15</t>
        </is>
      </c>
      <c r="D1323" s="11" t="n">
        <v>59.48</v>
      </c>
      <c r="E1323" s="11" t="n">
        <v>50</v>
      </c>
      <c r="F1323" s="11">
        <f>ROUND(D1323-E1323,2)</f>
        <v/>
      </c>
      <c r="G1323" s="13">
        <f>IFERROR(ROUND(F1323/E1323,4),"")</f>
        <v/>
      </c>
      <c r="H1323" s="14">
        <f>IF(D1323=0,"NO DATA",IF(D1323&gt;E1323*1.5,"OVER",IF(D1323&gt;E1323*1.1,"HIGH",IF(D1323&lt;E1323*0.5,"LOW","OK"))))</f>
        <v/>
      </c>
    </row>
    <row r="1324" ht="22" customHeight="1">
      <c r="B1324" s="8" t="inlineStr">
        <is>
          <t>MTR-DYE-001</t>
        </is>
      </c>
      <c r="C1324" s="8" t="inlineStr">
        <is>
          <t>2024-08-16</t>
        </is>
      </c>
      <c r="D1324" s="12" t="n">
        <v>50.94</v>
      </c>
      <c r="E1324" s="12" t="n">
        <v>50</v>
      </c>
      <c r="F1324" s="12">
        <f>ROUND(D1324-E1324,2)</f>
        <v/>
      </c>
      <c r="G1324" s="15">
        <f>IFERROR(ROUND(F1324/E1324,4),"")</f>
        <v/>
      </c>
      <c r="H1324" s="16">
        <f>IF(D1324=0,"NO DATA",IF(D1324&gt;E1324*1.5,"OVER",IF(D1324&gt;E1324*1.1,"HIGH",IF(D1324&lt;E1324*0.5,"LOW","OK"))))</f>
        <v/>
      </c>
    </row>
    <row r="1325" ht="22" customHeight="1">
      <c r="B1325" s="5" t="inlineStr">
        <is>
          <t>MTR-DYE-001</t>
        </is>
      </c>
      <c r="C1325" s="5" t="inlineStr">
        <is>
          <t>2024-08-17</t>
        </is>
      </c>
      <c r="D1325" s="11" t="n">
        <v>39.76</v>
      </c>
      <c r="E1325" s="11" t="n">
        <v>50</v>
      </c>
      <c r="F1325" s="11">
        <f>ROUND(D1325-E1325,2)</f>
        <v/>
      </c>
      <c r="G1325" s="13">
        <f>IFERROR(ROUND(F1325/E1325,4),"")</f>
        <v/>
      </c>
      <c r="H1325" s="14">
        <f>IF(D1325=0,"NO DATA",IF(D1325&gt;E1325*1.5,"OVER",IF(D1325&gt;E1325*1.1,"HIGH",IF(D1325&lt;E1325*0.5,"LOW","OK"))))</f>
        <v/>
      </c>
    </row>
    <row r="1326" ht="22" customHeight="1">
      <c r="B1326" s="8" t="inlineStr">
        <is>
          <t>MTR-DYE-001</t>
        </is>
      </c>
      <c r="C1326" s="8" t="inlineStr">
        <is>
          <t>2024-08-18</t>
        </is>
      </c>
      <c r="D1326" s="12" t="n">
        <v>29.94</v>
      </c>
      <c r="E1326" s="12" t="n">
        <v>50</v>
      </c>
      <c r="F1326" s="12">
        <f>ROUND(D1326-E1326,2)</f>
        <v/>
      </c>
      <c r="G1326" s="15">
        <f>IFERROR(ROUND(F1326/E1326,4),"")</f>
        <v/>
      </c>
      <c r="H1326" s="16">
        <f>IF(D1326=0,"NO DATA",IF(D1326&gt;E1326*1.5,"OVER",IF(D1326&gt;E1326*1.1,"HIGH",IF(D1326&lt;E1326*0.5,"LOW","OK"))))</f>
        <v/>
      </c>
    </row>
    <row r="1327" ht="22" customHeight="1">
      <c r="B1327" s="5" t="inlineStr">
        <is>
          <t>MTR-DYE-001</t>
        </is>
      </c>
      <c r="C1327" s="5" t="inlineStr">
        <is>
          <t>2024-08-19</t>
        </is>
      </c>
      <c r="D1327" s="11" t="n">
        <v>54.9</v>
      </c>
      <c r="E1327" s="11" t="n">
        <v>50</v>
      </c>
      <c r="F1327" s="11">
        <f>ROUND(D1327-E1327,2)</f>
        <v/>
      </c>
      <c r="G1327" s="13">
        <f>IFERROR(ROUND(F1327/E1327,4),"")</f>
        <v/>
      </c>
      <c r="H1327" s="14">
        <f>IF(D1327=0,"NO DATA",IF(D1327&gt;E1327*1.5,"OVER",IF(D1327&gt;E1327*1.1,"HIGH",IF(D1327&lt;E1327*0.5,"LOW","OK"))))</f>
        <v/>
      </c>
    </row>
    <row r="1328" ht="22" customHeight="1">
      <c r="B1328" s="8" t="inlineStr">
        <is>
          <t>MTR-DYE-001</t>
        </is>
      </c>
      <c r="C1328" s="8" t="inlineStr">
        <is>
          <t>2024-08-20</t>
        </is>
      </c>
      <c r="D1328" s="12" t="n">
        <v>56.91</v>
      </c>
      <c r="E1328" s="12" t="n">
        <v>50</v>
      </c>
      <c r="F1328" s="12">
        <f>ROUND(D1328-E1328,2)</f>
        <v/>
      </c>
      <c r="G1328" s="15">
        <f>IFERROR(ROUND(F1328/E1328,4),"")</f>
        <v/>
      </c>
      <c r="H1328" s="16">
        <f>IF(D1328=0,"NO DATA",IF(D1328&gt;E1328*1.5,"OVER",IF(D1328&gt;E1328*1.1,"HIGH",IF(D1328&lt;E1328*0.5,"LOW","OK"))))</f>
        <v/>
      </c>
    </row>
    <row r="1329" ht="22" customHeight="1">
      <c r="B1329" s="5" t="inlineStr">
        <is>
          <t>MTR-DYE-001</t>
        </is>
      </c>
      <c r="C1329" s="5" t="inlineStr">
        <is>
          <t>2024-08-21</t>
        </is>
      </c>
      <c r="D1329" s="11" t="n">
        <v>47.91</v>
      </c>
      <c r="E1329" s="11" t="n">
        <v>50</v>
      </c>
      <c r="F1329" s="11">
        <f>ROUND(D1329-E1329,2)</f>
        <v/>
      </c>
      <c r="G1329" s="13">
        <f>IFERROR(ROUND(F1329/E1329,4),"")</f>
        <v/>
      </c>
      <c r="H1329" s="14">
        <f>IF(D1329=0,"NO DATA",IF(D1329&gt;E1329*1.5,"OVER",IF(D1329&gt;E1329*1.1,"HIGH",IF(D1329&lt;E1329*0.5,"LOW","OK"))))</f>
        <v/>
      </c>
    </row>
    <row r="1330" ht="22" customHeight="1">
      <c r="B1330" s="8" t="inlineStr">
        <is>
          <t>MTR-DYE-001</t>
        </is>
      </c>
      <c r="C1330" s="8" t="inlineStr">
        <is>
          <t>2024-08-22</t>
        </is>
      </c>
      <c r="D1330" s="12" t="n">
        <v>55.78</v>
      </c>
      <c r="E1330" s="12" t="n">
        <v>50</v>
      </c>
      <c r="F1330" s="12">
        <f>ROUND(D1330-E1330,2)</f>
        <v/>
      </c>
      <c r="G1330" s="15">
        <f>IFERROR(ROUND(F1330/E1330,4),"")</f>
        <v/>
      </c>
      <c r="H1330" s="16">
        <f>IF(D1330=0,"NO DATA",IF(D1330&gt;E1330*1.5,"OVER",IF(D1330&gt;E1330*1.1,"HIGH",IF(D1330&lt;E1330*0.5,"LOW","OK"))))</f>
        <v/>
      </c>
    </row>
    <row r="1331" ht="22" customHeight="1">
      <c r="B1331" s="5" t="inlineStr">
        <is>
          <t>MTR-DYE-001</t>
        </is>
      </c>
      <c r="C1331" s="5" t="inlineStr">
        <is>
          <t>2024-08-23</t>
        </is>
      </c>
      <c r="D1331" s="11" t="n">
        <v>51.78</v>
      </c>
      <c r="E1331" s="11" t="n">
        <v>50</v>
      </c>
      <c r="F1331" s="11">
        <f>ROUND(D1331-E1331,2)</f>
        <v/>
      </c>
      <c r="G1331" s="13">
        <f>IFERROR(ROUND(F1331/E1331,4),"")</f>
        <v/>
      </c>
      <c r="H1331" s="14">
        <f>IF(D1331=0,"NO DATA",IF(D1331&gt;E1331*1.5,"OVER",IF(D1331&gt;E1331*1.1,"HIGH",IF(D1331&lt;E1331*0.5,"LOW","OK"))))</f>
        <v/>
      </c>
    </row>
    <row r="1332" ht="22" customHeight="1">
      <c r="B1332" s="8" t="inlineStr">
        <is>
          <t>MTR-DYE-001</t>
        </is>
      </c>
      <c r="C1332" s="8" t="inlineStr">
        <is>
          <t>2024-08-24</t>
        </is>
      </c>
      <c r="D1332" s="12" t="n">
        <v>38.91</v>
      </c>
      <c r="E1332" s="12" t="n">
        <v>50</v>
      </c>
      <c r="F1332" s="12">
        <f>ROUND(D1332-E1332,2)</f>
        <v/>
      </c>
      <c r="G1332" s="15">
        <f>IFERROR(ROUND(F1332/E1332,4),"")</f>
        <v/>
      </c>
      <c r="H1332" s="16">
        <f>IF(D1332=0,"NO DATA",IF(D1332&gt;E1332*1.5,"OVER",IF(D1332&gt;E1332*1.1,"HIGH",IF(D1332&lt;E1332*0.5,"LOW","OK"))))</f>
        <v/>
      </c>
    </row>
    <row r="1333" ht="22" customHeight="1">
      <c r="B1333" s="5" t="inlineStr">
        <is>
          <t>MTR-DYE-001</t>
        </is>
      </c>
      <c r="C1333" s="5" t="inlineStr">
        <is>
          <t>2024-08-25</t>
        </is>
      </c>
      <c r="D1333" s="11" t="n">
        <v>26.17</v>
      </c>
      <c r="E1333" s="11" t="n">
        <v>50</v>
      </c>
      <c r="F1333" s="11">
        <f>ROUND(D1333-E1333,2)</f>
        <v/>
      </c>
      <c r="G1333" s="13">
        <f>IFERROR(ROUND(F1333/E1333,4),"")</f>
        <v/>
      </c>
      <c r="H1333" s="14">
        <f>IF(D1333=0,"NO DATA",IF(D1333&gt;E1333*1.5,"OVER",IF(D1333&gt;E1333*1.1,"HIGH",IF(D1333&lt;E1333*0.5,"LOW","OK"))))</f>
        <v/>
      </c>
    </row>
    <row r="1334" ht="22" customHeight="1">
      <c r="B1334" s="8" t="inlineStr">
        <is>
          <t>MTR-DYE-001</t>
        </is>
      </c>
      <c r="C1334" s="8" t="inlineStr">
        <is>
          <t>2024-08-26</t>
        </is>
      </c>
      <c r="D1334" s="12" t="n">
        <v>52.53</v>
      </c>
      <c r="E1334" s="12" t="n">
        <v>50</v>
      </c>
      <c r="F1334" s="12">
        <f>ROUND(D1334-E1334,2)</f>
        <v/>
      </c>
      <c r="G1334" s="15">
        <f>IFERROR(ROUND(F1334/E1334,4),"")</f>
        <v/>
      </c>
      <c r="H1334" s="16">
        <f>IF(D1334=0,"NO DATA",IF(D1334&gt;E1334*1.5,"OVER",IF(D1334&gt;E1334*1.1,"HIGH",IF(D1334&lt;E1334*0.5,"LOW","OK"))))</f>
        <v/>
      </c>
    </row>
    <row r="1335" ht="22" customHeight="1">
      <c r="B1335" s="5" t="inlineStr">
        <is>
          <t>MTR-DYE-001</t>
        </is>
      </c>
      <c r="C1335" s="5" t="inlineStr">
        <is>
          <t>2024-08-27</t>
        </is>
      </c>
      <c r="D1335" s="11" t="n">
        <v>50.46</v>
      </c>
      <c r="E1335" s="11" t="n">
        <v>50</v>
      </c>
      <c r="F1335" s="11">
        <f>ROUND(D1335-E1335,2)</f>
        <v/>
      </c>
      <c r="G1335" s="13">
        <f>IFERROR(ROUND(F1335/E1335,4),"")</f>
        <v/>
      </c>
      <c r="H1335" s="14">
        <f>IF(D1335=0,"NO DATA",IF(D1335&gt;E1335*1.5,"OVER",IF(D1335&gt;E1335*1.1,"HIGH",IF(D1335&lt;E1335*0.5,"LOW","OK"))))</f>
        <v/>
      </c>
    </row>
    <row r="1336" ht="22" customHeight="1">
      <c r="B1336" s="8" t="inlineStr">
        <is>
          <t>MTR-DYE-001</t>
        </is>
      </c>
      <c r="C1336" s="8" t="inlineStr">
        <is>
          <t>2024-08-28</t>
        </is>
      </c>
      <c r="D1336" s="12" t="n">
        <v>49</v>
      </c>
      <c r="E1336" s="12" t="n">
        <v>50</v>
      </c>
      <c r="F1336" s="12">
        <f>ROUND(D1336-E1336,2)</f>
        <v/>
      </c>
      <c r="G1336" s="15">
        <f>IFERROR(ROUND(F1336/E1336,4),"")</f>
        <v/>
      </c>
      <c r="H1336" s="16">
        <f>IF(D1336=0,"NO DATA",IF(D1336&gt;E1336*1.5,"OVER",IF(D1336&gt;E1336*1.1,"HIGH",IF(D1336&lt;E1336*0.5,"LOW","OK"))))</f>
        <v/>
      </c>
    </row>
    <row r="1337" ht="22" customHeight="1">
      <c r="B1337" s="5" t="inlineStr">
        <is>
          <t>MTR-DYE-001</t>
        </is>
      </c>
      <c r="C1337" s="5" t="inlineStr">
        <is>
          <t>2024-08-29</t>
        </is>
      </c>
      <c r="D1337" s="11" t="n">
        <v>52.27</v>
      </c>
      <c r="E1337" s="11" t="n">
        <v>50</v>
      </c>
      <c r="F1337" s="11">
        <f>ROUND(D1337-E1337,2)</f>
        <v/>
      </c>
      <c r="G1337" s="13">
        <f>IFERROR(ROUND(F1337/E1337,4),"")</f>
        <v/>
      </c>
      <c r="H1337" s="14">
        <f>IF(D1337=0,"NO DATA",IF(D1337&gt;E1337*1.5,"OVER",IF(D1337&gt;E1337*1.1,"HIGH",IF(D1337&lt;E1337*0.5,"LOW","OK"))))</f>
        <v/>
      </c>
    </row>
    <row r="1338" ht="22" customHeight="1">
      <c r="B1338" s="8" t="inlineStr">
        <is>
          <t>MTR-DYE-001</t>
        </is>
      </c>
      <c r="C1338" s="8" t="inlineStr">
        <is>
          <t>2024-08-30</t>
        </is>
      </c>
      <c r="D1338" s="12" t="n">
        <v>61.36</v>
      </c>
      <c r="E1338" s="12" t="n">
        <v>50</v>
      </c>
      <c r="F1338" s="12">
        <f>ROUND(D1338-E1338,2)</f>
        <v/>
      </c>
      <c r="G1338" s="15">
        <f>IFERROR(ROUND(F1338/E1338,4),"")</f>
        <v/>
      </c>
      <c r="H1338" s="16">
        <f>IF(D1338=0,"NO DATA",IF(D1338&gt;E1338*1.5,"OVER",IF(D1338&gt;E1338*1.1,"HIGH",IF(D1338&lt;E1338*0.5,"LOW","OK"))))</f>
        <v/>
      </c>
    </row>
    <row r="1339" ht="22" customHeight="1">
      <c r="B1339" s="5" t="inlineStr">
        <is>
          <t>MTR-DYE-001</t>
        </is>
      </c>
      <c r="C1339" s="5" t="inlineStr">
        <is>
          <t>2024-08-31</t>
        </is>
      </c>
      <c r="D1339" s="11" t="n">
        <v>39.19</v>
      </c>
      <c r="E1339" s="11" t="n">
        <v>50</v>
      </c>
      <c r="F1339" s="11">
        <f>ROUND(D1339-E1339,2)</f>
        <v/>
      </c>
      <c r="G1339" s="13">
        <f>IFERROR(ROUND(F1339/E1339,4),"")</f>
        <v/>
      </c>
      <c r="H1339" s="14">
        <f>IF(D1339=0,"NO DATA",IF(D1339&gt;E1339*1.5,"OVER",IF(D1339&gt;E1339*1.1,"HIGH",IF(D1339&lt;E1339*0.5,"LOW","OK"))))</f>
        <v/>
      </c>
    </row>
    <row r="1340" ht="22" customHeight="1">
      <c r="B1340" s="8" t="inlineStr">
        <is>
          <t>MTR-DYE-001</t>
        </is>
      </c>
      <c r="C1340" s="8" t="inlineStr">
        <is>
          <t>2024-09-01</t>
        </is>
      </c>
      <c r="D1340" s="12" t="n">
        <v>28.26</v>
      </c>
      <c r="E1340" s="12" t="n">
        <v>50</v>
      </c>
      <c r="F1340" s="12">
        <f>ROUND(D1340-E1340,2)</f>
        <v/>
      </c>
      <c r="G1340" s="15">
        <f>IFERROR(ROUND(F1340/E1340,4),"")</f>
        <v/>
      </c>
      <c r="H1340" s="16">
        <f>IF(D1340=0,"NO DATA",IF(D1340&gt;E1340*1.5,"OVER",IF(D1340&gt;E1340*1.1,"HIGH",IF(D1340&lt;E1340*0.5,"LOW","OK"))))</f>
        <v/>
      </c>
    </row>
    <row r="1341" ht="22" customHeight="1">
      <c r="B1341" s="5" t="inlineStr">
        <is>
          <t>MTR-DYE-001</t>
        </is>
      </c>
      <c r="C1341" s="5" t="inlineStr">
        <is>
          <t>2024-09-02</t>
        </is>
      </c>
      <c r="D1341" s="11" t="n">
        <v>54.07</v>
      </c>
      <c r="E1341" s="11" t="n">
        <v>50</v>
      </c>
      <c r="F1341" s="11">
        <f>ROUND(D1341-E1341,2)</f>
        <v/>
      </c>
      <c r="G1341" s="13">
        <f>IFERROR(ROUND(F1341/E1341,4),"")</f>
        <v/>
      </c>
      <c r="H1341" s="14">
        <f>IF(D1341=0,"NO DATA",IF(D1341&gt;E1341*1.5,"OVER",IF(D1341&gt;E1341*1.1,"HIGH",IF(D1341&lt;E1341*0.5,"LOW","OK"))))</f>
        <v/>
      </c>
    </row>
    <row r="1342" ht="22" customHeight="1">
      <c r="B1342" s="8" t="inlineStr">
        <is>
          <t>MTR-DYE-001</t>
        </is>
      </c>
      <c r="C1342" s="8" t="inlineStr">
        <is>
          <t>2024-09-03</t>
        </is>
      </c>
      <c r="D1342" s="12" t="n">
        <v>56.91</v>
      </c>
      <c r="E1342" s="12" t="n">
        <v>50</v>
      </c>
      <c r="F1342" s="12">
        <f>ROUND(D1342-E1342,2)</f>
        <v/>
      </c>
      <c r="G1342" s="15">
        <f>IFERROR(ROUND(F1342/E1342,4),"")</f>
        <v/>
      </c>
      <c r="H1342" s="16">
        <f>IF(D1342=0,"NO DATA",IF(D1342&gt;E1342*1.5,"OVER",IF(D1342&gt;E1342*1.1,"HIGH",IF(D1342&lt;E1342*0.5,"LOW","OK"))))</f>
        <v/>
      </c>
    </row>
    <row r="1343" ht="22" customHeight="1">
      <c r="B1343" s="5" t="inlineStr">
        <is>
          <t>MTR-DYE-001</t>
        </is>
      </c>
      <c r="C1343" s="5" t="inlineStr">
        <is>
          <t>2024-09-04</t>
        </is>
      </c>
      <c r="D1343" s="11" t="n">
        <v>48.31</v>
      </c>
      <c r="E1343" s="11" t="n">
        <v>50</v>
      </c>
      <c r="F1343" s="11">
        <f>ROUND(D1343-E1343,2)</f>
        <v/>
      </c>
      <c r="G1343" s="13">
        <f>IFERROR(ROUND(F1343/E1343,4),"")</f>
        <v/>
      </c>
      <c r="H1343" s="14">
        <f>IF(D1343=0,"NO DATA",IF(D1343&gt;E1343*1.5,"OVER",IF(D1343&gt;E1343*1.1,"HIGH",IF(D1343&lt;E1343*0.5,"LOW","OK"))))</f>
        <v/>
      </c>
    </row>
    <row r="1344" ht="22" customHeight="1">
      <c r="B1344" s="8" t="inlineStr">
        <is>
          <t>MTR-DYE-001</t>
        </is>
      </c>
      <c r="C1344" s="8" t="inlineStr">
        <is>
          <t>2024-09-05</t>
        </is>
      </c>
      <c r="D1344" s="12" t="n">
        <v>54.03</v>
      </c>
      <c r="E1344" s="12" t="n">
        <v>50</v>
      </c>
      <c r="F1344" s="12">
        <f>ROUND(D1344-E1344,2)</f>
        <v/>
      </c>
      <c r="G1344" s="15">
        <f>IFERROR(ROUND(F1344/E1344,4),"")</f>
        <v/>
      </c>
      <c r="H1344" s="16">
        <f>IF(D1344=0,"NO DATA",IF(D1344&gt;E1344*1.5,"OVER",IF(D1344&gt;E1344*1.1,"HIGH",IF(D1344&lt;E1344*0.5,"LOW","OK"))))</f>
        <v/>
      </c>
    </row>
    <row r="1345" ht="22" customHeight="1">
      <c r="B1345" s="5" t="inlineStr">
        <is>
          <t>MTR-DYE-001</t>
        </is>
      </c>
      <c r="C1345" s="5" t="inlineStr">
        <is>
          <t>2024-09-06</t>
        </is>
      </c>
      <c r="D1345" s="11" t="n">
        <v>57.92</v>
      </c>
      <c r="E1345" s="11" t="n">
        <v>50</v>
      </c>
      <c r="F1345" s="11">
        <f>ROUND(D1345-E1345,2)</f>
        <v/>
      </c>
      <c r="G1345" s="13">
        <f>IFERROR(ROUND(F1345/E1345,4),"")</f>
        <v/>
      </c>
      <c r="H1345" s="14">
        <f>IF(D1345=0,"NO DATA",IF(D1345&gt;E1345*1.5,"OVER",IF(D1345&gt;E1345*1.1,"HIGH",IF(D1345&lt;E1345*0.5,"LOW","OK"))))</f>
        <v/>
      </c>
    </row>
    <row r="1346" ht="22" customHeight="1">
      <c r="B1346" s="8" t="inlineStr">
        <is>
          <t>MTR-DYE-001</t>
        </is>
      </c>
      <c r="C1346" s="8" t="inlineStr">
        <is>
          <t>2024-09-07</t>
        </is>
      </c>
      <c r="D1346" s="12" t="n">
        <v>40.55</v>
      </c>
      <c r="E1346" s="12" t="n">
        <v>50</v>
      </c>
      <c r="F1346" s="12">
        <f>ROUND(D1346-E1346,2)</f>
        <v/>
      </c>
      <c r="G1346" s="15">
        <f>IFERROR(ROUND(F1346/E1346,4),"")</f>
        <v/>
      </c>
      <c r="H1346" s="16">
        <f>IF(D1346=0,"NO DATA",IF(D1346&gt;E1346*1.5,"OVER",IF(D1346&gt;E1346*1.1,"HIGH",IF(D1346&lt;E1346*0.5,"LOW","OK"))))</f>
        <v/>
      </c>
    </row>
    <row r="1347" ht="22" customHeight="1">
      <c r="B1347" s="5" t="inlineStr">
        <is>
          <t>MTR-DYE-001</t>
        </is>
      </c>
      <c r="C1347" s="5" t="inlineStr">
        <is>
          <t>2024-09-08</t>
        </is>
      </c>
      <c r="D1347" s="11" t="n">
        <v>30.17</v>
      </c>
      <c r="E1347" s="11" t="n">
        <v>50</v>
      </c>
      <c r="F1347" s="11">
        <f>ROUND(D1347-E1347,2)</f>
        <v/>
      </c>
      <c r="G1347" s="13">
        <f>IFERROR(ROUND(F1347/E1347,4),"")</f>
        <v/>
      </c>
      <c r="H1347" s="14">
        <f>IF(D1347=0,"NO DATA",IF(D1347&gt;E1347*1.5,"OVER",IF(D1347&gt;E1347*1.1,"HIGH",IF(D1347&lt;E1347*0.5,"LOW","OK"))))</f>
        <v/>
      </c>
    </row>
    <row r="1348" ht="22" customHeight="1">
      <c r="B1348" s="8" t="inlineStr">
        <is>
          <t>MTR-DYE-001</t>
        </is>
      </c>
      <c r="C1348" s="8" t="inlineStr">
        <is>
          <t>2024-09-09</t>
        </is>
      </c>
      <c r="D1348" s="12" t="n">
        <v>46.46</v>
      </c>
      <c r="E1348" s="12" t="n">
        <v>50</v>
      </c>
      <c r="F1348" s="12">
        <f>ROUND(D1348-E1348,2)</f>
        <v/>
      </c>
      <c r="G1348" s="15">
        <f>IFERROR(ROUND(F1348/E1348,4),"")</f>
        <v/>
      </c>
      <c r="H1348" s="16">
        <f>IF(D1348=0,"NO DATA",IF(D1348&gt;E1348*1.5,"OVER",IF(D1348&gt;E1348*1.1,"HIGH",IF(D1348&lt;E1348*0.5,"LOW","OK"))))</f>
        <v/>
      </c>
    </row>
    <row r="1349" ht="22" customHeight="1">
      <c r="B1349" s="5" t="inlineStr">
        <is>
          <t>MTR-DYE-001</t>
        </is>
      </c>
      <c r="C1349" s="5" t="inlineStr">
        <is>
          <t>2024-09-10</t>
        </is>
      </c>
      <c r="D1349" s="11" t="n">
        <v>49.25</v>
      </c>
      <c r="E1349" s="11" t="n">
        <v>50</v>
      </c>
      <c r="F1349" s="11">
        <f>ROUND(D1349-E1349,2)</f>
        <v/>
      </c>
      <c r="G1349" s="13">
        <f>IFERROR(ROUND(F1349/E1349,4),"")</f>
        <v/>
      </c>
      <c r="H1349" s="14">
        <f>IF(D1349=0,"NO DATA",IF(D1349&gt;E1349*1.5,"OVER",IF(D1349&gt;E1349*1.1,"HIGH",IF(D1349&lt;E1349*0.5,"LOW","OK"))))</f>
        <v/>
      </c>
    </row>
    <row r="1350" ht="22" customHeight="1">
      <c r="B1350" s="8" t="inlineStr">
        <is>
          <t>MTR-DYE-001</t>
        </is>
      </c>
      <c r="C1350" s="8" t="inlineStr">
        <is>
          <t>2024-09-11</t>
        </is>
      </c>
      <c r="D1350" s="12" t="n">
        <v>45.24</v>
      </c>
      <c r="E1350" s="12" t="n">
        <v>50</v>
      </c>
      <c r="F1350" s="12">
        <f>ROUND(D1350-E1350,2)</f>
        <v/>
      </c>
      <c r="G1350" s="15">
        <f>IFERROR(ROUND(F1350/E1350,4),"")</f>
        <v/>
      </c>
      <c r="H1350" s="16">
        <f>IF(D1350=0,"NO DATA",IF(D1350&gt;E1350*1.5,"OVER",IF(D1350&gt;E1350*1.1,"HIGH",IF(D1350&lt;E1350*0.5,"LOW","OK"))))</f>
        <v/>
      </c>
    </row>
    <row r="1351" ht="22" customHeight="1">
      <c r="B1351" s="5" t="inlineStr">
        <is>
          <t>MTR-DYE-001</t>
        </is>
      </c>
      <c r="C1351" s="5" t="inlineStr">
        <is>
          <t>2024-09-12</t>
        </is>
      </c>
      <c r="D1351" s="11" t="n">
        <v>46.46</v>
      </c>
      <c r="E1351" s="11" t="n">
        <v>50</v>
      </c>
      <c r="F1351" s="11">
        <f>ROUND(D1351-E1351,2)</f>
        <v/>
      </c>
      <c r="G1351" s="13">
        <f>IFERROR(ROUND(F1351/E1351,4),"")</f>
        <v/>
      </c>
      <c r="H1351" s="14">
        <f>IF(D1351=0,"NO DATA",IF(D1351&gt;E1351*1.5,"OVER",IF(D1351&gt;E1351*1.1,"HIGH",IF(D1351&lt;E1351*0.5,"LOW","OK"))))</f>
        <v/>
      </c>
    </row>
    <row r="1352" ht="22" customHeight="1">
      <c r="B1352" s="8" t="inlineStr">
        <is>
          <t>MTR-DYE-001</t>
        </is>
      </c>
      <c r="C1352" s="8" t="inlineStr">
        <is>
          <t>2024-09-13</t>
        </is>
      </c>
      <c r="D1352" s="12" t="n">
        <v>51.8</v>
      </c>
      <c r="E1352" s="12" t="n">
        <v>50</v>
      </c>
      <c r="F1352" s="12">
        <f>ROUND(D1352-E1352,2)</f>
        <v/>
      </c>
      <c r="G1352" s="15">
        <f>IFERROR(ROUND(F1352/E1352,4),"")</f>
        <v/>
      </c>
      <c r="H1352" s="16">
        <f>IF(D1352=0,"NO DATA",IF(D1352&gt;E1352*1.5,"OVER",IF(D1352&gt;E1352*1.1,"HIGH",IF(D1352&lt;E1352*0.5,"LOW","OK"))))</f>
        <v/>
      </c>
    </row>
    <row r="1353" ht="22" customHeight="1">
      <c r="B1353" s="5" t="inlineStr">
        <is>
          <t>MTR-DYE-001</t>
        </is>
      </c>
      <c r="C1353" s="5" t="inlineStr">
        <is>
          <t>2024-09-14</t>
        </is>
      </c>
      <c r="D1353" s="11" t="n">
        <v>40.83</v>
      </c>
      <c r="E1353" s="11" t="n">
        <v>50</v>
      </c>
      <c r="F1353" s="11">
        <f>ROUND(D1353-E1353,2)</f>
        <v/>
      </c>
      <c r="G1353" s="13">
        <f>IFERROR(ROUND(F1353/E1353,4),"")</f>
        <v/>
      </c>
      <c r="H1353" s="14">
        <f>IF(D1353=0,"NO DATA",IF(D1353&gt;E1353*1.5,"OVER",IF(D1353&gt;E1353*1.1,"HIGH",IF(D1353&lt;E1353*0.5,"LOW","OK"))))</f>
        <v/>
      </c>
    </row>
    <row r="1354" ht="22" customHeight="1">
      <c r="B1354" s="8" t="inlineStr">
        <is>
          <t>MTR-DYE-001</t>
        </is>
      </c>
      <c r="C1354" s="8" t="inlineStr">
        <is>
          <t>2024-09-15</t>
        </is>
      </c>
      <c r="D1354" s="12" t="n">
        <v>4927.21</v>
      </c>
      <c r="E1354" s="12" t="n">
        <v>50</v>
      </c>
      <c r="F1354" s="12">
        <f>ROUND(D1354-E1354,2)</f>
        <v/>
      </c>
      <c r="G1354" s="15">
        <f>IFERROR(ROUND(F1354/E1354,4),"")</f>
        <v/>
      </c>
      <c r="H1354" s="16">
        <f>IF(D1354=0,"NO DATA",IF(D1354&gt;E1354*1.5,"OVER",IF(D1354&gt;E1354*1.1,"HIGH",IF(D1354&lt;E1354*0.5,"LOW","OK"))))</f>
        <v/>
      </c>
    </row>
    <row r="1355" ht="22" customHeight="1">
      <c r="B1355" s="5" t="inlineStr">
        <is>
          <t>MTR-DYE-001</t>
        </is>
      </c>
      <c r="C1355" s="5" t="inlineStr">
        <is>
          <t>2024-09-17</t>
        </is>
      </c>
      <c r="D1355" s="11" t="n">
        <v>54.34</v>
      </c>
      <c r="E1355" s="11" t="n">
        <v>50</v>
      </c>
      <c r="F1355" s="11">
        <f>ROUND(D1355-E1355,2)</f>
        <v/>
      </c>
      <c r="G1355" s="13">
        <f>IFERROR(ROUND(F1355/E1355,4),"")</f>
        <v/>
      </c>
      <c r="H1355" s="14">
        <f>IF(D1355=0,"NO DATA",IF(D1355&gt;E1355*1.5,"OVER",IF(D1355&gt;E1355*1.1,"HIGH",IF(D1355&lt;E1355*0.5,"LOW","OK"))))</f>
        <v/>
      </c>
    </row>
    <row r="1356" ht="22" customHeight="1">
      <c r="B1356" s="8" t="inlineStr">
        <is>
          <t>MTR-DYE-001</t>
        </is>
      </c>
      <c r="C1356" s="8" t="inlineStr">
        <is>
          <t>2024-09-18</t>
        </is>
      </c>
      <c r="D1356" s="12" t="n">
        <v>54.63</v>
      </c>
      <c r="E1356" s="12" t="n">
        <v>50</v>
      </c>
      <c r="F1356" s="12">
        <f>ROUND(D1356-E1356,2)</f>
        <v/>
      </c>
      <c r="G1356" s="15">
        <f>IFERROR(ROUND(F1356/E1356,4),"")</f>
        <v/>
      </c>
      <c r="H1356" s="16">
        <f>IF(D1356=0,"NO DATA",IF(D1356&gt;E1356*1.5,"OVER",IF(D1356&gt;E1356*1.1,"HIGH",IF(D1356&lt;E1356*0.5,"LOW","OK"))))</f>
        <v/>
      </c>
    </row>
    <row r="1357" ht="22" customHeight="1">
      <c r="B1357" s="5" t="inlineStr">
        <is>
          <t>MTR-DYE-001</t>
        </is>
      </c>
      <c r="C1357" s="5" t="inlineStr">
        <is>
          <t>2024-09-19</t>
        </is>
      </c>
      <c r="D1357" s="11" t="n">
        <v>57.43</v>
      </c>
      <c r="E1357" s="11" t="n">
        <v>50</v>
      </c>
      <c r="F1357" s="11">
        <f>ROUND(D1357-E1357,2)</f>
        <v/>
      </c>
      <c r="G1357" s="13">
        <f>IFERROR(ROUND(F1357/E1357,4),"")</f>
        <v/>
      </c>
      <c r="H1357" s="14">
        <f>IF(D1357=0,"NO DATA",IF(D1357&gt;E1357*1.5,"OVER",IF(D1357&gt;E1357*1.1,"HIGH",IF(D1357&lt;E1357*0.5,"LOW","OK"))))</f>
        <v/>
      </c>
    </row>
    <row r="1358" ht="22" customHeight="1">
      <c r="B1358" s="8" t="inlineStr">
        <is>
          <t>MTR-DYE-001</t>
        </is>
      </c>
      <c r="C1358" s="8" t="inlineStr">
        <is>
          <t>2024-09-20</t>
        </is>
      </c>
      <c r="D1358" s="12" t="n">
        <v>47.08</v>
      </c>
      <c r="E1358" s="12" t="n">
        <v>50</v>
      </c>
      <c r="F1358" s="12">
        <f>ROUND(D1358-E1358,2)</f>
        <v/>
      </c>
      <c r="G1358" s="15">
        <f>IFERROR(ROUND(F1358/E1358,4),"")</f>
        <v/>
      </c>
      <c r="H1358" s="16">
        <f>IF(D1358=0,"NO DATA",IF(D1358&gt;E1358*1.5,"OVER",IF(D1358&gt;E1358*1.1,"HIGH",IF(D1358&lt;E1358*0.5,"LOW","OK"))))</f>
        <v/>
      </c>
    </row>
    <row r="1359" ht="22" customHeight="1">
      <c r="B1359" s="5" t="inlineStr">
        <is>
          <t>MTR-DYE-001</t>
        </is>
      </c>
      <c r="C1359" s="5" t="inlineStr">
        <is>
          <t>2024-09-21</t>
        </is>
      </c>
      <c r="D1359" s="11" t="n">
        <v>36.93</v>
      </c>
      <c r="E1359" s="11" t="n">
        <v>50</v>
      </c>
      <c r="F1359" s="11">
        <f>ROUND(D1359-E1359,2)</f>
        <v/>
      </c>
      <c r="G1359" s="13">
        <f>IFERROR(ROUND(F1359/E1359,4),"")</f>
        <v/>
      </c>
      <c r="H1359" s="14">
        <f>IF(D1359=0,"NO DATA",IF(D1359&gt;E1359*1.5,"OVER",IF(D1359&gt;E1359*1.1,"HIGH",IF(D1359&lt;E1359*0.5,"LOW","OK"))))</f>
        <v/>
      </c>
    </row>
    <row r="1360" ht="22" customHeight="1">
      <c r="B1360" s="8" t="inlineStr">
        <is>
          <t>MTR-DYE-001</t>
        </is>
      </c>
      <c r="C1360" s="8" t="inlineStr">
        <is>
          <t>2024-09-22</t>
        </is>
      </c>
      <c r="D1360" s="12" t="n">
        <v>28.03</v>
      </c>
      <c r="E1360" s="12" t="n">
        <v>50</v>
      </c>
      <c r="F1360" s="12">
        <f>ROUND(D1360-E1360,2)</f>
        <v/>
      </c>
      <c r="G1360" s="15">
        <f>IFERROR(ROUND(F1360/E1360,4),"")</f>
        <v/>
      </c>
      <c r="H1360" s="16">
        <f>IF(D1360=0,"NO DATA",IF(D1360&gt;E1360*1.5,"OVER",IF(D1360&gt;E1360*1.1,"HIGH",IF(D1360&lt;E1360*0.5,"LOW","OK"))))</f>
        <v/>
      </c>
    </row>
    <row r="1361" ht="22" customHeight="1">
      <c r="B1361" s="5" t="inlineStr">
        <is>
          <t>MTR-DYE-001</t>
        </is>
      </c>
      <c r="C1361" s="5" t="inlineStr">
        <is>
          <t>2024-09-23</t>
        </is>
      </c>
      <c r="D1361" s="11" t="n">
        <v>55.79</v>
      </c>
      <c r="E1361" s="11" t="n">
        <v>50</v>
      </c>
      <c r="F1361" s="11">
        <f>ROUND(D1361-E1361,2)</f>
        <v/>
      </c>
      <c r="G1361" s="13">
        <f>IFERROR(ROUND(F1361/E1361,4),"")</f>
        <v/>
      </c>
      <c r="H1361" s="14">
        <f>IF(D1361=0,"NO DATA",IF(D1361&gt;E1361*1.5,"OVER",IF(D1361&gt;E1361*1.1,"HIGH",IF(D1361&lt;E1361*0.5,"LOW","OK"))))</f>
        <v/>
      </c>
    </row>
    <row r="1362" ht="22" customHeight="1">
      <c r="B1362" s="8" t="inlineStr">
        <is>
          <t>MTR-DYE-001</t>
        </is>
      </c>
      <c r="C1362" s="8" t="inlineStr">
        <is>
          <t>2024-09-24</t>
        </is>
      </c>
      <c r="D1362" s="12" t="n">
        <v>45.86</v>
      </c>
      <c r="E1362" s="12" t="n">
        <v>50</v>
      </c>
      <c r="F1362" s="12">
        <f>ROUND(D1362-E1362,2)</f>
        <v/>
      </c>
      <c r="G1362" s="15">
        <f>IFERROR(ROUND(F1362/E1362,4),"")</f>
        <v/>
      </c>
      <c r="H1362" s="16">
        <f>IF(D1362=0,"NO DATA",IF(D1362&gt;E1362*1.5,"OVER",IF(D1362&gt;E1362*1.1,"HIGH",IF(D1362&lt;E1362*0.5,"LOW","OK"))))</f>
        <v/>
      </c>
    </row>
    <row r="1363" ht="22" customHeight="1">
      <c r="B1363" s="5" t="inlineStr">
        <is>
          <t>MTR-DYE-001</t>
        </is>
      </c>
      <c r="C1363" s="5" t="inlineStr">
        <is>
          <t>2024-09-25</t>
        </is>
      </c>
      <c r="D1363" s="11" t="n">
        <v>53.19</v>
      </c>
      <c r="E1363" s="11" t="n">
        <v>50</v>
      </c>
      <c r="F1363" s="11">
        <f>ROUND(D1363-E1363,2)</f>
        <v/>
      </c>
      <c r="G1363" s="13">
        <f>IFERROR(ROUND(F1363/E1363,4),"")</f>
        <v/>
      </c>
      <c r="H1363" s="14">
        <f>IF(D1363=0,"NO DATA",IF(D1363&gt;E1363*1.5,"OVER",IF(D1363&gt;E1363*1.1,"HIGH",IF(D1363&lt;E1363*0.5,"LOW","OK"))))</f>
        <v/>
      </c>
    </row>
    <row r="1364" ht="22" customHeight="1">
      <c r="B1364" s="8" t="inlineStr">
        <is>
          <t>MTR-DYE-001</t>
        </is>
      </c>
      <c r="C1364" s="8" t="inlineStr">
        <is>
          <t>2024-09-26</t>
        </is>
      </c>
      <c r="D1364" s="12" t="n">
        <v>49.3</v>
      </c>
      <c r="E1364" s="12" t="n">
        <v>50</v>
      </c>
      <c r="F1364" s="12">
        <f>ROUND(D1364-E1364,2)</f>
        <v/>
      </c>
      <c r="G1364" s="15">
        <f>IFERROR(ROUND(F1364/E1364,4),"")</f>
        <v/>
      </c>
      <c r="H1364" s="16">
        <f>IF(D1364=0,"NO DATA",IF(D1364&gt;E1364*1.5,"OVER",IF(D1364&gt;E1364*1.1,"HIGH",IF(D1364&lt;E1364*0.5,"LOW","OK"))))</f>
        <v/>
      </c>
    </row>
    <row r="1365" ht="22" customHeight="1">
      <c r="B1365" s="5" t="inlineStr">
        <is>
          <t>MTR-DYE-001</t>
        </is>
      </c>
      <c r="C1365" s="5" t="inlineStr">
        <is>
          <t>2024-09-27</t>
        </is>
      </c>
      <c r="D1365" s="11" t="n">
        <v>49.03</v>
      </c>
      <c r="E1365" s="11" t="n">
        <v>50</v>
      </c>
      <c r="F1365" s="11">
        <f>ROUND(D1365-E1365,2)</f>
        <v/>
      </c>
      <c r="G1365" s="13">
        <f>IFERROR(ROUND(F1365/E1365,4),"")</f>
        <v/>
      </c>
      <c r="H1365" s="14">
        <f>IF(D1365=0,"NO DATA",IF(D1365&gt;E1365*1.5,"OVER",IF(D1365&gt;E1365*1.1,"HIGH",IF(D1365&lt;E1365*0.5,"LOW","OK"))))</f>
        <v/>
      </c>
    </row>
    <row r="1366" ht="22" customHeight="1">
      <c r="B1366" s="8" t="inlineStr">
        <is>
          <t>MTR-DYE-001</t>
        </is>
      </c>
      <c r="C1366" s="8" t="inlineStr">
        <is>
          <t>2024-09-28</t>
        </is>
      </c>
      <c r="D1366" s="12" t="n">
        <v>41.09</v>
      </c>
      <c r="E1366" s="12" t="n">
        <v>50</v>
      </c>
      <c r="F1366" s="12">
        <f>ROUND(D1366-E1366,2)</f>
        <v/>
      </c>
      <c r="G1366" s="15">
        <f>IFERROR(ROUND(F1366/E1366,4),"")</f>
        <v/>
      </c>
      <c r="H1366" s="16">
        <f>IF(D1366=0,"NO DATA",IF(D1366&gt;E1366*1.5,"OVER",IF(D1366&gt;E1366*1.1,"HIGH",IF(D1366&lt;E1366*0.5,"LOW","OK"))))</f>
        <v/>
      </c>
    </row>
    <row r="1367" ht="22" customHeight="1">
      <c r="B1367" s="5" t="inlineStr">
        <is>
          <t>MTR-DYE-001</t>
        </is>
      </c>
      <c r="C1367" s="5" t="inlineStr">
        <is>
          <t>2024-09-29</t>
        </is>
      </c>
      <c r="D1367" s="11" t="n">
        <v>26.22</v>
      </c>
      <c r="E1367" s="11" t="n">
        <v>50</v>
      </c>
      <c r="F1367" s="11">
        <f>ROUND(D1367-E1367,2)</f>
        <v/>
      </c>
      <c r="G1367" s="13">
        <f>IFERROR(ROUND(F1367/E1367,4),"")</f>
        <v/>
      </c>
      <c r="H1367" s="14">
        <f>IF(D1367=0,"NO DATA",IF(D1367&gt;E1367*1.5,"OVER",IF(D1367&gt;E1367*1.1,"HIGH",IF(D1367&lt;E1367*0.5,"LOW","OK"))))</f>
        <v/>
      </c>
    </row>
    <row r="1368" ht="22" customHeight="1">
      <c r="B1368" s="8" t="inlineStr">
        <is>
          <t>MTR-DYE-001</t>
        </is>
      </c>
      <c r="C1368" s="8" t="inlineStr">
        <is>
          <t>2024-09-30</t>
        </is>
      </c>
      <c r="D1368" s="12" t="n">
        <v>58.73</v>
      </c>
      <c r="E1368" s="12" t="n">
        <v>50</v>
      </c>
      <c r="F1368" s="12">
        <f>ROUND(D1368-E1368,2)</f>
        <v/>
      </c>
      <c r="G1368" s="15">
        <f>IFERROR(ROUND(F1368/E1368,4),"")</f>
        <v/>
      </c>
      <c r="H1368" s="16">
        <f>IF(D1368=0,"NO DATA",IF(D1368&gt;E1368*1.5,"OVER",IF(D1368&gt;E1368*1.1,"HIGH",IF(D1368&lt;E1368*0.5,"LOW","OK"))))</f>
        <v/>
      </c>
    </row>
    <row r="1369" ht="22" customHeight="1">
      <c r="B1369" s="5" t="inlineStr">
        <is>
          <t>MTR-DYE-001</t>
        </is>
      </c>
      <c r="C1369" s="5" t="inlineStr">
        <is>
          <t>2024-10-01</t>
        </is>
      </c>
      <c r="D1369" s="11" t="n">
        <v>49.47</v>
      </c>
      <c r="E1369" s="11" t="n">
        <v>50</v>
      </c>
      <c r="F1369" s="11">
        <f>ROUND(D1369-E1369,2)</f>
        <v/>
      </c>
      <c r="G1369" s="13">
        <f>IFERROR(ROUND(F1369/E1369,4),"")</f>
        <v/>
      </c>
      <c r="H1369" s="14">
        <f>IF(D1369=0,"NO DATA",IF(D1369&gt;E1369*1.5,"OVER",IF(D1369&gt;E1369*1.1,"HIGH",IF(D1369&lt;E1369*0.5,"LOW","OK"))))</f>
        <v/>
      </c>
    </row>
    <row r="1370" ht="22" customHeight="1">
      <c r="B1370" s="8" t="inlineStr">
        <is>
          <t>MTR-DYE-001</t>
        </is>
      </c>
      <c r="C1370" s="8" t="inlineStr">
        <is>
          <t>2024-10-02</t>
        </is>
      </c>
      <c r="D1370" s="12" t="n">
        <v>49.13</v>
      </c>
      <c r="E1370" s="12" t="n">
        <v>50</v>
      </c>
      <c r="F1370" s="12">
        <f>ROUND(D1370-E1370,2)</f>
        <v/>
      </c>
      <c r="G1370" s="15">
        <f>IFERROR(ROUND(F1370/E1370,4),"")</f>
        <v/>
      </c>
      <c r="H1370" s="16">
        <f>IF(D1370=0,"NO DATA",IF(D1370&gt;E1370*1.5,"OVER",IF(D1370&gt;E1370*1.1,"HIGH",IF(D1370&lt;E1370*0.5,"LOW","OK"))))</f>
        <v/>
      </c>
    </row>
    <row r="1371" ht="22" customHeight="1">
      <c r="B1371" s="5" t="inlineStr">
        <is>
          <t>MTR-DYE-001</t>
        </is>
      </c>
      <c r="C1371" s="5" t="inlineStr">
        <is>
          <t>2024-10-03</t>
        </is>
      </c>
      <c r="D1371" s="11" t="n">
        <v>50.26</v>
      </c>
      <c r="E1371" s="11" t="n">
        <v>50</v>
      </c>
      <c r="F1371" s="11">
        <f>ROUND(D1371-E1371,2)</f>
        <v/>
      </c>
      <c r="G1371" s="13">
        <f>IFERROR(ROUND(F1371/E1371,4),"")</f>
        <v/>
      </c>
      <c r="H1371" s="14">
        <f>IF(D1371=0,"NO DATA",IF(D1371&gt;E1371*1.5,"OVER",IF(D1371&gt;E1371*1.1,"HIGH",IF(D1371&lt;E1371*0.5,"LOW","OK"))))</f>
        <v/>
      </c>
    </row>
    <row r="1372" ht="22" customHeight="1">
      <c r="B1372" s="8" t="inlineStr">
        <is>
          <t>MTR-DYE-001</t>
        </is>
      </c>
      <c r="C1372" s="8" t="inlineStr">
        <is>
          <t>2024-10-04</t>
        </is>
      </c>
      <c r="D1372" s="12" t="n">
        <v>50.86</v>
      </c>
      <c r="E1372" s="12" t="n">
        <v>50</v>
      </c>
      <c r="F1372" s="12">
        <f>ROUND(D1372-E1372,2)</f>
        <v/>
      </c>
      <c r="G1372" s="15">
        <f>IFERROR(ROUND(F1372/E1372,4),"")</f>
        <v/>
      </c>
      <c r="H1372" s="16">
        <f>IF(D1372=0,"NO DATA",IF(D1372&gt;E1372*1.5,"OVER",IF(D1372&gt;E1372*1.1,"HIGH",IF(D1372&lt;E1372*0.5,"LOW","OK"))))</f>
        <v/>
      </c>
    </row>
    <row r="1373" ht="22" customHeight="1">
      <c r="B1373" s="5" t="inlineStr">
        <is>
          <t>MTR-DYE-001</t>
        </is>
      </c>
      <c r="C1373" s="5" t="inlineStr">
        <is>
          <t>2024-10-05</t>
        </is>
      </c>
      <c r="D1373" s="11" t="n">
        <v>38.4</v>
      </c>
      <c r="E1373" s="11" t="n">
        <v>50</v>
      </c>
      <c r="F1373" s="11">
        <f>ROUND(D1373-E1373,2)</f>
        <v/>
      </c>
      <c r="G1373" s="13">
        <f>IFERROR(ROUND(F1373/E1373,4),"")</f>
        <v/>
      </c>
      <c r="H1373" s="14">
        <f>IF(D1373=0,"NO DATA",IF(D1373&gt;E1373*1.5,"OVER",IF(D1373&gt;E1373*1.1,"HIGH",IF(D1373&lt;E1373*0.5,"LOW","OK"))))</f>
        <v/>
      </c>
    </row>
    <row r="1374" ht="22" customHeight="1">
      <c r="B1374" s="8" t="inlineStr">
        <is>
          <t>MTR-DYE-001</t>
        </is>
      </c>
      <c r="C1374" s="8" t="inlineStr">
        <is>
          <t>2024-10-06</t>
        </is>
      </c>
      <c r="D1374" s="12" t="n">
        <v>29.24</v>
      </c>
      <c r="E1374" s="12" t="n">
        <v>50</v>
      </c>
      <c r="F1374" s="12">
        <f>ROUND(D1374-E1374,2)</f>
        <v/>
      </c>
      <c r="G1374" s="15">
        <f>IFERROR(ROUND(F1374/E1374,4),"")</f>
        <v/>
      </c>
      <c r="H1374" s="16">
        <f>IF(D1374=0,"NO DATA",IF(D1374&gt;E1374*1.5,"OVER",IF(D1374&gt;E1374*1.1,"HIGH",IF(D1374&lt;E1374*0.5,"LOW","OK"))))</f>
        <v/>
      </c>
    </row>
    <row r="1375" ht="22" customHeight="1">
      <c r="B1375" s="5" t="inlineStr">
        <is>
          <t>MTR-DYE-001</t>
        </is>
      </c>
      <c r="C1375" s="5" t="inlineStr">
        <is>
          <t>2024-10-07</t>
        </is>
      </c>
      <c r="D1375" s="11" t="n">
        <v>47.87</v>
      </c>
      <c r="E1375" s="11" t="n">
        <v>50</v>
      </c>
      <c r="F1375" s="11">
        <f>ROUND(D1375-E1375,2)</f>
        <v/>
      </c>
      <c r="G1375" s="13">
        <f>IFERROR(ROUND(F1375/E1375,4),"")</f>
        <v/>
      </c>
      <c r="H1375" s="14">
        <f>IF(D1375=0,"NO DATA",IF(D1375&gt;E1375*1.5,"OVER",IF(D1375&gt;E1375*1.1,"HIGH",IF(D1375&lt;E1375*0.5,"LOW","OK"))))</f>
        <v/>
      </c>
    </row>
    <row r="1376" ht="22" customHeight="1">
      <c r="B1376" s="8" t="inlineStr">
        <is>
          <t>MTR-DYE-001</t>
        </is>
      </c>
      <c r="C1376" s="8" t="inlineStr">
        <is>
          <t>2024-10-08</t>
        </is>
      </c>
      <c r="D1376" s="12" t="n">
        <v>47.61</v>
      </c>
      <c r="E1376" s="12" t="n">
        <v>50</v>
      </c>
      <c r="F1376" s="12">
        <f>ROUND(D1376-E1376,2)</f>
        <v/>
      </c>
      <c r="G1376" s="15">
        <f>IFERROR(ROUND(F1376/E1376,4),"")</f>
        <v/>
      </c>
      <c r="H1376" s="16">
        <f>IF(D1376=0,"NO DATA",IF(D1376&gt;E1376*1.5,"OVER",IF(D1376&gt;E1376*1.1,"HIGH",IF(D1376&lt;E1376*0.5,"LOW","OK"))))</f>
        <v/>
      </c>
    </row>
    <row r="1377" ht="22" customHeight="1">
      <c r="B1377" s="5" t="inlineStr">
        <is>
          <t>MTR-DYE-001</t>
        </is>
      </c>
      <c r="C1377" s="5" t="inlineStr">
        <is>
          <t>2024-10-09</t>
        </is>
      </c>
      <c r="D1377" s="11" t="n">
        <v>55.34</v>
      </c>
      <c r="E1377" s="11" t="n">
        <v>50</v>
      </c>
      <c r="F1377" s="11">
        <f>ROUND(D1377-E1377,2)</f>
        <v/>
      </c>
      <c r="G1377" s="13">
        <f>IFERROR(ROUND(F1377/E1377,4),"")</f>
        <v/>
      </c>
      <c r="H1377" s="14">
        <f>IF(D1377=0,"NO DATA",IF(D1377&gt;E1377*1.5,"OVER",IF(D1377&gt;E1377*1.1,"HIGH",IF(D1377&lt;E1377*0.5,"LOW","OK"))))</f>
        <v/>
      </c>
    </row>
    <row r="1378" ht="22" customHeight="1">
      <c r="B1378" s="8" t="inlineStr">
        <is>
          <t>MTR-DYE-001</t>
        </is>
      </c>
      <c r="C1378" s="8" t="inlineStr">
        <is>
          <t>2024-10-10</t>
        </is>
      </c>
      <c r="D1378" s="12" t="n">
        <v>49.53</v>
      </c>
      <c r="E1378" s="12" t="n">
        <v>50</v>
      </c>
      <c r="F1378" s="12">
        <f>ROUND(D1378-E1378,2)</f>
        <v/>
      </c>
      <c r="G1378" s="15">
        <f>IFERROR(ROUND(F1378/E1378,4),"")</f>
        <v/>
      </c>
      <c r="H1378" s="16">
        <f>IF(D1378=0,"NO DATA",IF(D1378&gt;E1378*1.5,"OVER",IF(D1378&gt;E1378*1.1,"HIGH",IF(D1378&lt;E1378*0.5,"LOW","OK"))))</f>
        <v/>
      </c>
    </row>
    <row r="1379" ht="22" customHeight="1">
      <c r="B1379" s="5" t="inlineStr">
        <is>
          <t>MTR-DYE-001</t>
        </is>
      </c>
      <c r="C1379" s="5" t="inlineStr">
        <is>
          <t>2024-10-11</t>
        </is>
      </c>
      <c r="D1379" s="11" t="n">
        <v>50.63</v>
      </c>
      <c r="E1379" s="11" t="n">
        <v>50</v>
      </c>
      <c r="F1379" s="11">
        <f>ROUND(D1379-E1379,2)</f>
        <v/>
      </c>
      <c r="G1379" s="13">
        <f>IFERROR(ROUND(F1379/E1379,4),"")</f>
        <v/>
      </c>
      <c r="H1379" s="14">
        <f>IF(D1379=0,"NO DATA",IF(D1379&gt;E1379*1.5,"OVER",IF(D1379&gt;E1379*1.1,"HIGH",IF(D1379&lt;E1379*0.5,"LOW","OK"))))</f>
        <v/>
      </c>
    </row>
    <row r="1380" ht="22" customHeight="1">
      <c r="B1380" s="8" t="inlineStr">
        <is>
          <t>MTR-DYE-001</t>
        </is>
      </c>
      <c r="C1380" s="8" t="inlineStr">
        <is>
          <t>2024-10-12</t>
        </is>
      </c>
      <c r="D1380" s="12" t="n">
        <v>40.23</v>
      </c>
      <c r="E1380" s="12" t="n">
        <v>50</v>
      </c>
      <c r="F1380" s="12">
        <f>ROUND(D1380-E1380,2)</f>
        <v/>
      </c>
      <c r="G1380" s="15">
        <f>IFERROR(ROUND(F1380/E1380,4),"")</f>
        <v/>
      </c>
      <c r="H1380" s="16">
        <f>IF(D1380=0,"NO DATA",IF(D1380&gt;E1380*1.5,"OVER",IF(D1380&gt;E1380*1.1,"HIGH",IF(D1380&lt;E1380*0.5,"LOW","OK"))))</f>
        <v/>
      </c>
    </row>
    <row r="1381" ht="22" customHeight="1">
      <c r="B1381" s="5" t="inlineStr">
        <is>
          <t>MTR-DYE-001</t>
        </is>
      </c>
      <c r="C1381" s="5" t="inlineStr">
        <is>
          <t>2024-10-13</t>
        </is>
      </c>
      <c r="D1381" s="11" t="n">
        <v>25.32</v>
      </c>
      <c r="E1381" s="11" t="n">
        <v>50</v>
      </c>
      <c r="F1381" s="11">
        <f>ROUND(D1381-E1381,2)</f>
        <v/>
      </c>
      <c r="G1381" s="13">
        <f>IFERROR(ROUND(F1381/E1381,4),"")</f>
        <v/>
      </c>
      <c r="H1381" s="14">
        <f>IF(D1381=0,"NO DATA",IF(D1381&gt;E1381*1.5,"OVER",IF(D1381&gt;E1381*1.1,"HIGH",IF(D1381&lt;E1381*0.5,"LOW","OK"))))</f>
        <v/>
      </c>
    </row>
    <row r="1382" ht="22" customHeight="1">
      <c r="B1382" s="8" t="inlineStr">
        <is>
          <t>MTR-DYE-001</t>
        </is>
      </c>
      <c r="C1382" s="8" t="inlineStr">
        <is>
          <t>2024-10-14</t>
        </is>
      </c>
      <c r="D1382" s="12" t="n">
        <v>56.06</v>
      </c>
      <c r="E1382" s="12" t="n">
        <v>50</v>
      </c>
      <c r="F1382" s="12">
        <f>ROUND(D1382-E1382,2)</f>
        <v/>
      </c>
      <c r="G1382" s="15">
        <f>IFERROR(ROUND(F1382/E1382,4),"")</f>
        <v/>
      </c>
      <c r="H1382" s="16">
        <f>IF(D1382=0,"NO DATA",IF(D1382&gt;E1382*1.5,"OVER",IF(D1382&gt;E1382*1.1,"HIGH",IF(D1382&lt;E1382*0.5,"LOW","OK"))))</f>
        <v/>
      </c>
    </row>
    <row r="1383" ht="22" customHeight="1">
      <c r="B1383" s="5" t="inlineStr">
        <is>
          <t>MTR-DYE-001</t>
        </is>
      </c>
      <c r="C1383" s="5" t="inlineStr">
        <is>
          <t>2024-10-15</t>
        </is>
      </c>
      <c r="D1383" s="11" t="n">
        <v>48.7</v>
      </c>
      <c r="E1383" s="11" t="n">
        <v>50</v>
      </c>
      <c r="F1383" s="11">
        <f>ROUND(D1383-E1383,2)</f>
        <v/>
      </c>
      <c r="G1383" s="13">
        <f>IFERROR(ROUND(F1383/E1383,4),"")</f>
        <v/>
      </c>
      <c r="H1383" s="14">
        <f>IF(D1383=0,"NO DATA",IF(D1383&gt;E1383*1.5,"OVER",IF(D1383&gt;E1383*1.1,"HIGH",IF(D1383&lt;E1383*0.5,"LOW","OK"))))</f>
        <v/>
      </c>
    </row>
    <row r="1384" ht="22" customHeight="1">
      <c r="B1384" s="8" t="inlineStr">
        <is>
          <t>MTR-DYE-001</t>
        </is>
      </c>
      <c r="C1384" s="8" t="inlineStr">
        <is>
          <t>2024-10-16</t>
        </is>
      </c>
      <c r="D1384" s="12" t="n">
        <v>47.5</v>
      </c>
      <c r="E1384" s="12" t="n">
        <v>50</v>
      </c>
      <c r="F1384" s="12">
        <f>ROUND(D1384-E1384,2)</f>
        <v/>
      </c>
      <c r="G1384" s="15">
        <f>IFERROR(ROUND(F1384/E1384,4),"")</f>
        <v/>
      </c>
      <c r="H1384" s="16">
        <f>IF(D1384=0,"NO DATA",IF(D1384&gt;E1384*1.5,"OVER",IF(D1384&gt;E1384*1.1,"HIGH",IF(D1384&lt;E1384*0.5,"LOW","OK"))))</f>
        <v/>
      </c>
    </row>
    <row r="1385" ht="22" customHeight="1">
      <c r="B1385" s="5" t="inlineStr">
        <is>
          <t>MTR-DYE-001</t>
        </is>
      </c>
      <c r="C1385" s="5" t="inlineStr">
        <is>
          <t>2024-10-17</t>
        </is>
      </c>
      <c r="D1385" s="11" t="n">
        <v>48.69</v>
      </c>
      <c r="E1385" s="11" t="n">
        <v>50</v>
      </c>
      <c r="F1385" s="11">
        <f>ROUND(D1385-E1385,2)</f>
        <v/>
      </c>
      <c r="G1385" s="13">
        <f>IFERROR(ROUND(F1385/E1385,4),"")</f>
        <v/>
      </c>
      <c r="H1385" s="14">
        <f>IF(D1385=0,"NO DATA",IF(D1385&gt;E1385*1.5,"OVER",IF(D1385&gt;E1385*1.1,"HIGH",IF(D1385&lt;E1385*0.5,"LOW","OK"))))</f>
        <v/>
      </c>
    </row>
    <row r="1386" ht="22" customHeight="1">
      <c r="B1386" s="8" t="inlineStr">
        <is>
          <t>MTR-DYE-001</t>
        </is>
      </c>
      <c r="C1386" s="8" t="inlineStr">
        <is>
          <t>2024-10-18</t>
        </is>
      </c>
      <c r="D1386" s="12" t="n">
        <v>52.15</v>
      </c>
      <c r="E1386" s="12" t="n">
        <v>50</v>
      </c>
      <c r="F1386" s="12">
        <f>ROUND(D1386-E1386,2)</f>
        <v/>
      </c>
      <c r="G1386" s="15">
        <f>IFERROR(ROUND(F1386/E1386,4),"")</f>
        <v/>
      </c>
      <c r="H1386" s="16">
        <f>IF(D1386=0,"NO DATA",IF(D1386&gt;E1386*1.5,"OVER",IF(D1386&gt;E1386*1.1,"HIGH",IF(D1386&lt;E1386*0.5,"LOW","OK"))))</f>
        <v/>
      </c>
    </row>
    <row r="1387" ht="22" customHeight="1">
      <c r="B1387" s="5" t="inlineStr">
        <is>
          <t>MTR-DYE-001</t>
        </is>
      </c>
      <c r="C1387" s="5" t="inlineStr">
        <is>
          <t>2024-10-19</t>
        </is>
      </c>
      <c r="D1387" s="11" t="n">
        <v>45.53</v>
      </c>
      <c r="E1387" s="11" t="n">
        <v>50</v>
      </c>
      <c r="F1387" s="11">
        <f>ROUND(D1387-E1387,2)</f>
        <v/>
      </c>
      <c r="G1387" s="13">
        <f>IFERROR(ROUND(F1387/E1387,4),"")</f>
        <v/>
      </c>
      <c r="H1387" s="14">
        <f>IF(D1387=0,"NO DATA",IF(D1387&gt;E1387*1.5,"OVER",IF(D1387&gt;E1387*1.1,"HIGH",IF(D1387&lt;E1387*0.5,"LOW","OK"))))</f>
        <v/>
      </c>
    </row>
    <row r="1388" ht="22" customHeight="1">
      <c r="B1388" s="8" t="inlineStr">
        <is>
          <t>MTR-DYE-001</t>
        </is>
      </c>
      <c r="C1388" s="8" t="inlineStr">
        <is>
          <t>2024-10-20</t>
        </is>
      </c>
      <c r="D1388" s="12" t="n">
        <v>25.95</v>
      </c>
      <c r="E1388" s="12" t="n">
        <v>50</v>
      </c>
      <c r="F1388" s="12">
        <f>ROUND(D1388-E1388,2)</f>
        <v/>
      </c>
      <c r="G1388" s="15">
        <f>IFERROR(ROUND(F1388/E1388,4),"")</f>
        <v/>
      </c>
      <c r="H1388" s="16">
        <f>IF(D1388=0,"NO DATA",IF(D1388&gt;E1388*1.5,"OVER",IF(D1388&gt;E1388*1.1,"HIGH",IF(D1388&lt;E1388*0.5,"LOW","OK"))))</f>
        <v/>
      </c>
    </row>
    <row r="1389" ht="22" customHeight="1">
      <c r="B1389" s="5" t="inlineStr">
        <is>
          <t>MTR-DYE-001</t>
        </is>
      </c>
      <c r="C1389" s="5" t="inlineStr">
        <is>
          <t>2024-10-21</t>
        </is>
      </c>
      <c r="D1389" s="11" t="n">
        <v>53.81</v>
      </c>
      <c r="E1389" s="11" t="n">
        <v>50</v>
      </c>
      <c r="F1389" s="11">
        <f>ROUND(D1389-E1389,2)</f>
        <v/>
      </c>
      <c r="G1389" s="13">
        <f>IFERROR(ROUND(F1389/E1389,4),"")</f>
        <v/>
      </c>
      <c r="H1389" s="14">
        <f>IF(D1389=0,"NO DATA",IF(D1389&gt;E1389*1.5,"OVER",IF(D1389&gt;E1389*1.1,"HIGH",IF(D1389&lt;E1389*0.5,"LOW","OK"))))</f>
        <v/>
      </c>
    </row>
    <row r="1390" ht="22" customHeight="1">
      <c r="B1390" s="8" t="inlineStr">
        <is>
          <t>MTR-DYE-001</t>
        </is>
      </c>
      <c r="C1390" s="8" t="inlineStr">
        <is>
          <t>2024-10-22</t>
        </is>
      </c>
      <c r="D1390" s="12" t="n">
        <v>54.41</v>
      </c>
      <c r="E1390" s="12" t="n">
        <v>50</v>
      </c>
      <c r="F1390" s="12">
        <f>ROUND(D1390-E1390,2)</f>
        <v/>
      </c>
      <c r="G1390" s="15">
        <f>IFERROR(ROUND(F1390/E1390,4),"")</f>
        <v/>
      </c>
      <c r="H1390" s="16">
        <f>IF(D1390=0,"NO DATA",IF(D1390&gt;E1390*1.5,"OVER",IF(D1390&gt;E1390*1.1,"HIGH",IF(D1390&lt;E1390*0.5,"LOW","OK"))))</f>
        <v/>
      </c>
    </row>
    <row r="1391" ht="22" customHeight="1">
      <c r="B1391" s="5" t="inlineStr">
        <is>
          <t>MTR-DYE-001</t>
        </is>
      </c>
      <c r="C1391" s="5" t="inlineStr">
        <is>
          <t>2024-10-23</t>
        </is>
      </c>
      <c r="D1391" s="11" t="n">
        <v>47.19</v>
      </c>
      <c r="E1391" s="11" t="n">
        <v>50</v>
      </c>
      <c r="F1391" s="11">
        <f>ROUND(D1391-E1391,2)</f>
        <v/>
      </c>
      <c r="G1391" s="13">
        <f>IFERROR(ROUND(F1391/E1391,4),"")</f>
        <v/>
      </c>
      <c r="H1391" s="14">
        <f>IF(D1391=0,"NO DATA",IF(D1391&gt;E1391*1.5,"OVER",IF(D1391&gt;E1391*1.1,"HIGH",IF(D1391&lt;E1391*0.5,"LOW","OK"))))</f>
        <v/>
      </c>
    </row>
    <row r="1392" ht="22" customHeight="1">
      <c r="B1392" s="8" t="inlineStr">
        <is>
          <t>MTR-DYE-001</t>
        </is>
      </c>
      <c r="C1392" s="8" t="inlineStr">
        <is>
          <t>2024-10-24</t>
        </is>
      </c>
      <c r="D1392" s="12" t="n">
        <v>56.47</v>
      </c>
      <c r="E1392" s="12" t="n">
        <v>50</v>
      </c>
      <c r="F1392" s="12">
        <f>ROUND(D1392-E1392,2)</f>
        <v/>
      </c>
      <c r="G1392" s="15">
        <f>IFERROR(ROUND(F1392/E1392,4),"")</f>
        <v/>
      </c>
      <c r="H1392" s="16">
        <f>IF(D1392=0,"NO DATA",IF(D1392&gt;E1392*1.5,"OVER",IF(D1392&gt;E1392*1.1,"HIGH",IF(D1392&lt;E1392*0.5,"LOW","OK"))))</f>
        <v/>
      </c>
    </row>
    <row r="1393" ht="22" customHeight="1">
      <c r="B1393" s="5" t="inlineStr">
        <is>
          <t>MTR-DYE-001</t>
        </is>
      </c>
      <c r="C1393" s="5" t="inlineStr">
        <is>
          <t>2024-10-25</t>
        </is>
      </c>
      <c r="D1393" s="11" t="n">
        <v>43.8</v>
      </c>
      <c r="E1393" s="11" t="n">
        <v>50</v>
      </c>
      <c r="F1393" s="11">
        <f>ROUND(D1393-E1393,2)</f>
        <v/>
      </c>
      <c r="G1393" s="13">
        <f>IFERROR(ROUND(F1393/E1393,4),"")</f>
        <v/>
      </c>
      <c r="H1393" s="14">
        <f>IF(D1393=0,"NO DATA",IF(D1393&gt;E1393*1.5,"OVER",IF(D1393&gt;E1393*1.1,"HIGH",IF(D1393&lt;E1393*0.5,"LOW","OK"))))</f>
        <v/>
      </c>
    </row>
    <row r="1394" ht="22" customHeight="1">
      <c r="B1394" s="8" t="inlineStr">
        <is>
          <t>MTR-DYE-001</t>
        </is>
      </c>
      <c r="C1394" s="8" t="inlineStr">
        <is>
          <t>2024-10-26</t>
        </is>
      </c>
      <c r="D1394" s="12" t="n">
        <v>45.3</v>
      </c>
      <c r="E1394" s="12" t="n">
        <v>50</v>
      </c>
      <c r="F1394" s="12">
        <f>ROUND(D1394-E1394,2)</f>
        <v/>
      </c>
      <c r="G1394" s="15">
        <f>IFERROR(ROUND(F1394/E1394,4),"")</f>
        <v/>
      </c>
      <c r="H1394" s="16">
        <f>IF(D1394=0,"NO DATA",IF(D1394&gt;E1394*1.5,"OVER",IF(D1394&gt;E1394*1.1,"HIGH",IF(D1394&lt;E1394*0.5,"LOW","OK"))))</f>
        <v/>
      </c>
    </row>
    <row r="1395" ht="22" customHeight="1">
      <c r="B1395" s="5" t="inlineStr">
        <is>
          <t>MTR-DYE-001</t>
        </is>
      </c>
      <c r="C1395" s="5" t="inlineStr">
        <is>
          <t>2024-10-27</t>
        </is>
      </c>
      <c r="D1395" s="11" t="n">
        <v>23.53</v>
      </c>
      <c r="E1395" s="11" t="n">
        <v>50</v>
      </c>
      <c r="F1395" s="11">
        <f>ROUND(D1395-E1395,2)</f>
        <v/>
      </c>
      <c r="G1395" s="13">
        <f>IFERROR(ROUND(F1395/E1395,4),"")</f>
        <v/>
      </c>
      <c r="H1395" s="14">
        <f>IF(D1395=0,"NO DATA",IF(D1395&gt;E1395*1.5,"OVER",IF(D1395&gt;E1395*1.1,"HIGH",IF(D1395&lt;E1395*0.5,"LOW","OK"))))</f>
        <v/>
      </c>
    </row>
    <row r="1396" ht="22" customHeight="1">
      <c r="B1396" s="8" t="inlineStr">
        <is>
          <t>MTR-DYE-001</t>
        </is>
      </c>
      <c r="C1396" s="8" t="inlineStr">
        <is>
          <t>2024-10-28</t>
        </is>
      </c>
      <c r="D1396" s="12" t="n">
        <v>44.26</v>
      </c>
      <c r="E1396" s="12" t="n">
        <v>50</v>
      </c>
      <c r="F1396" s="12">
        <f>ROUND(D1396-E1396,2)</f>
        <v/>
      </c>
      <c r="G1396" s="15">
        <f>IFERROR(ROUND(F1396/E1396,4),"")</f>
        <v/>
      </c>
      <c r="H1396" s="16">
        <f>IF(D1396=0,"NO DATA",IF(D1396&gt;E1396*1.5,"OVER",IF(D1396&gt;E1396*1.1,"HIGH",IF(D1396&lt;E1396*0.5,"LOW","OK"))))</f>
        <v/>
      </c>
    </row>
    <row r="1397" ht="22" customHeight="1">
      <c r="B1397" s="5" t="inlineStr">
        <is>
          <t>MTR-DYE-001</t>
        </is>
      </c>
      <c r="C1397" s="5" t="inlineStr">
        <is>
          <t>2024-10-29</t>
        </is>
      </c>
      <c r="D1397" s="11" t="n">
        <v>52.12</v>
      </c>
      <c r="E1397" s="11" t="n">
        <v>50</v>
      </c>
      <c r="F1397" s="11">
        <f>ROUND(D1397-E1397,2)</f>
        <v/>
      </c>
      <c r="G1397" s="13">
        <f>IFERROR(ROUND(F1397/E1397,4),"")</f>
        <v/>
      </c>
      <c r="H1397" s="14">
        <f>IF(D1397=0,"NO DATA",IF(D1397&gt;E1397*1.5,"OVER",IF(D1397&gt;E1397*1.1,"HIGH",IF(D1397&lt;E1397*0.5,"LOW","OK"))))</f>
        <v/>
      </c>
    </row>
    <row r="1398" ht="22" customHeight="1">
      <c r="B1398" s="8" t="inlineStr">
        <is>
          <t>MTR-DYE-001</t>
        </is>
      </c>
      <c r="C1398" s="8" t="inlineStr">
        <is>
          <t>2024-10-30</t>
        </is>
      </c>
      <c r="D1398" s="12" t="n">
        <v>48.33</v>
      </c>
      <c r="E1398" s="12" t="n">
        <v>50</v>
      </c>
      <c r="F1398" s="12">
        <f>ROUND(D1398-E1398,2)</f>
        <v/>
      </c>
      <c r="G1398" s="15">
        <f>IFERROR(ROUND(F1398/E1398,4),"")</f>
        <v/>
      </c>
      <c r="H1398" s="16">
        <f>IF(D1398=0,"NO DATA",IF(D1398&gt;E1398*1.5,"OVER",IF(D1398&gt;E1398*1.1,"HIGH",IF(D1398&lt;E1398*0.5,"LOW","OK"))))</f>
        <v/>
      </c>
    </row>
    <row r="1399" ht="22" customHeight="1">
      <c r="B1399" s="5" t="inlineStr">
        <is>
          <t>MTR-DYE-001</t>
        </is>
      </c>
      <c r="C1399" s="5" t="inlineStr">
        <is>
          <t>2024-10-31</t>
        </is>
      </c>
      <c r="D1399" s="11" t="n">
        <v>48.54</v>
      </c>
      <c r="E1399" s="11" t="n">
        <v>50</v>
      </c>
      <c r="F1399" s="11">
        <f>ROUND(D1399-E1399,2)</f>
        <v/>
      </c>
      <c r="G1399" s="13">
        <f>IFERROR(ROUND(F1399/E1399,4),"")</f>
        <v/>
      </c>
      <c r="H1399" s="14">
        <f>IF(D1399=0,"NO DATA",IF(D1399&gt;E1399*1.5,"OVER",IF(D1399&gt;E1399*1.1,"HIGH",IF(D1399&lt;E1399*0.5,"LOW","OK"))))</f>
        <v/>
      </c>
    </row>
    <row r="1400" ht="22" customHeight="1">
      <c r="B1400" s="8" t="inlineStr">
        <is>
          <t>MTR-DYE-001</t>
        </is>
      </c>
      <c r="C1400" s="8" t="inlineStr">
        <is>
          <t>2024-11-01</t>
        </is>
      </c>
      <c r="D1400" s="12" t="n">
        <v>43.24</v>
      </c>
      <c r="E1400" s="12" t="n">
        <v>50</v>
      </c>
      <c r="F1400" s="12">
        <f>ROUND(D1400-E1400,2)</f>
        <v/>
      </c>
      <c r="G1400" s="15">
        <f>IFERROR(ROUND(F1400/E1400,4),"")</f>
        <v/>
      </c>
      <c r="H1400" s="16">
        <f>IF(D1400=0,"NO DATA",IF(D1400&gt;E1400*1.5,"OVER",IF(D1400&gt;E1400*1.1,"HIGH",IF(D1400&lt;E1400*0.5,"LOW","OK"))))</f>
        <v/>
      </c>
    </row>
    <row r="1401" ht="22" customHeight="1">
      <c r="B1401" s="5" t="inlineStr">
        <is>
          <t>MTR-DYE-001</t>
        </is>
      </c>
      <c r="C1401" s="5" t="inlineStr">
        <is>
          <t>2024-11-02</t>
        </is>
      </c>
      <c r="D1401" s="11" t="n">
        <v>39.5</v>
      </c>
      <c r="E1401" s="11" t="n">
        <v>50</v>
      </c>
      <c r="F1401" s="11">
        <f>ROUND(D1401-E1401,2)</f>
        <v/>
      </c>
      <c r="G1401" s="13">
        <f>IFERROR(ROUND(F1401/E1401,4),"")</f>
        <v/>
      </c>
      <c r="H1401" s="14">
        <f>IF(D1401=0,"NO DATA",IF(D1401&gt;E1401*1.5,"OVER",IF(D1401&gt;E1401*1.1,"HIGH",IF(D1401&lt;E1401*0.5,"LOW","OK"))))</f>
        <v/>
      </c>
    </row>
    <row r="1402" ht="22" customHeight="1">
      <c r="B1402" s="8" t="inlineStr">
        <is>
          <t>MTR-DYE-001</t>
        </is>
      </c>
      <c r="C1402" s="8" t="inlineStr">
        <is>
          <t>2024-11-03</t>
        </is>
      </c>
      <c r="D1402" s="12" t="n">
        <v>26.05</v>
      </c>
      <c r="E1402" s="12" t="n">
        <v>50</v>
      </c>
      <c r="F1402" s="12">
        <f>ROUND(D1402-E1402,2)</f>
        <v/>
      </c>
      <c r="G1402" s="15">
        <f>IFERROR(ROUND(F1402/E1402,4),"")</f>
        <v/>
      </c>
      <c r="H1402" s="16">
        <f>IF(D1402=0,"NO DATA",IF(D1402&gt;E1402*1.5,"OVER",IF(D1402&gt;E1402*1.1,"HIGH",IF(D1402&lt;E1402*0.5,"LOW","OK"))))</f>
        <v/>
      </c>
    </row>
    <row r="1403" ht="22" customHeight="1">
      <c r="B1403" s="5" t="inlineStr">
        <is>
          <t>MTR-DYE-001</t>
        </is>
      </c>
      <c r="C1403" s="5" t="inlineStr">
        <is>
          <t>2024-11-04</t>
        </is>
      </c>
      <c r="D1403" s="11" t="n">
        <v>45.17</v>
      </c>
      <c r="E1403" s="11" t="n">
        <v>50</v>
      </c>
      <c r="F1403" s="11">
        <f>ROUND(D1403-E1403,2)</f>
        <v/>
      </c>
      <c r="G1403" s="13">
        <f>IFERROR(ROUND(F1403/E1403,4),"")</f>
        <v/>
      </c>
      <c r="H1403" s="14">
        <f>IF(D1403=0,"NO DATA",IF(D1403&gt;E1403*1.5,"OVER",IF(D1403&gt;E1403*1.1,"HIGH",IF(D1403&lt;E1403*0.5,"LOW","OK"))))</f>
        <v/>
      </c>
    </row>
    <row r="1404" ht="22" customHeight="1">
      <c r="B1404" s="8" t="inlineStr">
        <is>
          <t>MTR-DYE-001</t>
        </is>
      </c>
      <c r="C1404" s="8" t="inlineStr">
        <is>
          <t>2024-11-05</t>
        </is>
      </c>
      <c r="D1404" s="12" t="n">
        <v>46.45</v>
      </c>
      <c r="E1404" s="12" t="n">
        <v>50</v>
      </c>
      <c r="F1404" s="12">
        <f>ROUND(D1404-E1404,2)</f>
        <v/>
      </c>
      <c r="G1404" s="15">
        <f>IFERROR(ROUND(F1404/E1404,4),"")</f>
        <v/>
      </c>
      <c r="H1404" s="16">
        <f>IF(D1404=0,"NO DATA",IF(D1404&gt;E1404*1.5,"OVER",IF(D1404&gt;E1404*1.1,"HIGH",IF(D1404&lt;E1404*0.5,"LOW","OK"))))</f>
        <v/>
      </c>
    </row>
    <row r="1405" ht="22" customHeight="1">
      <c r="B1405" s="5" t="inlineStr">
        <is>
          <t>MTR-DYE-001</t>
        </is>
      </c>
      <c r="C1405" s="5" t="inlineStr">
        <is>
          <t>2024-11-06</t>
        </is>
      </c>
      <c r="D1405" s="11" t="n">
        <v>54.39</v>
      </c>
      <c r="E1405" s="11" t="n">
        <v>50</v>
      </c>
      <c r="F1405" s="11">
        <f>ROUND(D1405-E1405,2)</f>
        <v/>
      </c>
      <c r="G1405" s="13">
        <f>IFERROR(ROUND(F1405/E1405,4),"")</f>
        <v/>
      </c>
      <c r="H1405" s="14">
        <f>IF(D1405=0,"NO DATA",IF(D1405&gt;E1405*1.5,"OVER",IF(D1405&gt;E1405*1.1,"HIGH",IF(D1405&lt;E1405*0.5,"LOW","OK"))))</f>
        <v/>
      </c>
    </row>
    <row r="1406" ht="22" customHeight="1">
      <c r="B1406" s="8" t="inlineStr">
        <is>
          <t>MTR-DYE-001</t>
        </is>
      </c>
      <c r="C1406" s="8" t="inlineStr">
        <is>
          <t>2024-11-07</t>
        </is>
      </c>
      <c r="D1406" s="12" t="n">
        <v>54.29</v>
      </c>
      <c r="E1406" s="12" t="n">
        <v>50</v>
      </c>
      <c r="F1406" s="12">
        <f>ROUND(D1406-E1406,2)</f>
        <v/>
      </c>
      <c r="G1406" s="15">
        <f>IFERROR(ROUND(F1406/E1406,4),"")</f>
        <v/>
      </c>
      <c r="H1406" s="16">
        <f>IF(D1406=0,"NO DATA",IF(D1406&gt;E1406*1.5,"OVER",IF(D1406&gt;E1406*1.1,"HIGH",IF(D1406&lt;E1406*0.5,"LOW","OK"))))</f>
        <v/>
      </c>
    </row>
    <row r="1407" ht="22" customHeight="1">
      <c r="B1407" s="5" t="inlineStr">
        <is>
          <t>MTR-DYE-001</t>
        </is>
      </c>
      <c r="C1407" s="5" t="inlineStr">
        <is>
          <t>2024-11-08</t>
        </is>
      </c>
      <c r="D1407" s="11" t="n">
        <v>48.63</v>
      </c>
      <c r="E1407" s="11" t="n">
        <v>50</v>
      </c>
      <c r="F1407" s="11">
        <f>ROUND(D1407-E1407,2)</f>
        <v/>
      </c>
      <c r="G1407" s="13">
        <f>IFERROR(ROUND(F1407/E1407,4),"")</f>
        <v/>
      </c>
      <c r="H1407" s="14">
        <f>IF(D1407=0,"NO DATA",IF(D1407&gt;E1407*1.5,"OVER",IF(D1407&gt;E1407*1.1,"HIGH",IF(D1407&lt;E1407*0.5,"LOW","OK"))))</f>
        <v/>
      </c>
    </row>
    <row r="1408" ht="22" customHeight="1">
      <c r="B1408" s="8" t="inlineStr">
        <is>
          <t>MTR-DYE-001</t>
        </is>
      </c>
      <c r="C1408" s="8" t="inlineStr">
        <is>
          <t>2024-11-09</t>
        </is>
      </c>
      <c r="D1408" s="12" t="n">
        <v>45.37</v>
      </c>
      <c r="E1408" s="12" t="n">
        <v>50</v>
      </c>
      <c r="F1408" s="12">
        <f>ROUND(D1408-E1408,2)</f>
        <v/>
      </c>
      <c r="G1408" s="15">
        <f>IFERROR(ROUND(F1408/E1408,4),"")</f>
        <v/>
      </c>
      <c r="H1408" s="16">
        <f>IF(D1408=0,"NO DATA",IF(D1408&gt;E1408*1.5,"OVER",IF(D1408&gt;E1408*1.1,"HIGH",IF(D1408&lt;E1408*0.5,"LOW","OK"))))</f>
        <v/>
      </c>
    </row>
    <row r="1409" ht="22" customHeight="1">
      <c r="B1409" s="5" t="inlineStr">
        <is>
          <t>MTR-DYE-001</t>
        </is>
      </c>
      <c r="C1409" s="5" t="inlineStr">
        <is>
          <t>2024-11-10</t>
        </is>
      </c>
      <c r="D1409" s="11" t="n">
        <v>25.79</v>
      </c>
      <c r="E1409" s="11" t="n">
        <v>50</v>
      </c>
      <c r="F1409" s="11">
        <f>ROUND(D1409-E1409,2)</f>
        <v/>
      </c>
      <c r="G1409" s="13">
        <f>IFERROR(ROUND(F1409/E1409,4),"")</f>
        <v/>
      </c>
      <c r="H1409" s="14">
        <f>IF(D1409=0,"NO DATA",IF(D1409&gt;E1409*1.5,"OVER",IF(D1409&gt;E1409*1.1,"HIGH",IF(D1409&lt;E1409*0.5,"LOW","OK"))))</f>
        <v/>
      </c>
    </row>
    <row r="1410" ht="22" customHeight="1">
      <c r="B1410" s="8" t="inlineStr">
        <is>
          <t>MTR-DYE-001</t>
        </is>
      </c>
      <c r="C1410" s="8" t="inlineStr">
        <is>
          <t>2024-11-11</t>
        </is>
      </c>
      <c r="D1410" s="12" t="n">
        <v>55.6</v>
      </c>
      <c r="E1410" s="12" t="n">
        <v>50</v>
      </c>
      <c r="F1410" s="12">
        <f>ROUND(D1410-E1410,2)</f>
        <v/>
      </c>
      <c r="G1410" s="15">
        <f>IFERROR(ROUND(F1410/E1410,4),"")</f>
        <v/>
      </c>
      <c r="H1410" s="16">
        <f>IF(D1410=0,"NO DATA",IF(D1410&gt;E1410*1.5,"OVER",IF(D1410&gt;E1410*1.1,"HIGH",IF(D1410&lt;E1410*0.5,"LOW","OK"))))</f>
        <v/>
      </c>
    </row>
    <row r="1411" ht="22" customHeight="1">
      <c r="B1411" s="5" t="inlineStr">
        <is>
          <t>MTR-DYE-001</t>
        </is>
      </c>
      <c r="C1411" s="5" t="inlineStr">
        <is>
          <t>2024-11-12</t>
        </is>
      </c>
      <c r="D1411" s="11" t="n">
        <v>45.18</v>
      </c>
      <c r="E1411" s="11" t="n">
        <v>50</v>
      </c>
      <c r="F1411" s="11">
        <f>ROUND(D1411-E1411,2)</f>
        <v/>
      </c>
      <c r="G1411" s="13">
        <f>IFERROR(ROUND(F1411/E1411,4),"")</f>
        <v/>
      </c>
      <c r="H1411" s="14">
        <f>IF(D1411=0,"NO DATA",IF(D1411&gt;E1411*1.5,"OVER",IF(D1411&gt;E1411*1.1,"HIGH",IF(D1411&lt;E1411*0.5,"LOW","OK"))))</f>
        <v/>
      </c>
    </row>
    <row r="1412" ht="22" customHeight="1">
      <c r="B1412" s="8" t="inlineStr">
        <is>
          <t>MTR-DYE-001</t>
        </is>
      </c>
      <c r="C1412" s="8" t="inlineStr">
        <is>
          <t>2024-11-13</t>
        </is>
      </c>
      <c r="D1412" s="12" t="n">
        <v>48.54</v>
      </c>
      <c r="E1412" s="12" t="n">
        <v>50</v>
      </c>
      <c r="F1412" s="12">
        <f>ROUND(D1412-E1412,2)</f>
        <v/>
      </c>
      <c r="G1412" s="15">
        <f>IFERROR(ROUND(F1412/E1412,4),"")</f>
        <v/>
      </c>
      <c r="H1412" s="16">
        <f>IF(D1412=0,"NO DATA",IF(D1412&gt;E1412*1.5,"OVER",IF(D1412&gt;E1412*1.1,"HIGH",IF(D1412&lt;E1412*0.5,"LOW","OK"))))</f>
        <v/>
      </c>
    </row>
    <row r="1413" ht="22" customHeight="1">
      <c r="B1413" s="5" t="inlineStr">
        <is>
          <t>MTR-DYE-001</t>
        </is>
      </c>
      <c r="C1413" s="5" t="inlineStr">
        <is>
          <t>2024-11-14</t>
        </is>
      </c>
      <c r="D1413" s="11" t="n">
        <v>53.83</v>
      </c>
      <c r="E1413" s="11" t="n">
        <v>50</v>
      </c>
      <c r="F1413" s="11">
        <f>ROUND(D1413-E1413,2)</f>
        <v/>
      </c>
      <c r="G1413" s="13">
        <f>IFERROR(ROUND(F1413/E1413,4),"")</f>
        <v/>
      </c>
      <c r="H1413" s="14">
        <f>IF(D1413=0,"NO DATA",IF(D1413&gt;E1413*1.5,"OVER",IF(D1413&gt;E1413*1.1,"HIGH",IF(D1413&lt;E1413*0.5,"LOW","OK"))))</f>
        <v/>
      </c>
    </row>
    <row r="1414" ht="22" customHeight="1">
      <c r="B1414" s="8" t="inlineStr">
        <is>
          <t>MTR-DYE-001</t>
        </is>
      </c>
      <c r="C1414" s="8" t="inlineStr">
        <is>
          <t>2024-11-15</t>
        </is>
      </c>
      <c r="D1414" s="12" t="n">
        <v>46.62</v>
      </c>
      <c r="E1414" s="12" t="n">
        <v>50</v>
      </c>
      <c r="F1414" s="12">
        <f>ROUND(D1414-E1414,2)</f>
        <v/>
      </c>
      <c r="G1414" s="15">
        <f>IFERROR(ROUND(F1414/E1414,4),"")</f>
        <v/>
      </c>
      <c r="H1414" s="16">
        <f>IF(D1414=0,"NO DATA",IF(D1414&gt;E1414*1.5,"OVER",IF(D1414&gt;E1414*1.1,"HIGH",IF(D1414&lt;E1414*0.5,"LOW","OK"))))</f>
        <v/>
      </c>
    </row>
    <row r="1415" ht="22" customHeight="1">
      <c r="B1415" s="5" t="inlineStr">
        <is>
          <t>MTR-DYE-001</t>
        </is>
      </c>
      <c r="C1415" s="5" t="inlineStr">
        <is>
          <t>2024-11-16</t>
        </is>
      </c>
      <c r="D1415" s="11" t="n">
        <v>43.13</v>
      </c>
      <c r="E1415" s="11" t="n">
        <v>50</v>
      </c>
      <c r="F1415" s="11">
        <f>ROUND(D1415-E1415,2)</f>
        <v/>
      </c>
      <c r="G1415" s="13">
        <f>IFERROR(ROUND(F1415/E1415,4),"")</f>
        <v/>
      </c>
      <c r="H1415" s="14">
        <f>IF(D1415=0,"NO DATA",IF(D1415&gt;E1415*1.5,"OVER",IF(D1415&gt;E1415*1.1,"HIGH",IF(D1415&lt;E1415*0.5,"LOW","OK"))))</f>
        <v/>
      </c>
    </row>
    <row r="1416" ht="22" customHeight="1">
      <c r="B1416" s="8" t="inlineStr">
        <is>
          <t>MTR-DYE-001</t>
        </is>
      </c>
      <c r="C1416" s="8" t="inlineStr">
        <is>
          <t>2024-11-17</t>
        </is>
      </c>
      <c r="D1416" s="12" t="n">
        <v>25.43</v>
      </c>
      <c r="E1416" s="12" t="n">
        <v>50</v>
      </c>
      <c r="F1416" s="12">
        <f>ROUND(D1416-E1416,2)</f>
        <v/>
      </c>
      <c r="G1416" s="15">
        <f>IFERROR(ROUND(F1416/E1416,4),"")</f>
        <v/>
      </c>
      <c r="H1416" s="16">
        <f>IF(D1416=0,"NO DATA",IF(D1416&gt;E1416*1.5,"OVER",IF(D1416&gt;E1416*1.1,"HIGH",IF(D1416&lt;E1416*0.5,"LOW","OK"))))</f>
        <v/>
      </c>
    </row>
    <row r="1417" ht="22" customHeight="1">
      <c r="B1417" s="5" t="inlineStr">
        <is>
          <t>MTR-DYE-001</t>
        </is>
      </c>
      <c r="C1417" s="5" t="inlineStr">
        <is>
          <t>2024-11-18</t>
        </is>
      </c>
      <c r="D1417" s="11" t="n">
        <v>43.53</v>
      </c>
      <c r="E1417" s="11" t="n">
        <v>50</v>
      </c>
      <c r="F1417" s="11">
        <f>ROUND(D1417-E1417,2)</f>
        <v/>
      </c>
      <c r="G1417" s="13">
        <f>IFERROR(ROUND(F1417/E1417,4),"")</f>
        <v/>
      </c>
      <c r="H1417" s="14">
        <f>IF(D1417=0,"NO DATA",IF(D1417&gt;E1417*1.5,"OVER",IF(D1417&gt;E1417*1.1,"HIGH",IF(D1417&lt;E1417*0.5,"LOW","OK"))))</f>
        <v/>
      </c>
    </row>
    <row r="1418" ht="22" customHeight="1">
      <c r="B1418" s="8" t="inlineStr">
        <is>
          <t>MTR-DYE-001</t>
        </is>
      </c>
      <c r="C1418" s="8" t="inlineStr">
        <is>
          <t>2024-11-19</t>
        </is>
      </c>
      <c r="D1418" s="12" t="n">
        <v>56.09</v>
      </c>
      <c r="E1418" s="12" t="n">
        <v>50</v>
      </c>
      <c r="F1418" s="12">
        <f>ROUND(D1418-E1418,2)</f>
        <v/>
      </c>
      <c r="G1418" s="15">
        <f>IFERROR(ROUND(F1418/E1418,4),"")</f>
        <v/>
      </c>
      <c r="H1418" s="16">
        <f>IF(D1418=0,"NO DATA",IF(D1418&gt;E1418*1.5,"OVER",IF(D1418&gt;E1418*1.1,"HIGH",IF(D1418&lt;E1418*0.5,"LOW","OK"))))</f>
        <v/>
      </c>
    </row>
    <row r="1419" ht="22" customHeight="1">
      <c r="B1419" s="5" t="inlineStr">
        <is>
          <t>MTR-DYE-001</t>
        </is>
      </c>
      <c r="C1419" s="5" t="inlineStr">
        <is>
          <t>2024-11-20</t>
        </is>
      </c>
      <c r="D1419" s="11" t="n">
        <v>48.41</v>
      </c>
      <c r="E1419" s="11" t="n">
        <v>50</v>
      </c>
      <c r="F1419" s="11">
        <f>ROUND(D1419-E1419,2)</f>
        <v/>
      </c>
      <c r="G1419" s="13">
        <f>IFERROR(ROUND(F1419/E1419,4),"")</f>
        <v/>
      </c>
      <c r="H1419" s="14">
        <f>IF(D1419=0,"NO DATA",IF(D1419&gt;E1419*1.5,"OVER",IF(D1419&gt;E1419*1.1,"HIGH",IF(D1419&lt;E1419*0.5,"LOW","OK"))))</f>
        <v/>
      </c>
    </row>
    <row r="1420" ht="22" customHeight="1">
      <c r="B1420" s="8" t="inlineStr">
        <is>
          <t>MTR-DYE-001</t>
        </is>
      </c>
      <c r="C1420" s="8" t="inlineStr">
        <is>
          <t>2024-11-21</t>
        </is>
      </c>
      <c r="D1420" s="12" t="n">
        <v>47.96</v>
      </c>
      <c r="E1420" s="12" t="n">
        <v>50</v>
      </c>
      <c r="F1420" s="12">
        <f>ROUND(D1420-E1420,2)</f>
        <v/>
      </c>
      <c r="G1420" s="15">
        <f>IFERROR(ROUND(F1420/E1420,4),"")</f>
        <v/>
      </c>
      <c r="H1420" s="16">
        <f>IF(D1420=0,"NO DATA",IF(D1420&gt;E1420*1.5,"OVER",IF(D1420&gt;E1420*1.1,"HIGH",IF(D1420&lt;E1420*0.5,"LOW","OK"))))</f>
        <v/>
      </c>
    </row>
    <row r="1421" ht="22" customHeight="1">
      <c r="B1421" s="5" t="inlineStr">
        <is>
          <t>MTR-DYE-001</t>
        </is>
      </c>
      <c r="C1421" s="5" t="inlineStr">
        <is>
          <t>2024-11-22</t>
        </is>
      </c>
      <c r="D1421" s="11" t="n">
        <v>54.04</v>
      </c>
      <c r="E1421" s="11" t="n">
        <v>50</v>
      </c>
      <c r="F1421" s="11">
        <f>ROUND(D1421-E1421,2)</f>
        <v/>
      </c>
      <c r="G1421" s="13">
        <f>IFERROR(ROUND(F1421/E1421,4),"")</f>
        <v/>
      </c>
      <c r="H1421" s="14">
        <f>IF(D1421=0,"NO DATA",IF(D1421&gt;E1421*1.5,"OVER",IF(D1421&gt;E1421*1.1,"HIGH",IF(D1421&lt;E1421*0.5,"LOW","OK"))))</f>
        <v/>
      </c>
    </row>
    <row r="1422" ht="22" customHeight="1">
      <c r="B1422" s="8" t="inlineStr">
        <is>
          <t>MTR-DYE-001</t>
        </is>
      </c>
      <c r="C1422" s="8" t="inlineStr">
        <is>
          <t>2024-11-23</t>
        </is>
      </c>
      <c r="D1422" s="12" t="n">
        <v>38.98</v>
      </c>
      <c r="E1422" s="12" t="n">
        <v>50</v>
      </c>
      <c r="F1422" s="12">
        <f>ROUND(D1422-E1422,2)</f>
        <v/>
      </c>
      <c r="G1422" s="15">
        <f>IFERROR(ROUND(F1422/E1422,4),"")</f>
        <v/>
      </c>
      <c r="H1422" s="16">
        <f>IF(D1422=0,"NO DATA",IF(D1422&gt;E1422*1.5,"OVER",IF(D1422&gt;E1422*1.1,"HIGH",IF(D1422&lt;E1422*0.5,"LOW","OK"))))</f>
        <v/>
      </c>
    </row>
    <row r="1423" ht="22" customHeight="1">
      <c r="B1423" s="5" t="inlineStr">
        <is>
          <t>MTR-DYE-001</t>
        </is>
      </c>
      <c r="C1423" s="5" t="inlineStr">
        <is>
          <t>2024-11-24</t>
        </is>
      </c>
      <c r="D1423" s="11" t="n">
        <v>25.3</v>
      </c>
      <c r="E1423" s="11" t="n">
        <v>50</v>
      </c>
      <c r="F1423" s="11">
        <f>ROUND(D1423-E1423,2)</f>
        <v/>
      </c>
      <c r="G1423" s="13">
        <f>IFERROR(ROUND(F1423/E1423,4),"")</f>
        <v/>
      </c>
      <c r="H1423" s="14">
        <f>IF(D1423=0,"NO DATA",IF(D1423&gt;E1423*1.5,"OVER",IF(D1423&gt;E1423*1.1,"HIGH",IF(D1423&lt;E1423*0.5,"LOW","OK"))))</f>
        <v/>
      </c>
    </row>
    <row r="1424" ht="22" customHeight="1">
      <c r="B1424" s="8" t="inlineStr">
        <is>
          <t>MTR-DYE-001</t>
        </is>
      </c>
      <c r="C1424" s="8" t="inlineStr">
        <is>
          <t>2024-11-25</t>
        </is>
      </c>
      <c r="D1424" s="12" t="n">
        <v>45.28</v>
      </c>
      <c r="E1424" s="12" t="n">
        <v>50</v>
      </c>
      <c r="F1424" s="12">
        <f>ROUND(D1424-E1424,2)</f>
        <v/>
      </c>
      <c r="G1424" s="15">
        <f>IFERROR(ROUND(F1424/E1424,4),"")</f>
        <v/>
      </c>
      <c r="H1424" s="16">
        <f>IF(D1424=0,"NO DATA",IF(D1424&gt;E1424*1.5,"OVER",IF(D1424&gt;E1424*1.1,"HIGH",IF(D1424&lt;E1424*0.5,"LOW","OK"))))</f>
        <v/>
      </c>
    </row>
    <row r="1425" ht="22" customHeight="1">
      <c r="B1425" s="5" t="inlineStr">
        <is>
          <t>MTR-DYE-001</t>
        </is>
      </c>
      <c r="C1425" s="5" t="inlineStr">
        <is>
          <t>2024-11-26</t>
        </is>
      </c>
      <c r="D1425" s="11" t="n">
        <v>51.23</v>
      </c>
      <c r="E1425" s="11" t="n">
        <v>50</v>
      </c>
      <c r="F1425" s="11">
        <f>ROUND(D1425-E1425,2)</f>
        <v/>
      </c>
      <c r="G1425" s="13">
        <f>IFERROR(ROUND(F1425/E1425,4),"")</f>
        <v/>
      </c>
      <c r="H1425" s="14">
        <f>IF(D1425=0,"NO DATA",IF(D1425&gt;E1425*1.5,"OVER",IF(D1425&gt;E1425*1.1,"HIGH",IF(D1425&lt;E1425*0.5,"LOW","OK"))))</f>
        <v/>
      </c>
    </row>
    <row r="1426" ht="22" customHeight="1">
      <c r="B1426" s="8" t="inlineStr">
        <is>
          <t>MTR-DYE-001</t>
        </is>
      </c>
      <c r="C1426" s="8" t="inlineStr">
        <is>
          <t>2024-11-27</t>
        </is>
      </c>
      <c r="D1426" s="12" t="n">
        <v>50.59</v>
      </c>
      <c r="E1426" s="12" t="n">
        <v>50</v>
      </c>
      <c r="F1426" s="12">
        <f>ROUND(D1426-E1426,2)</f>
        <v/>
      </c>
      <c r="G1426" s="15">
        <f>IFERROR(ROUND(F1426/E1426,4),"")</f>
        <v/>
      </c>
      <c r="H1426" s="16">
        <f>IF(D1426=0,"NO DATA",IF(D1426&gt;E1426*1.5,"OVER",IF(D1426&gt;E1426*1.1,"HIGH",IF(D1426&lt;E1426*0.5,"LOW","OK"))))</f>
        <v/>
      </c>
    </row>
    <row r="1427" ht="22" customHeight="1">
      <c r="B1427" s="5" t="inlineStr">
        <is>
          <t>MTR-DYE-001</t>
        </is>
      </c>
      <c r="C1427" s="5" t="inlineStr">
        <is>
          <t>2024-11-28</t>
        </is>
      </c>
      <c r="D1427" s="11" t="n">
        <v>55.75</v>
      </c>
      <c r="E1427" s="11" t="n">
        <v>50</v>
      </c>
      <c r="F1427" s="11">
        <f>ROUND(D1427-E1427,2)</f>
        <v/>
      </c>
      <c r="G1427" s="13">
        <f>IFERROR(ROUND(F1427/E1427,4),"")</f>
        <v/>
      </c>
      <c r="H1427" s="14">
        <f>IF(D1427=0,"NO DATA",IF(D1427&gt;E1427*1.5,"OVER",IF(D1427&gt;E1427*1.1,"HIGH",IF(D1427&lt;E1427*0.5,"LOW","OK"))))</f>
        <v/>
      </c>
    </row>
    <row r="1428" ht="22" customHeight="1">
      <c r="B1428" s="8" t="inlineStr">
        <is>
          <t>MTR-DYE-001</t>
        </is>
      </c>
      <c r="C1428" s="8" t="inlineStr">
        <is>
          <t>2024-11-29</t>
        </is>
      </c>
      <c r="D1428" s="12" t="n">
        <v>51.53</v>
      </c>
      <c r="E1428" s="12" t="n">
        <v>50</v>
      </c>
      <c r="F1428" s="12">
        <f>ROUND(D1428-E1428,2)</f>
        <v/>
      </c>
      <c r="G1428" s="15">
        <f>IFERROR(ROUND(F1428/E1428,4),"")</f>
        <v/>
      </c>
      <c r="H1428" s="16">
        <f>IF(D1428=0,"NO DATA",IF(D1428&gt;E1428*1.5,"OVER",IF(D1428&gt;E1428*1.1,"HIGH",IF(D1428&lt;E1428*0.5,"LOW","OK"))))</f>
        <v/>
      </c>
    </row>
    <row r="1429" ht="22" customHeight="1">
      <c r="B1429" s="5" t="inlineStr">
        <is>
          <t>MTR-DYE-001</t>
        </is>
      </c>
      <c r="C1429" s="5" t="inlineStr">
        <is>
          <t>2024-11-30</t>
        </is>
      </c>
      <c r="D1429" s="11" t="n">
        <v>34.7</v>
      </c>
      <c r="E1429" s="11" t="n">
        <v>50</v>
      </c>
      <c r="F1429" s="11">
        <f>ROUND(D1429-E1429,2)</f>
        <v/>
      </c>
      <c r="G1429" s="13">
        <f>IFERROR(ROUND(F1429/E1429,4),"")</f>
        <v/>
      </c>
      <c r="H1429" s="14">
        <f>IF(D1429=0,"NO DATA",IF(D1429&gt;E1429*1.5,"OVER",IF(D1429&gt;E1429*1.1,"HIGH",IF(D1429&lt;E1429*0.5,"LOW","OK"))))</f>
        <v/>
      </c>
    </row>
    <row r="1430" ht="22" customHeight="1">
      <c r="B1430" s="8" t="inlineStr">
        <is>
          <t>MTR-DYE-001</t>
        </is>
      </c>
      <c r="C1430" s="8" t="inlineStr">
        <is>
          <t>2024-12-01</t>
        </is>
      </c>
      <c r="D1430" s="12" t="n">
        <v>24.54</v>
      </c>
      <c r="E1430" s="12" t="n">
        <v>50</v>
      </c>
      <c r="F1430" s="12">
        <f>ROUND(D1430-E1430,2)</f>
        <v/>
      </c>
      <c r="G1430" s="15">
        <f>IFERROR(ROUND(F1430/E1430,4),"")</f>
        <v/>
      </c>
      <c r="H1430" s="16">
        <f>IF(D1430=0,"NO DATA",IF(D1430&gt;E1430*1.5,"OVER",IF(D1430&gt;E1430*1.1,"HIGH",IF(D1430&lt;E1430*0.5,"LOW","OK"))))</f>
        <v/>
      </c>
    </row>
    <row r="1431" ht="22" customHeight="1">
      <c r="B1431" s="5" t="inlineStr">
        <is>
          <t>MTR-DYE-001</t>
        </is>
      </c>
      <c r="C1431" s="5" t="inlineStr">
        <is>
          <t>2024-12-02</t>
        </is>
      </c>
      <c r="D1431" s="11" t="n">
        <v>47.45</v>
      </c>
      <c r="E1431" s="11" t="n">
        <v>50</v>
      </c>
      <c r="F1431" s="11">
        <f>ROUND(D1431-E1431,2)</f>
        <v/>
      </c>
      <c r="G1431" s="13">
        <f>IFERROR(ROUND(F1431/E1431,4),"")</f>
        <v/>
      </c>
      <c r="H1431" s="14">
        <f>IF(D1431=0,"NO DATA",IF(D1431&gt;E1431*1.5,"OVER",IF(D1431&gt;E1431*1.1,"HIGH",IF(D1431&lt;E1431*0.5,"LOW","OK"))))</f>
        <v/>
      </c>
    </row>
    <row r="1432" ht="22" customHeight="1">
      <c r="B1432" s="8" t="inlineStr">
        <is>
          <t>MTR-DYE-001</t>
        </is>
      </c>
      <c r="C1432" s="8" t="inlineStr">
        <is>
          <t>2024-12-03</t>
        </is>
      </c>
      <c r="D1432" s="12" t="n">
        <v>51.04</v>
      </c>
      <c r="E1432" s="12" t="n">
        <v>50</v>
      </c>
      <c r="F1432" s="12">
        <f>ROUND(D1432-E1432,2)</f>
        <v/>
      </c>
      <c r="G1432" s="15">
        <f>IFERROR(ROUND(F1432/E1432,4),"")</f>
        <v/>
      </c>
      <c r="H1432" s="16">
        <f>IF(D1432=0,"NO DATA",IF(D1432&gt;E1432*1.5,"OVER",IF(D1432&gt;E1432*1.1,"HIGH",IF(D1432&lt;E1432*0.5,"LOW","OK"))))</f>
        <v/>
      </c>
    </row>
    <row r="1433" ht="22" customHeight="1">
      <c r="B1433" s="5" t="inlineStr">
        <is>
          <t>MTR-DYE-001</t>
        </is>
      </c>
      <c r="C1433" s="5" t="inlineStr">
        <is>
          <t>2024-12-04</t>
        </is>
      </c>
      <c r="D1433" s="11" t="n">
        <v>44.27</v>
      </c>
      <c r="E1433" s="11" t="n">
        <v>50</v>
      </c>
      <c r="F1433" s="11">
        <f>ROUND(D1433-E1433,2)</f>
        <v/>
      </c>
      <c r="G1433" s="13">
        <f>IFERROR(ROUND(F1433/E1433,4),"")</f>
        <v/>
      </c>
      <c r="H1433" s="14">
        <f>IF(D1433=0,"NO DATA",IF(D1433&gt;E1433*1.5,"OVER",IF(D1433&gt;E1433*1.1,"HIGH",IF(D1433&lt;E1433*0.5,"LOW","OK"))))</f>
        <v/>
      </c>
    </row>
    <row r="1434" ht="22" customHeight="1">
      <c r="B1434" s="8" t="inlineStr">
        <is>
          <t>MTR-DYE-001</t>
        </is>
      </c>
      <c r="C1434" s="8" t="inlineStr">
        <is>
          <t>2024-12-05</t>
        </is>
      </c>
      <c r="D1434" s="12" t="n">
        <v>51.42</v>
      </c>
      <c r="E1434" s="12" t="n">
        <v>50</v>
      </c>
      <c r="F1434" s="12">
        <f>ROUND(D1434-E1434,2)</f>
        <v/>
      </c>
      <c r="G1434" s="15">
        <f>IFERROR(ROUND(F1434/E1434,4),"")</f>
        <v/>
      </c>
      <c r="H1434" s="16">
        <f>IF(D1434=0,"NO DATA",IF(D1434&gt;E1434*1.5,"OVER",IF(D1434&gt;E1434*1.1,"HIGH",IF(D1434&lt;E1434*0.5,"LOW","OK"))))</f>
        <v/>
      </c>
    </row>
    <row r="1435" ht="22" customHeight="1">
      <c r="B1435" s="5" t="inlineStr">
        <is>
          <t>MTR-DYE-001</t>
        </is>
      </c>
      <c r="C1435" s="5" t="inlineStr">
        <is>
          <t>2024-12-06</t>
        </is>
      </c>
      <c r="D1435" s="11" t="n">
        <v>42.46</v>
      </c>
      <c r="E1435" s="11" t="n">
        <v>50</v>
      </c>
      <c r="F1435" s="11">
        <f>ROUND(D1435-E1435,2)</f>
        <v/>
      </c>
      <c r="G1435" s="13">
        <f>IFERROR(ROUND(F1435/E1435,4),"")</f>
        <v/>
      </c>
      <c r="H1435" s="14">
        <f>IF(D1435=0,"NO DATA",IF(D1435&gt;E1435*1.5,"OVER",IF(D1435&gt;E1435*1.1,"HIGH",IF(D1435&lt;E1435*0.5,"LOW","OK"))))</f>
        <v/>
      </c>
    </row>
    <row r="1436" ht="22" customHeight="1">
      <c r="B1436" s="8" t="inlineStr">
        <is>
          <t>MTR-DYE-001</t>
        </is>
      </c>
      <c r="C1436" s="8" t="inlineStr">
        <is>
          <t>2024-12-07</t>
        </is>
      </c>
      <c r="D1436" s="12" t="n">
        <v>43.82</v>
      </c>
      <c r="E1436" s="12" t="n">
        <v>50</v>
      </c>
      <c r="F1436" s="12">
        <f>ROUND(D1436-E1436,2)</f>
        <v/>
      </c>
      <c r="G1436" s="15">
        <f>IFERROR(ROUND(F1436/E1436,4),"")</f>
        <v/>
      </c>
      <c r="H1436" s="16">
        <f>IF(D1436=0,"NO DATA",IF(D1436&gt;E1436*1.5,"OVER",IF(D1436&gt;E1436*1.1,"HIGH",IF(D1436&lt;E1436*0.5,"LOW","OK"))))</f>
        <v/>
      </c>
    </row>
    <row r="1437" ht="22" customHeight="1">
      <c r="B1437" s="5" t="inlineStr">
        <is>
          <t>MTR-DYE-001</t>
        </is>
      </c>
      <c r="C1437" s="5" t="inlineStr">
        <is>
          <t>2024-12-08</t>
        </is>
      </c>
      <c r="D1437" s="11" t="n">
        <v>24.18</v>
      </c>
      <c r="E1437" s="11" t="n">
        <v>50</v>
      </c>
      <c r="F1437" s="11">
        <f>ROUND(D1437-E1437,2)</f>
        <v/>
      </c>
      <c r="G1437" s="13">
        <f>IFERROR(ROUND(F1437/E1437,4),"")</f>
        <v/>
      </c>
      <c r="H1437" s="14">
        <f>IF(D1437=0,"NO DATA",IF(D1437&gt;E1437*1.5,"OVER",IF(D1437&gt;E1437*1.1,"HIGH",IF(D1437&lt;E1437*0.5,"LOW","OK"))))</f>
        <v/>
      </c>
    </row>
    <row r="1438" ht="22" customHeight="1">
      <c r="B1438" s="8" t="inlineStr">
        <is>
          <t>MTR-DYE-001</t>
        </is>
      </c>
      <c r="C1438" s="8" t="inlineStr">
        <is>
          <t>2024-12-09</t>
        </is>
      </c>
      <c r="D1438" s="12" t="n">
        <v>45.34</v>
      </c>
      <c r="E1438" s="12" t="n">
        <v>50</v>
      </c>
      <c r="F1438" s="12">
        <f>ROUND(D1438-E1438,2)</f>
        <v/>
      </c>
      <c r="G1438" s="15">
        <f>IFERROR(ROUND(F1438/E1438,4),"")</f>
        <v/>
      </c>
      <c r="H1438" s="16">
        <f>IF(D1438=0,"NO DATA",IF(D1438&gt;E1438*1.5,"OVER",IF(D1438&gt;E1438*1.1,"HIGH",IF(D1438&lt;E1438*0.5,"LOW","OK"))))</f>
        <v/>
      </c>
    </row>
    <row r="1439" ht="22" customHeight="1">
      <c r="B1439" s="5" t="inlineStr">
        <is>
          <t>MTR-DYE-001</t>
        </is>
      </c>
      <c r="C1439" s="5" t="inlineStr">
        <is>
          <t>2024-12-10</t>
        </is>
      </c>
      <c r="D1439" s="11" t="n">
        <v>42.88</v>
      </c>
      <c r="E1439" s="11" t="n">
        <v>50</v>
      </c>
      <c r="F1439" s="11">
        <f>ROUND(D1439-E1439,2)</f>
        <v/>
      </c>
      <c r="G1439" s="13">
        <f>IFERROR(ROUND(F1439/E1439,4),"")</f>
        <v/>
      </c>
      <c r="H1439" s="14">
        <f>IF(D1439=0,"NO DATA",IF(D1439&gt;E1439*1.5,"OVER",IF(D1439&gt;E1439*1.1,"HIGH",IF(D1439&lt;E1439*0.5,"LOW","OK"))))</f>
        <v/>
      </c>
    </row>
    <row r="1440" ht="22" customHeight="1">
      <c r="B1440" s="8" t="inlineStr">
        <is>
          <t>MTR-DYE-001</t>
        </is>
      </c>
      <c r="C1440" s="8" t="inlineStr">
        <is>
          <t>2024-12-11</t>
        </is>
      </c>
      <c r="D1440" s="12" t="n">
        <v>55.58</v>
      </c>
      <c r="E1440" s="12" t="n">
        <v>50</v>
      </c>
      <c r="F1440" s="12">
        <f>ROUND(D1440-E1440,2)</f>
        <v/>
      </c>
      <c r="G1440" s="15">
        <f>IFERROR(ROUND(F1440/E1440,4),"")</f>
        <v/>
      </c>
      <c r="H1440" s="16">
        <f>IF(D1440=0,"NO DATA",IF(D1440&gt;E1440*1.5,"OVER",IF(D1440&gt;E1440*1.1,"HIGH",IF(D1440&lt;E1440*0.5,"LOW","OK"))))</f>
        <v/>
      </c>
    </row>
    <row r="1441" ht="22" customHeight="1">
      <c r="B1441" s="5" t="inlineStr">
        <is>
          <t>MTR-DYE-001</t>
        </is>
      </c>
      <c r="C1441" s="5" t="inlineStr">
        <is>
          <t>2024-12-12</t>
        </is>
      </c>
      <c r="D1441" s="11" t="n">
        <v>49.03</v>
      </c>
      <c r="E1441" s="11" t="n">
        <v>50</v>
      </c>
      <c r="F1441" s="11">
        <f>ROUND(D1441-E1441,2)</f>
        <v/>
      </c>
      <c r="G1441" s="13">
        <f>IFERROR(ROUND(F1441/E1441,4),"")</f>
        <v/>
      </c>
      <c r="H1441" s="14">
        <f>IF(D1441=0,"NO DATA",IF(D1441&gt;E1441*1.5,"OVER",IF(D1441&gt;E1441*1.1,"HIGH",IF(D1441&lt;E1441*0.5,"LOW","OK"))))</f>
        <v/>
      </c>
    </row>
    <row r="1442" ht="22" customHeight="1">
      <c r="B1442" s="8" t="inlineStr">
        <is>
          <t>MTR-DYE-001</t>
        </is>
      </c>
      <c r="C1442" s="8" t="inlineStr">
        <is>
          <t>2024-12-13</t>
        </is>
      </c>
      <c r="D1442" s="12" t="n">
        <v>51.03</v>
      </c>
      <c r="E1442" s="12" t="n">
        <v>50</v>
      </c>
      <c r="F1442" s="12">
        <f>ROUND(D1442-E1442,2)</f>
        <v/>
      </c>
      <c r="G1442" s="15">
        <f>IFERROR(ROUND(F1442/E1442,4),"")</f>
        <v/>
      </c>
      <c r="H1442" s="16">
        <f>IF(D1442=0,"NO DATA",IF(D1442&gt;E1442*1.5,"OVER",IF(D1442&gt;E1442*1.1,"HIGH",IF(D1442&lt;E1442*0.5,"LOW","OK"))))</f>
        <v/>
      </c>
    </row>
    <row r="1443" ht="22" customHeight="1">
      <c r="B1443" s="5" t="inlineStr">
        <is>
          <t>MTR-DYE-001</t>
        </is>
      </c>
      <c r="C1443" s="5" t="inlineStr">
        <is>
          <t>2024-12-14</t>
        </is>
      </c>
      <c r="D1443" s="11" t="n">
        <v>44.53</v>
      </c>
      <c r="E1443" s="11" t="n">
        <v>50</v>
      </c>
      <c r="F1443" s="11">
        <f>ROUND(D1443-E1443,2)</f>
        <v/>
      </c>
      <c r="G1443" s="13">
        <f>IFERROR(ROUND(F1443/E1443,4),"")</f>
        <v/>
      </c>
      <c r="H1443" s="14">
        <f>IF(D1443=0,"NO DATA",IF(D1443&gt;E1443*1.5,"OVER",IF(D1443&gt;E1443*1.1,"HIGH",IF(D1443&lt;E1443*0.5,"LOW","OK"))))</f>
        <v/>
      </c>
    </row>
    <row r="1444" ht="22" customHeight="1">
      <c r="B1444" s="8" t="inlineStr">
        <is>
          <t>MTR-DYE-001</t>
        </is>
      </c>
      <c r="C1444" s="8" t="inlineStr">
        <is>
          <t>2024-12-15</t>
        </is>
      </c>
      <c r="D1444" s="12" t="n">
        <v>25.88</v>
      </c>
      <c r="E1444" s="12" t="n">
        <v>50</v>
      </c>
      <c r="F1444" s="12">
        <f>ROUND(D1444-E1444,2)</f>
        <v/>
      </c>
      <c r="G1444" s="15">
        <f>IFERROR(ROUND(F1444/E1444,4),"")</f>
        <v/>
      </c>
      <c r="H1444" s="16">
        <f>IF(D1444=0,"NO DATA",IF(D1444&gt;E1444*1.5,"OVER",IF(D1444&gt;E1444*1.1,"HIGH",IF(D1444&lt;E1444*0.5,"LOW","OK"))))</f>
        <v/>
      </c>
    </row>
    <row r="1445" ht="22" customHeight="1">
      <c r="B1445" s="5" t="inlineStr">
        <is>
          <t>MTR-DYE-001</t>
        </is>
      </c>
      <c r="C1445" s="5" t="inlineStr">
        <is>
          <t>2024-12-16</t>
        </is>
      </c>
      <c r="D1445" s="11" t="n">
        <v>55.69</v>
      </c>
      <c r="E1445" s="11" t="n">
        <v>50</v>
      </c>
      <c r="F1445" s="11">
        <f>ROUND(D1445-E1445,2)</f>
        <v/>
      </c>
      <c r="G1445" s="13">
        <f>IFERROR(ROUND(F1445/E1445,4),"")</f>
        <v/>
      </c>
      <c r="H1445" s="14">
        <f>IF(D1445=0,"NO DATA",IF(D1445&gt;E1445*1.5,"OVER",IF(D1445&gt;E1445*1.1,"HIGH",IF(D1445&lt;E1445*0.5,"LOW","OK"))))</f>
        <v/>
      </c>
    </row>
    <row r="1446" ht="22" customHeight="1">
      <c r="B1446" s="8" t="inlineStr">
        <is>
          <t>MTR-DYE-001</t>
        </is>
      </c>
      <c r="C1446" s="8" t="inlineStr">
        <is>
          <t>2024-12-17</t>
        </is>
      </c>
      <c r="D1446" s="12" t="n">
        <v>45.81</v>
      </c>
      <c r="E1446" s="12" t="n">
        <v>50</v>
      </c>
      <c r="F1446" s="12">
        <f>ROUND(D1446-E1446,2)</f>
        <v/>
      </c>
      <c r="G1446" s="15">
        <f>IFERROR(ROUND(F1446/E1446,4),"")</f>
        <v/>
      </c>
      <c r="H1446" s="16">
        <f>IF(D1446=0,"NO DATA",IF(D1446&gt;E1446*1.5,"OVER",IF(D1446&gt;E1446*1.1,"HIGH",IF(D1446&lt;E1446*0.5,"LOW","OK"))))</f>
        <v/>
      </c>
    </row>
    <row r="1447" ht="22" customHeight="1">
      <c r="B1447" s="5" t="inlineStr">
        <is>
          <t>MTR-DYE-001</t>
        </is>
      </c>
      <c r="C1447" s="5" t="inlineStr">
        <is>
          <t>2024-12-18</t>
        </is>
      </c>
      <c r="D1447" s="11" t="n">
        <v>50.13</v>
      </c>
      <c r="E1447" s="11" t="n">
        <v>50</v>
      </c>
      <c r="F1447" s="11">
        <f>ROUND(D1447-E1447,2)</f>
        <v/>
      </c>
      <c r="G1447" s="13">
        <f>IFERROR(ROUND(F1447/E1447,4),"")</f>
        <v/>
      </c>
      <c r="H1447" s="14">
        <f>IF(D1447=0,"NO DATA",IF(D1447&gt;E1447*1.5,"OVER",IF(D1447&gt;E1447*1.1,"HIGH",IF(D1447&lt;E1447*0.5,"LOW","OK"))))</f>
        <v/>
      </c>
    </row>
    <row r="1448" ht="22" customHeight="1">
      <c r="B1448" s="8" t="inlineStr">
        <is>
          <t>MTR-DYE-001</t>
        </is>
      </c>
      <c r="C1448" s="8" t="inlineStr">
        <is>
          <t>2024-12-19</t>
        </is>
      </c>
      <c r="D1448" s="12" t="n">
        <v>49.36</v>
      </c>
      <c r="E1448" s="12" t="n">
        <v>50</v>
      </c>
      <c r="F1448" s="12">
        <f>ROUND(D1448-E1448,2)</f>
        <v/>
      </c>
      <c r="G1448" s="15">
        <f>IFERROR(ROUND(F1448/E1448,4),"")</f>
        <v/>
      </c>
      <c r="H1448" s="16">
        <f>IF(D1448=0,"NO DATA",IF(D1448&gt;E1448*1.5,"OVER",IF(D1448&gt;E1448*1.1,"HIGH",IF(D1448&lt;E1448*0.5,"LOW","OK"))))</f>
        <v/>
      </c>
    </row>
    <row r="1449" ht="22" customHeight="1">
      <c r="B1449" s="5" t="inlineStr">
        <is>
          <t>MTR-DYE-001</t>
        </is>
      </c>
      <c r="C1449" s="5" t="inlineStr">
        <is>
          <t>2024-12-20</t>
        </is>
      </c>
      <c r="D1449" s="11" t="n">
        <v>44.23</v>
      </c>
      <c r="E1449" s="11" t="n">
        <v>50</v>
      </c>
      <c r="F1449" s="11">
        <f>ROUND(D1449-E1449,2)</f>
        <v/>
      </c>
      <c r="G1449" s="13">
        <f>IFERROR(ROUND(F1449/E1449,4),"")</f>
        <v/>
      </c>
      <c r="H1449" s="14">
        <f>IF(D1449=0,"NO DATA",IF(D1449&gt;E1449*1.5,"OVER",IF(D1449&gt;E1449*1.1,"HIGH",IF(D1449&lt;E1449*0.5,"LOW","OK"))))</f>
        <v/>
      </c>
    </row>
    <row r="1450" ht="22" customHeight="1">
      <c r="B1450" s="8" t="inlineStr">
        <is>
          <t>MTR-DYE-001</t>
        </is>
      </c>
      <c r="C1450" s="8" t="inlineStr">
        <is>
          <t>2024-12-21</t>
        </is>
      </c>
      <c r="D1450" s="12" t="n">
        <v>40.45</v>
      </c>
      <c r="E1450" s="12" t="n">
        <v>50</v>
      </c>
      <c r="F1450" s="12">
        <f>ROUND(D1450-E1450,2)</f>
        <v/>
      </c>
      <c r="G1450" s="15">
        <f>IFERROR(ROUND(F1450/E1450,4),"")</f>
        <v/>
      </c>
      <c r="H1450" s="16">
        <f>IF(D1450=0,"NO DATA",IF(D1450&gt;E1450*1.5,"OVER",IF(D1450&gt;E1450*1.1,"HIGH",IF(D1450&lt;E1450*0.5,"LOW","OK"))))</f>
        <v/>
      </c>
    </row>
    <row r="1451" ht="22" customHeight="1">
      <c r="B1451" s="5" t="inlineStr">
        <is>
          <t>MTR-DYE-001</t>
        </is>
      </c>
      <c r="C1451" s="5" t="inlineStr">
        <is>
          <t>2024-12-22</t>
        </is>
      </c>
      <c r="D1451" s="11" t="n">
        <v>28.08</v>
      </c>
      <c r="E1451" s="11" t="n">
        <v>50</v>
      </c>
      <c r="F1451" s="11">
        <f>ROUND(D1451-E1451,2)</f>
        <v/>
      </c>
      <c r="G1451" s="13">
        <f>IFERROR(ROUND(F1451/E1451,4),"")</f>
        <v/>
      </c>
      <c r="H1451" s="14">
        <f>IF(D1451=0,"NO DATA",IF(D1451&gt;E1451*1.5,"OVER",IF(D1451&gt;E1451*1.1,"HIGH",IF(D1451&lt;E1451*0.5,"LOW","OK"))))</f>
        <v/>
      </c>
    </row>
    <row r="1452" ht="22" customHeight="1">
      <c r="B1452" s="8" t="inlineStr">
        <is>
          <t>MTR-DYE-001</t>
        </is>
      </c>
      <c r="C1452" s="8" t="inlineStr">
        <is>
          <t>2024-12-23</t>
        </is>
      </c>
      <c r="D1452" s="12" t="n">
        <v>48.73</v>
      </c>
      <c r="E1452" s="12" t="n">
        <v>50</v>
      </c>
      <c r="F1452" s="12">
        <f>ROUND(D1452-E1452,2)</f>
        <v/>
      </c>
      <c r="G1452" s="15">
        <f>IFERROR(ROUND(F1452/E1452,4),"")</f>
        <v/>
      </c>
      <c r="H1452" s="16">
        <f>IF(D1452=0,"NO DATA",IF(D1452&gt;E1452*1.5,"OVER",IF(D1452&gt;E1452*1.1,"HIGH",IF(D1452&lt;E1452*0.5,"LOW","OK"))))</f>
        <v/>
      </c>
    </row>
    <row r="1453" ht="22" customHeight="1">
      <c r="B1453" s="5" t="inlineStr">
        <is>
          <t>MTR-DYE-001</t>
        </is>
      </c>
      <c r="C1453" s="5" t="inlineStr">
        <is>
          <t>2024-12-24</t>
        </is>
      </c>
      <c r="D1453" s="11" t="n">
        <v>47.39</v>
      </c>
      <c r="E1453" s="11" t="n">
        <v>50</v>
      </c>
      <c r="F1453" s="11">
        <f>ROUND(D1453-E1453,2)</f>
        <v/>
      </c>
      <c r="G1453" s="13">
        <f>IFERROR(ROUND(F1453/E1453,4),"")</f>
        <v/>
      </c>
      <c r="H1453" s="14">
        <f>IF(D1453=0,"NO DATA",IF(D1453&gt;E1453*1.5,"OVER",IF(D1453&gt;E1453*1.1,"HIGH",IF(D1453&lt;E1453*0.5,"LOW","OK"))))</f>
        <v/>
      </c>
    </row>
    <row r="1454" ht="22" customHeight="1">
      <c r="B1454" s="8" t="inlineStr">
        <is>
          <t>MTR-DYE-001</t>
        </is>
      </c>
      <c r="C1454" s="8" t="inlineStr">
        <is>
          <t>2024-12-25</t>
        </is>
      </c>
      <c r="D1454" s="12" t="n">
        <v>44.43</v>
      </c>
      <c r="E1454" s="12" t="n">
        <v>50</v>
      </c>
      <c r="F1454" s="12">
        <f>ROUND(D1454-E1454,2)</f>
        <v/>
      </c>
      <c r="G1454" s="15">
        <f>IFERROR(ROUND(F1454/E1454,4),"")</f>
        <v/>
      </c>
      <c r="H1454" s="16">
        <f>IF(D1454=0,"NO DATA",IF(D1454&gt;E1454*1.5,"OVER",IF(D1454&gt;E1454*1.1,"HIGH",IF(D1454&lt;E1454*0.5,"LOW","OK"))))</f>
        <v/>
      </c>
    </row>
    <row r="1455" ht="22" customHeight="1">
      <c r="B1455" s="5" t="inlineStr">
        <is>
          <t>MTR-DYE-001</t>
        </is>
      </c>
      <c r="C1455" s="5" t="inlineStr">
        <is>
          <t>2024-12-26</t>
        </is>
      </c>
      <c r="D1455" s="11" t="n">
        <v>50.67</v>
      </c>
      <c r="E1455" s="11" t="n">
        <v>50</v>
      </c>
      <c r="F1455" s="11">
        <f>ROUND(D1455-E1455,2)</f>
        <v/>
      </c>
      <c r="G1455" s="13">
        <f>IFERROR(ROUND(F1455/E1455,4),"")</f>
        <v/>
      </c>
      <c r="H1455" s="14">
        <f>IF(D1455=0,"NO DATA",IF(D1455&gt;E1455*1.5,"OVER",IF(D1455&gt;E1455*1.1,"HIGH",IF(D1455&lt;E1455*0.5,"LOW","OK"))))</f>
        <v/>
      </c>
    </row>
    <row r="1456" ht="22" customHeight="1">
      <c r="B1456" s="8" t="inlineStr">
        <is>
          <t>MTR-DYE-001</t>
        </is>
      </c>
      <c r="C1456" s="8" t="inlineStr">
        <is>
          <t>2024-12-27</t>
        </is>
      </c>
      <c r="D1456" s="12" t="n">
        <v>45.54</v>
      </c>
      <c r="E1456" s="12" t="n">
        <v>50</v>
      </c>
      <c r="F1456" s="12">
        <f>ROUND(D1456-E1456,2)</f>
        <v/>
      </c>
      <c r="G1456" s="15">
        <f>IFERROR(ROUND(F1456/E1456,4),"")</f>
        <v/>
      </c>
      <c r="H1456" s="16">
        <f>IF(D1456=0,"NO DATA",IF(D1456&gt;E1456*1.5,"OVER",IF(D1456&gt;E1456*1.1,"HIGH",IF(D1456&lt;E1456*0.5,"LOW","OK"))))</f>
        <v/>
      </c>
    </row>
    <row r="1457" ht="22" customHeight="1">
      <c r="B1457" s="5" t="inlineStr">
        <is>
          <t>MTR-DYE-001</t>
        </is>
      </c>
      <c r="C1457" s="5" t="inlineStr">
        <is>
          <t>2024-12-28</t>
        </is>
      </c>
      <c r="D1457" s="11" t="n">
        <v>45.11</v>
      </c>
      <c r="E1457" s="11" t="n">
        <v>50</v>
      </c>
      <c r="F1457" s="11">
        <f>ROUND(D1457-E1457,2)</f>
        <v/>
      </c>
      <c r="G1457" s="13">
        <f>IFERROR(ROUND(F1457/E1457,4),"")</f>
        <v/>
      </c>
      <c r="H1457" s="14">
        <f>IF(D1457=0,"NO DATA",IF(D1457&gt;E1457*1.5,"OVER",IF(D1457&gt;E1457*1.1,"HIGH",IF(D1457&lt;E1457*0.5,"LOW","OK"))))</f>
        <v/>
      </c>
    </row>
    <row r="1458" ht="22" customHeight="1">
      <c r="B1458" s="8" t="inlineStr">
        <is>
          <t>MTR-DYE-001</t>
        </is>
      </c>
      <c r="C1458" s="8" t="inlineStr">
        <is>
          <t>2024-12-29</t>
        </is>
      </c>
      <c r="D1458" s="12" t="n">
        <v>27.32</v>
      </c>
      <c r="E1458" s="12" t="n">
        <v>50</v>
      </c>
      <c r="F1458" s="12">
        <f>ROUND(D1458-E1458,2)</f>
        <v/>
      </c>
      <c r="G1458" s="15">
        <f>IFERROR(ROUND(F1458/E1458,4),"")</f>
        <v/>
      </c>
      <c r="H1458" s="16">
        <f>IF(D1458=0,"NO DATA",IF(D1458&gt;E1458*1.5,"OVER",IF(D1458&gt;E1458*1.1,"HIGH",IF(D1458&lt;E1458*0.5,"LOW","OK"))))</f>
        <v/>
      </c>
    </row>
    <row r="1459" ht="22" customHeight="1">
      <c r="B1459" s="5" t="inlineStr">
        <is>
          <t>MTR-DYE-001</t>
        </is>
      </c>
      <c r="C1459" s="5" t="inlineStr">
        <is>
          <t>2024-12-30</t>
        </is>
      </c>
      <c r="D1459" s="11" t="n">
        <v>47.03</v>
      </c>
      <c r="E1459" s="11" t="n">
        <v>50</v>
      </c>
      <c r="F1459" s="11">
        <f>ROUND(D1459-E1459,2)</f>
        <v/>
      </c>
      <c r="G1459" s="13">
        <f>IFERROR(ROUND(F1459/E1459,4),"")</f>
        <v/>
      </c>
      <c r="H1459" s="14">
        <f>IF(D1459=0,"NO DATA",IF(D1459&gt;E1459*1.5,"OVER",IF(D1459&gt;E1459*1.1,"HIGH",IF(D1459&lt;E1459*0.5,"LOW","OK"))))</f>
        <v/>
      </c>
    </row>
    <row r="1460" ht="22" customHeight="1">
      <c r="B1460" s="8" t="inlineStr">
        <is>
          <t>MTR-DYE-001</t>
        </is>
      </c>
      <c r="C1460" s="8" t="inlineStr">
        <is>
          <t>2024-12-31</t>
        </is>
      </c>
      <c r="D1460" s="12" t="n">
        <v>51.66</v>
      </c>
      <c r="E1460" s="12" t="n">
        <v>50</v>
      </c>
      <c r="F1460" s="12">
        <f>ROUND(D1460-E1460,2)</f>
        <v/>
      </c>
      <c r="G1460" s="15">
        <f>IFERROR(ROUND(F1460/E1460,4),"")</f>
        <v/>
      </c>
      <c r="H1460" s="16">
        <f>IF(D1460=0,"NO DATA",IF(D1460&gt;E1460*1.5,"OVER",IF(D1460&gt;E1460*1.1,"HIGH",IF(D1460&lt;E1460*0.5,"LOW","OK"))))</f>
        <v/>
      </c>
    </row>
    <row r="1461" ht="22" customHeight="1">
      <c r="B1461" s="5" t="inlineStr">
        <is>
          <t>MTR-PRC-005</t>
        </is>
      </c>
      <c r="C1461" s="5" t="inlineStr">
        <is>
          <t>2024-01-02</t>
        </is>
      </c>
      <c r="D1461" s="11" t="n">
        <v>23.41</v>
      </c>
      <c r="E1461" s="11" t="n">
        <v>25</v>
      </c>
      <c r="F1461" s="11">
        <f>ROUND(D1461-E1461,2)</f>
        <v/>
      </c>
      <c r="G1461" s="13">
        <f>IFERROR(ROUND(F1461/E1461,4),"")</f>
        <v/>
      </c>
      <c r="H1461" s="14">
        <f>IF(D1461=0,"NO DATA",IF(D1461&gt;E1461*1.5,"OVER",IF(D1461&gt;E1461*1.1,"HIGH",IF(D1461&lt;E1461*0.5,"LOW","OK"))))</f>
        <v/>
      </c>
    </row>
    <row r="1462" ht="22" customHeight="1">
      <c r="B1462" s="8" t="inlineStr">
        <is>
          <t>MTR-PRC-005</t>
        </is>
      </c>
      <c r="C1462" s="8" t="inlineStr">
        <is>
          <t>2024-01-03</t>
        </is>
      </c>
      <c r="D1462" s="12" t="n">
        <v>26.27</v>
      </c>
      <c r="E1462" s="12" t="n">
        <v>25</v>
      </c>
      <c r="F1462" s="12">
        <f>ROUND(D1462-E1462,2)</f>
        <v/>
      </c>
      <c r="G1462" s="15">
        <f>IFERROR(ROUND(F1462/E1462,4),"")</f>
        <v/>
      </c>
      <c r="H1462" s="16">
        <f>IF(D1462=0,"NO DATA",IF(D1462&gt;E1462*1.5,"OVER",IF(D1462&gt;E1462*1.1,"HIGH",IF(D1462&lt;E1462*0.5,"LOW","OK"))))</f>
        <v/>
      </c>
    </row>
    <row r="1463" ht="22" customHeight="1">
      <c r="B1463" s="5" t="inlineStr">
        <is>
          <t>MTR-PRC-005</t>
        </is>
      </c>
      <c r="C1463" s="5" t="inlineStr">
        <is>
          <t>2024-01-04</t>
        </is>
      </c>
      <c r="D1463" s="11" t="n">
        <v>20.18</v>
      </c>
      <c r="E1463" s="11" t="n">
        <v>25</v>
      </c>
      <c r="F1463" s="11">
        <f>ROUND(D1463-E1463,2)</f>
        <v/>
      </c>
      <c r="G1463" s="13">
        <f>IFERROR(ROUND(F1463/E1463,4),"")</f>
        <v/>
      </c>
      <c r="H1463" s="14">
        <f>IF(D1463=0,"NO DATA",IF(D1463&gt;E1463*1.5,"OVER",IF(D1463&gt;E1463*1.1,"HIGH",IF(D1463&lt;E1463*0.5,"LOW","OK"))))</f>
        <v/>
      </c>
    </row>
    <row r="1464" ht="22" customHeight="1">
      <c r="B1464" s="8" t="inlineStr">
        <is>
          <t>MTR-PRC-005</t>
        </is>
      </c>
      <c r="C1464" s="8" t="inlineStr">
        <is>
          <t>2024-01-05</t>
        </is>
      </c>
      <c r="D1464" s="12" t="n">
        <v>26.46</v>
      </c>
      <c r="E1464" s="12" t="n">
        <v>25</v>
      </c>
      <c r="F1464" s="12">
        <f>ROUND(D1464-E1464,2)</f>
        <v/>
      </c>
      <c r="G1464" s="15">
        <f>IFERROR(ROUND(F1464/E1464,4),"")</f>
        <v/>
      </c>
      <c r="H1464" s="16">
        <f>IF(D1464=0,"NO DATA",IF(D1464&gt;E1464*1.5,"OVER",IF(D1464&gt;E1464*1.1,"HIGH",IF(D1464&lt;E1464*0.5,"LOW","OK"))))</f>
        <v/>
      </c>
    </row>
    <row r="1465" ht="22" customHeight="1">
      <c r="B1465" s="5" t="inlineStr">
        <is>
          <t>MTR-PRC-005</t>
        </is>
      </c>
      <c r="C1465" s="5" t="inlineStr">
        <is>
          <t>2024-01-06</t>
        </is>
      </c>
      <c r="D1465" s="11" t="n">
        <v>21.15</v>
      </c>
      <c r="E1465" s="11" t="n">
        <v>25</v>
      </c>
      <c r="F1465" s="11">
        <f>ROUND(D1465-E1465,2)</f>
        <v/>
      </c>
      <c r="G1465" s="13">
        <f>IFERROR(ROUND(F1465/E1465,4),"")</f>
        <v/>
      </c>
      <c r="H1465" s="14">
        <f>IF(D1465=0,"NO DATA",IF(D1465&gt;E1465*1.5,"OVER",IF(D1465&gt;E1465*1.1,"HIGH",IF(D1465&lt;E1465*0.5,"LOW","OK"))))</f>
        <v/>
      </c>
    </row>
    <row r="1466" ht="22" customHeight="1">
      <c r="B1466" s="8" t="inlineStr">
        <is>
          <t>MTR-PRC-005</t>
        </is>
      </c>
      <c r="C1466" s="8" t="inlineStr">
        <is>
          <t>2024-01-07</t>
        </is>
      </c>
      <c r="D1466" s="12" t="n">
        <v>12.77</v>
      </c>
      <c r="E1466" s="12" t="n">
        <v>25</v>
      </c>
      <c r="F1466" s="12">
        <f>ROUND(D1466-E1466,2)</f>
        <v/>
      </c>
      <c r="G1466" s="15">
        <f>IFERROR(ROUND(F1466/E1466,4),"")</f>
        <v/>
      </c>
      <c r="H1466" s="16">
        <f>IF(D1466=0,"NO DATA",IF(D1466&gt;E1466*1.5,"OVER",IF(D1466&gt;E1466*1.1,"HIGH",IF(D1466&lt;E1466*0.5,"LOW","OK"))))</f>
        <v/>
      </c>
    </row>
    <row r="1467" ht="22" customHeight="1">
      <c r="B1467" s="5" t="inlineStr">
        <is>
          <t>MTR-PRC-005</t>
        </is>
      </c>
      <c r="C1467" s="5" t="inlineStr">
        <is>
          <t>2024-01-08</t>
        </is>
      </c>
      <c r="D1467" s="11" t="n">
        <v>21.11</v>
      </c>
      <c r="E1467" s="11" t="n">
        <v>25</v>
      </c>
      <c r="F1467" s="11">
        <f>ROUND(D1467-E1467,2)</f>
        <v/>
      </c>
      <c r="G1467" s="13">
        <f>IFERROR(ROUND(F1467/E1467,4),"")</f>
        <v/>
      </c>
      <c r="H1467" s="14">
        <f>IF(D1467=0,"NO DATA",IF(D1467&gt;E1467*1.5,"OVER",IF(D1467&gt;E1467*1.1,"HIGH",IF(D1467&lt;E1467*0.5,"LOW","OK"))))</f>
        <v/>
      </c>
    </row>
    <row r="1468" ht="22" customHeight="1">
      <c r="B1468" s="8" t="inlineStr">
        <is>
          <t>MTR-PRC-005</t>
        </is>
      </c>
      <c r="C1468" s="8" t="inlineStr">
        <is>
          <t>2024-01-09</t>
        </is>
      </c>
      <c r="D1468" s="12" t="n">
        <v>25.86</v>
      </c>
      <c r="E1468" s="12" t="n">
        <v>25</v>
      </c>
      <c r="F1468" s="12">
        <f>ROUND(D1468-E1468,2)</f>
        <v/>
      </c>
      <c r="G1468" s="15">
        <f>IFERROR(ROUND(F1468/E1468,4),"")</f>
        <v/>
      </c>
      <c r="H1468" s="16">
        <f>IF(D1468=0,"NO DATA",IF(D1468&gt;E1468*1.5,"OVER",IF(D1468&gt;E1468*1.1,"HIGH",IF(D1468&lt;E1468*0.5,"LOW","OK"))))</f>
        <v/>
      </c>
    </row>
    <row r="1469" ht="22" customHeight="1">
      <c r="B1469" s="5" t="inlineStr">
        <is>
          <t>MTR-PRC-005</t>
        </is>
      </c>
      <c r="C1469" s="5" t="inlineStr">
        <is>
          <t>2024-01-10</t>
        </is>
      </c>
      <c r="D1469" s="11" t="n">
        <v>23.77</v>
      </c>
      <c r="E1469" s="11" t="n">
        <v>25</v>
      </c>
      <c r="F1469" s="11">
        <f>ROUND(D1469-E1469,2)</f>
        <v/>
      </c>
      <c r="G1469" s="13">
        <f>IFERROR(ROUND(F1469/E1469,4),"")</f>
        <v/>
      </c>
      <c r="H1469" s="14">
        <f>IF(D1469=0,"NO DATA",IF(D1469&gt;E1469*1.5,"OVER",IF(D1469&gt;E1469*1.1,"HIGH",IF(D1469&lt;E1469*0.5,"LOW","OK"))))</f>
        <v/>
      </c>
    </row>
    <row r="1470" ht="22" customHeight="1">
      <c r="B1470" s="8" t="inlineStr">
        <is>
          <t>MTR-PRC-005</t>
        </is>
      </c>
      <c r="C1470" s="8" t="inlineStr">
        <is>
          <t>2024-01-11</t>
        </is>
      </c>
      <c r="D1470" s="12" t="n">
        <v>24.84</v>
      </c>
      <c r="E1470" s="12" t="n">
        <v>25</v>
      </c>
      <c r="F1470" s="12">
        <f>ROUND(D1470-E1470,2)</f>
        <v/>
      </c>
      <c r="G1470" s="15">
        <f>IFERROR(ROUND(F1470/E1470,4),"")</f>
        <v/>
      </c>
      <c r="H1470" s="16">
        <f>IF(D1470=0,"NO DATA",IF(D1470&gt;E1470*1.5,"OVER",IF(D1470&gt;E1470*1.1,"HIGH",IF(D1470&lt;E1470*0.5,"LOW","OK"))))</f>
        <v/>
      </c>
    </row>
    <row r="1471" ht="22" customHeight="1">
      <c r="B1471" s="5" t="inlineStr">
        <is>
          <t>MTR-PRC-005</t>
        </is>
      </c>
      <c r="C1471" s="5" t="inlineStr">
        <is>
          <t>2024-01-12</t>
        </is>
      </c>
      <c r="D1471" s="11" t="n">
        <v>23.15</v>
      </c>
      <c r="E1471" s="11" t="n">
        <v>25</v>
      </c>
      <c r="F1471" s="11">
        <f>ROUND(D1471-E1471,2)</f>
        <v/>
      </c>
      <c r="G1471" s="13">
        <f>IFERROR(ROUND(F1471/E1471,4),"")</f>
        <v/>
      </c>
      <c r="H1471" s="14">
        <f>IF(D1471=0,"NO DATA",IF(D1471&gt;E1471*1.5,"OVER",IF(D1471&gt;E1471*1.1,"HIGH",IF(D1471&lt;E1471*0.5,"LOW","OK"))))</f>
        <v/>
      </c>
    </row>
    <row r="1472" ht="22" customHeight="1">
      <c r="B1472" s="8" t="inlineStr">
        <is>
          <t>MTR-PRC-005</t>
        </is>
      </c>
      <c r="C1472" s="8" t="inlineStr">
        <is>
          <t>2024-01-13</t>
        </is>
      </c>
      <c r="D1472" s="12" t="n">
        <v>21.05</v>
      </c>
      <c r="E1472" s="12" t="n">
        <v>25</v>
      </c>
      <c r="F1472" s="12">
        <f>ROUND(D1472-E1472,2)</f>
        <v/>
      </c>
      <c r="G1472" s="15">
        <f>IFERROR(ROUND(F1472/E1472,4),"")</f>
        <v/>
      </c>
      <c r="H1472" s="16">
        <f>IF(D1472=0,"NO DATA",IF(D1472&gt;E1472*1.5,"OVER",IF(D1472&gt;E1472*1.1,"HIGH",IF(D1472&lt;E1472*0.5,"LOW","OK"))))</f>
        <v/>
      </c>
    </row>
    <row r="1473" ht="22" customHeight="1">
      <c r="B1473" s="5" t="inlineStr">
        <is>
          <t>MTR-PRC-005</t>
        </is>
      </c>
      <c r="C1473" s="5" t="inlineStr">
        <is>
          <t>2024-01-14</t>
        </is>
      </c>
      <c r="D1473" s="11" t="n">
        <v>10.6</v>
      </c>
      <c r="E1473" s="11" t="n">
        <v>25</v>
      </c>
      <c r="F1473" s="11">
        <f>ROUND(D1473-E1473,2)</f>
        <v/>
      </c>
      <c r="G1473" s="13">
        <f>IFERROR(ROUND(F1473/E1473,4),"")</f>
        <v/>
      </c>
      <c r="H1473" s="14">
        <f>IF(D1473=0,"NO DATA",IF(D1473&gt;E1473*1.5,"OVER",IF(D1473&gt;E1473*1.1,"HIGH",IF(D1473&lt;E1473*0.5,"LOW","OK"))))</f>
        <v/>
      </c>
    </row>
    <row r="1474" ht="22" customHeight="1">
      <c r="B1474" s="8" t="inlineStr">
        <is>
          <t>MTR-PRC-005</t>
        </is>
      </c>
      <c r="C1474" s="8" t="inlineStr">
        <is>
          <t>2024-01-15</t>
        </is>
      </c>
      <c r="D1474" s="12" t="n">
        <v>26.32</v>
      </c>
      <c r="E1474" s="12" t="n">
        <v>25</v>
      </c>
      <c r="F1474" s="12">
        <f>ROUND(D1474-E1474,2)</f>
        <v/>
      </c>
      <c r="G1474" s="15">
        <f>IFERROR(ROUND(F1474/E1474,4),"")</f>
        <v/>
      </c>
      <c r="H1474" s="16">
        <f>IF(D1474=0,"NO DATA",IF(D1474&gt;E1474*1.5,"OVER",IF(D1474&gt;E1474*1.1,"HIGH",IF(D1474&lt;E1474*0.5,"LOW","OK"))))</f>
        <v/>
      </c>
    </row>
    <row r="1475" ht="22" customHeight="1">
      <c r="B1475" s="5" t="inlineStr">
        <is>
          <t>MTR-PRC-005</t>
        </is>
      </c>
      <c r="C1475" s="5" t="inlineStr">
        <is>
          <t>2024-01-16</t>
        </is>
      </c>
      <c r="D1475" s="11" t="n">
        <v>20.47</v>
      </c>
      <c r="E1475" s="11" t="n">
        <v>25</v>
      </c>
      <c r="F1475" s="11">
        <f>ROUND(D1475-E1475,2)</f>
        <v/>
      </c>
      <c r="G1475" s="13">
        <f>IFERROR(ROUND(F1475/E1475,4),"")</f>
        <v/>
      </c>
      <c r="H1475" s="14">
        <f>IF(D1475=0,"NO DATA",IF(D1475&gt;E1475*1.5,"OVER",IF(D1475&gt;E1475*1.1,"HIGH",IF(D1475&lt;E1475*0.5,"LOW","OK"))))</f>
        <v/>
      </c>
    </row>
    <row r="1476" ht="22" customHeight="1">
      <c r="B1476" s="8" t="inlineStr">
        <is>
          <t>MTR-PRC-005</t>
        </is>
      </c>
      <c r="C1476" s="8" t="inlineStr">
        <is>
          <t>2024-01-17</t>
        </is>
      </c>
      <c r="D1476" s="12" t="n">
        <v>25.91</v>
      </c>
      <c r="E1476" s="12" t="n">
        <v>25</v>
      </c>
      <c r="F1476" s="12">
        <f>ROUND(D1476-E1476,2)</f>
        <v/>
      </c>
      <c r="G1476" s="15">
        <f>IFERROR(ROUND(F1476/E1476,4),"")</f>
        <v/>
      </c>
      <c r="H1476" s="16">
        <f>IF(D1476=0,"NO DATA",IF(D1476&gt;E1476*1.5,"OVER",IF(D1476&gt;E1476*1.1,"HIGH",IF(D1476&lt;E1476*0.5,"LOW","OK"))))</f>
        <v/>
      </c>
    </row>
    <row r="1477" ht="22" customHeight="1">
      <c r="B1477" s="5" t="inlineStr">
        <is>
          <t>MTR-PRC-005</t>
        </is>
      </c>
      <c r="C1477" s="5" t="inlineStr">
        <is>
          <t>2024-01-18</t>
        </is>
      </c>
      <c r="D1477" s="11" t="n">
        <v>25.07</v>
      </c>
      <c r="E1477" s="11" t="n">
        <v>25</v>
      </c>
      <c r="F1477" s="11">
        <f>ROUND(D1477-E1477,2)</f>
        <v/>
      </c>
      <c r="G1477" s="13">
        <f>IFERROR(ROUND(F1477/E1477,4),"")</f>
        <v/>
      </c>
      <c r="H1477" s="14">
        <f>IF(D1477=0,"NO DATA",IF(D1477&gt;E1477*1.5,"OVER",IF(D1477&gt;E1477*1.1,"HIGH",IF(D1477&lt;E1477*0.5,"LOW","OK"))))</f>
        <v/>
      </c>
    </row>
    <row r="1478" ht="22" customHeight="1">
      <c r="B1478" s="8" t="inlineStr">
        <is>
          <t>MTR-PRC-005</t>
        </is>
      </c>
      <c r="C1478" s="8" t="inlineStr">
        <is>
          <t>2024-01-19</t>
        </is>
      </c>
      <c r="D1478" s="12" t="n">
        <v>20.32</v>
      </c>
      <c r="E1478" s="12" t="n">
        <v>25</v>
      </c>
      <c r="F1478" s="12">
        <f>ROUND(D1478-E1478,2)</f>
        <v/>
      </c>
      <c r="G1478" s="15">
        <f>IFERROR(ROUND(F1478/E1478,4),"")</f>
        <v/>
      </c>
      <c r="H1478" s="16">
        <f>IF(D1478=0,"NO DATA",IF(D1478&gt;E1478*1.5,"OVER",IF(D1478&gt;E1478*1.1,"HIGH",IF(D1478&lt;E1478*0.5,"LOW","OK"))))</f>
        <v/>
      </c>
    </row>
    <row r="1479" ht="22" customHeight="1">
      <c r="B1479" s="5" t="inlineStr">
        <is>
          <t>MTR-PRC-005</t>
        </is>
      </c>
      <c r="C1479" s="5" t="inlineStr">
        <is>
          <t>2024-01-20</t>
        </is>
      </c>
      <c r="D1479" s="11" t="n">
        <v>18.38</v>
      </c>
      <c r="E1479" s="11" t="n">
        <v>25</v>
      </c>
      <c r="F1479" s="11">
        <f>ROUND(D1479-E1479,2)</f>
        <v/>
      </c>
      <c r="G1479" s="13">
        <f>IFERROR(ROUND(F1479/E1479,4),"")</f>
        <v/>
      </c>
      <c r="H1479" s="14">
        <f>IF(D1479=0,"NO DATA",IF(D1479&gt;E1479*1.5,"OVER",IF(D1479&gt;E1479*1.1,"HIGH",IF(D1479&lt;E1479*0.5,"LOW","OK"))))</f>
        <v/>
      </c>
    </row>
    <row r="1480" ht="22" customHeight="1">
      <c r="B1480" s="8" t="inlineStr">
        <is>
          <t>MTR-PRC-005</t>
        </is>
      </c>
      <c r="C1480" s="8" t="inlineStr">
        <is>
          <t>2024-01-21</t>
        </is>
      </c>
      <c r="D1480" s="12" t="n">
        <v>13.56</v>
      </c>
      <c r="E1480" s="12" t="n">
        <v>25</v>
      </c>
      <c r="F1480" s="12">
        <f>ROUND(D1480-E1480,2)</f>
        <v/>
      </c>
      <c r="G1480" s="15">
        <f>IFERROR(ROUND(F1480/E1480,4),"")</f>
        <v/>
      </c>
      <c r="H1480" s="16">
        <f>IF(D1480=0,"NO DATA",IF(D1480&gt;E1480*1.5,"OVER",IF(D1480&gt;E1480*1.1,"HIGH",IF(D1480&lt;E1480*0.5,"LOW","OK"))))</f>
        <v/>
      </c>
    </row>
    <row r="1481" ht="22" customHeight="1">
      <c r="B1481" s="5" t="inlineStr">
        <is>
          <t>MTR-PRC-005</t>
        </is>
      </c>
      <c r="C1481" s="5" t="inlineStr">
        <is>
          <t>2024-01-22</t>
        </is>
      </c>
      <c r="D1481" s="11" t="n">
        <v>20.71</v>
      </c>
      <c r="E1481" s="11" t="n">
        <v>25</v>
      </c>
      <c r="F1481" s="11">
        <f>ROUND(D1481-E1481,2)</f>
        <v/>
      </c>
      <c r="G1481" s="13">
        <f>IFERROR(ROUND(F1481/E1481,4),"")</f>
        <v/>
      </c>
      <c r="H1481" s="14">
        <f>IF(D1481=0,"NO DATA",IF(D1481&gt;E1481*1.5,"OVER",IF(D1481&gt;E1481*1.1,"HIGH",IF(D1481&lt;E1481*0.5,"LOW","OK"))))</f>
        <v/>
      </c>
    </row>
    <row r="1482" ht="22" customHeight="1">
      <c r="B1482" s="8" t="inlineStr">
        <is>
          <t>MTR-PRC-005</t>
        </is>
      </c>
      <c r="C1482" s="8" t="inlineStr">
        <is>
          <t>2024-01-23</t>
        </is>
      </c>
      <c r="D1482" s="12" t="n">
        <v>20.73</v>
      </c>
      <c r="E1482" s="12" t="n">
        <v>25</v>
      </c>
      <c r="F1482" s="12">
        <f>ROUND(D1482-E1482,2)</f>
        <v/>
      </c>
      <c r="G1482" s="15">
        <f>IFERROR(ROUND(F1482/E1482,4),"")</f>
        <v/>
      </c>
      <c r="H1482" s="16">
        <f>IF(D1482=0,"NO DATA",IF(D1482&gt;E1482*1.5,"OVER",IF(D1482&gt;E1482*1.1,"HIGH",IF(D1482&lt;E1482*0.5,"LOW","OK"))))</f>
        <v/>
      </c>
    </row>
    <row r="1483" ht="22" customHeight="1">
      <c r="B1483" s="5" t="inlineStr">
        <is>
          <t>MTR-PRC-005</t>
        </is>
      </c>
      <c r="C1483" s="5" t="inlineStr">
        <is>
          <t>2024-01-24</t>
        </is>
      </c>
      <c r="D1483" s="11" t="n">
        <v>19.91</v>
      </c>
      <c r="E1483" s="11" t="n">
        <v>25</v>
      </c>
      <c r="F1483" s="11">
        <f>ROUND(D1483-E1483,2)</f>
        <v/>
      </c>
      <c r="G1483" s="13">
        <f>IFERROR(ROUND(F1483/E1483,4),"")</f>
        <v/>
      </c>
      <c r="H1483" s="14">
        <f>IF(D1483=0,"NO DATA",IF(D1483&gt;E1483*1.5,"OVER",IF(D1483&gt;E1483*1.1,"HIGH",IF(D1483&lt;E1483*0.5,"LOW","OK"))))</f>
        <v/>
      </c>
    </row>
    <row r="1484" ht="22" customHeight="1">
      <c r="B1484" s="8" t="inlineStr">
        <is>
          <t>MTR-PRC-005</t>
        </is>
      </c>
      <c r="C1484" s="8" t="inlineStr">
        <is>
          <t>2024-01-25</t>
        </is>
      </c>
      <c r="D1484" s="12" t="n">
        <v>20.54</v>
      </c>
      <c r="E1484" s="12" t="n">
        <v>25</v>
      </c>
      <c r="F1484" s="12">
        <f>ROUND(D1484-E1484,2)</f>
        <v/>
      </c>
      <c r="G1484" s="15">
        <f>IFERROR(ROUND(F1484/E1484,4),"")</f>
        <v/>
      </c>
      <c r="H1484" s="16">
        <f>IF(D1484=0,"NO DATA",IF(D1484&gt;E1484*1.5,"OVER",IF(D1484&gt;E1484*1.1,"HIGH",IF(D1484&lt;E1484*0.5,"LOW","OK"))))</f>
        <v/>
      </c>
    </row>
    <row r="1485" ht="22" customHeight="1">
      <c r="B1485" s="5" t="inlineStr">
        <is>
          <t>MTR-PRC-005</t>
        </is>
      </c>
      <c r="C1485" s="5" t="inlineStr">
        <is>
          <t>2024-01-26</t>
        </is>
      </c>
      <c r="D1485" s="11" t="n">
        <v>23.14</v>
      </c>
      <c r="E1485" s="11" t="n">
        <v>25</v>
      </c>
      <c r="F1485" s="11">
        <f>ROUND(D1485-E1485,2)</f>
        <v/>
      </c>
      <c r="G1485" s="13">
        <f>IFERROR(ROUND(F1485/E1485,4),"")</f>
        <v/>
      </c>
      <c r="H1485" s="14">
        <f>IF(D1485=0,"NO DATA",IF(D1485&gt;E1485*1.5,"OVER",IF(D1485&gt;E1485*1.1,"HIGH",IF(D1485&lt;E1485*0.5,"LOW","OK"))))</f>
        <v/>
      </c>
    </row>
    <row r="1486" ht="22" customHeight="1">
      <c r="B1486" s="8" t="inlineStr">
        <is>
          <t>MTR-PRC-005</t>
        </is>
      </c>
      <c r="C1486" s="8" t="inlineStr">
        <is>
          <t>2024-01-27</t>
        </is>
      </c>
      <c r="D1486" s="12" t="n">
        <v>18.86</v>
      </c>
      <c r="E1486" s="12" t="n">
        <v>25</v>
      </c>
      <c r="F1486" s="12">
        <f>ROUND(D1486-E1486,2)</f>
        <v/>
      </c>
      <c r="G1486" s="15">
        <f>IFERROR(ROUND(F1486/E1486,4),"")</f>
        <v/>
      </c>
      <c r="H1486" s="16">
        <f>IF(D1486=0,"NO DATA",IF(D1486&gt;E1486*1.5,"OVER",IF(D1486&gt;E1486*1.1,"HIGH",IF(D1486&lt;E1486*0.5,"LOW","OK"))))</f>
        <v/>
      </c>
    </row>
    <row r="1487" ht="22" customHeight="1">
      <c r="B1487" s="5" t="inlineStr">
        <is>
          <t>MTR-PRC-005</t>
        </is>
      </c>
      <c r="C1487" s="5" t="inlineStr">
        <is>
          <t>2024-01-28</t>
        </is>
      </c>
      <c r="D1487" s="11" t="n">
        <v>11.27</v>
      </c>
      <c r="E1487" s="11" t="n">
        <v>25</v>
      </c>
      <c r="F1487" s="11">
        <f>ROUND(D1487-E1487,2)</f>
        <v/>
      </c>
      <c r="G1487" s="13">
        <f>IFERROR(ROUND(F1487/E1487,4),"")</f>
        <v/>
      </c>
      <c r="H1487" s="14">
        <f>IF(D1487=0,"NO DATA",IF(D1487&gt;E1487*1.5,"OVER",IF(D1487&gt;E1487*1.1,"HIGH",IF(D1487&lt;E1487*0.5,"LOW","OK"))))</f>
        <v/>
      </c>
    </row>
    <row r="1488" ht="22" customHeight="1">
      <c r="B1488" s="8" t="inlineStr">
        <is>
          <t>MTR-PRC-005</t>
        </is>
      </c>
      <c r="C1488" s="8" t="inlineStr">
        <is>
          <t>2024-01-29</t>
        </is>
      </c>
      <c r="D1488" s="12" t="n">
        <v>25.38</v>
      </c>
      <c r="E1488" s="12" t="n">
        <v>25</v>
      </c>
      <c r="F1488" s="12">
        <f>ROUND(D1488-E1488,2)</f>
        <v/>
      </c>
      <c r="G1488" s="15">
        <f>IFERROR(ROUND(F1488/E1488,4),"")</f>
        <v/>
      </c>
      <c r="H1488" s="16">
        <f>IF(D1488=0,"NO DATA",IF(D1488&gt;E1488*1.5,"OVER",IF(D1488&gt;E1488*1.1,"HIGH",IF(D1488&lt;E1488*0.5,"LOW","OK"))))</f>
        <v/>
      </c>
    </row>
    <row r="1489" ht="22" customHeight="1">
      <c r="B1489" s="5" t="inlineStr">
        <is>
          <t>MTR-PRC-005</t>
        </is>
      </c>
      <c r="C1489" s="5" t="inlineStr">
        <is>
          <t>2024-01-30</t>
        </is>
      </c>
      <c r="D1489" s="11" t="n">
        <v>20.16</v>
      </c>
      <c r="E1489" s="11" t="n">
        <v>25</v>
      </c>
      <c r="F1489" s="11">
        <f>ROUND(D1489-E1489,2)</f>
        <v/>
      </c>
      <c r="G1489" s="13">
        <f>IFERROR(ROUND(F1489/E1489,4),"")</f>
        <v/>
      </c>
      <c r="H1489" s="14">
        <f>IF(D1489=0,"NO DATA",IF(D1489&gt;E1489*1.5,"OVER",IF(D1489&gt;E1489*1.1,"HIGH",IF(D1489&lt;E1489*0.5,"LOW","OK"))))</f>
        <v/>
      </c>
    </row>
    <row r="1490" ht="22" customHeight="1">
      <c r="B1490" s="8" t="inlineStr">
        <is>
          <t>MTR-PRC-005</t>
        </is>
      </c>
      <c r="C1490" s="8" t="inlineStr">
        <is>
          <t>2024-01-31</t>
        </is>
      </c>
      <c r="D1490" s="12" t="n">
        <v>25.86</v>
      </c>
      <c r="E1490" s="12" t="n">
        <v>25</v>
      </c>
      <c r="F1490" s="12">
        <f>ROUND(D1490-E1490,2)</f>
        <v/>
      </c>
      <c r="G1490" s="15">
        <f>IFERROR(ROUND(F1490/E1490,4),"")</f>
        <v/>
      </c>
      <c r="H1490" s="16">
        <f>IF(D1490=0,"NO DATA",IF(D1490&gt;E1490*1.5,"OVER",IF(D1490&gt;E1490*1.1,"HIGH",IF(D1490&lt;E1490*0.5,"LOW","OK"))))</f>
        <v/>
      </c>
    </row>
    <row r="1491" ht="22" customHeight="1">
      <c r="B1491" s="5" t="inlineStr">
        <is>
          <t>MTR-PRC-005</t>
        </is>
      </c>
      <c r="C1491" s="5" t="inlineStr">
        <is>
          <t>2024-02-01</t>
        </is>
      </c>
      <c r="D1491" s="11" t="n">
        <v>26.4</v>
      </c>
      <c r="E1491" s="11" t="n">
        <v>25</v>
      </c>
      <c r="F1491" s="11">
        <f>ROUND(D1491-E1491,2)</f>
        <v/>
      </c>
      <c r="G1491" s="13">
        <f>IFERROR(ROUND(F1491/E1491,4),"")</f>
        <v/>
      </c>
      <c r="H1491" s="14">
        <f>IF(D1491=0,"NO DATA",IF(D1491&gt;E1491*1.5,"OVER",IF(D1491&gt;E1491*1.1,"HIGH",IF(D1491&lt;E1491*0.5,"LOW","OK"))))</f>
        <v/>
      </c>
    </row>
    <row r="1492" ht="22" customHeight="1">
      <c r="B1492" s="8" t="inlineStr">
        <is>
          <t>MTR-PRC-005</t>
        </is>
      </c>
      <c r="C1492" s="8" t="inlineStr">
        <is>
          <t>2024-02-02</t>
        </is>
      </c>
      <c r="D1492" s="12" t="n">
        <v>21.36</v>
      </c>
      <c r="E1492" s="12" t="n">
        <v>25</v>
      </c>
      <c r="F1492" s="12">
        <f>ROUND(D1492-E1492,2)</f>
        <v/>
      </c>
      <c r="G1492" s="15">
        <f>IFERROR(ROUND(F1492/E1492,4),"")</f>
        <v/>
      </c>
      <c r="H1492" s="16">
        <f>IF(D1492=0,"NO DATA",IF(D1492&gt;E1492*1.5,"OVER",IF(D1492&gt;E1492*1.1,"HIGH",IF(D1492&lt;E1492*0.5,"LOW","OK"))))</f>
        <v/>
      </c>
    </row>
    <row r="1493" ht="22" customHeight="1">
      <c r="B1493" s="5" t="inlineStr">
        <is>
          <t>MTR-PRC-005</t>
        </is>
      </c>
      <c r="C1493" s="5" t="inlineStr">
        <is>
          <t>2024-02-03</t>
        </is>
      </c>
      <c r="D1493" s="11" t="n">
        <v>17.49</v>
      </c>
      <c r="E1493" s="11" t="n">
        <v>25</v>
      </c>
      <c r="F1493" s="11">
        <f>ROUND(D1493-E1493,2)</f>
        <v/>
      </c>
      <c r="G1493" s="13">
        <f>IFERROR(ROUND(F1493/E1493,4),"")</f>
        <v/>
      </c>
      <c r="H1493" s="14">
        <f>IF(D1493=0,"NO DATA",IF(D1493&gt;E1493*1.5,"OVER",IF(D1493&gt;E1493*1.1,"HIGH",IF(D1493&lt;E1493*0.5,"LOW","OK"))))</f>
        <v/>
      </c>
    </row>
    <row r="1494" ht="22" customHeight="1">
      <c r="B1494" s="8" t="inlineStr">
        <is>
          <t>MTR-PRC-005</t>
        </is>
      </c>
      <c r="C1494" s="8" t="inlineStr">
        <is>
          <t>2024-02-04</t>
        </is>
      </c>
      <c r="D1494" s="12" t="n">
        <v>11.02</v>
      </c>
      <c r="E1494" s="12" t="n">
        <v>25</v>
      </c>
      <c r="F1494" s="12">
        <f>ROUND(D1494-E1494,2)</f>
        <v/>
      </c>
      <c r="G1494" s="15">
        <f>IFERROR(ROUND(F1494/E1494,4),"")</f>
        <v/>
      </c>
      <c r="H1494" s="16">
        <f>IF(D1494=0,"NO DATA",IF(D1494&gt;E1494*1.5,"OVER",IF(D1494&gt;E1494*1.1,"HIGH",IF(D1494&lt;E1494*0.5,"LOW","OK"))))</f>
        <v/>
      </c>
    </row>
    <row r="1495" ht="22" customHeight="1">
      <c r="B1495" s="5" t="inlineStr">
        <is>
          <t>MTR-PRC-005</t>
        </is>
      </c>
      <c r="C1495" s="5" t="inlineStr">
        <is>
          <t>2024-02-05</t>
        </is>
      </c>
      <c r="D1495" s="11" t="n">
        <v>21.05</v>
      </c>
      <c r="E1495" s="11" t="n">
        <v>25</v>
      </c>
      <c r="F1495" s="11">
        <f>ROUND(D1495-E1495,2)</f>
        <v/>
      </c>
      <c r="G1495" s="13">
        <f>IFERROR(ROUND(F1495/E1495,4),"")</f>
        <v/>
      </c>
      <c r="H1495" s="14">
        <f>IF(D1495=0,"NO DATA",IF(D1495&gt;E1495*1.5,"OVER",IF(D1495&gt;E1495*1.1,"HIGH",IF(D1495&lt;E1495*0.5,"LOW","OK"))))</f>
        <v/>
      </c>
    </row>
    <row r="1496" ht="22" customHeight="1">
      <c r="B1496" s="8" t="inlineStr">
        <is>
          <t>MTR-PRC-005</t>
        </is>
      </c>
      <c r="C1496" s="8" t="inlineStr">
        <is>
          <t>2024-02-06</t>
        </is>
      </c>
      <c r="D1496" s="12" t="n">
        <v>22.82</v>
      </c>
      <c r="E1496" s="12" t="n">
        <v>25</v>
      </c>
      <c r="F1496" s="12">
        <f>ROUND(D1496-E1496,2)</f>
        <v/>
      </c>
      <c r="G1496" s="15">
        <f>IFERROR(ROUND(F1496/E1496,4),"")</f>
        <v/>
      </c>
      <c r="H1496" s="16">
        <f>IF(D1496=0,"NO DATA",IF(D1496&gt;E1496*1.5,"OVER",IF(D1496&gt;E1496*1.1,"HIGH",IF(D1496&lt;E1496*0.5,"LOW","OK"))))</f>
        <v/>
      </c>
    </row>
    <row r="1497" ht="22" customHeight="1">
      <c r="B1497" s="5" t="inlineStr">
        <is>
          <t>MTR-PRC-005</t>
        </is>
      </c>
      <c r="C1497" s="5" t="inlineStr">
        <is>
          <t>2024-02-07</t>
        </is>
      </c>
      <c r="D1497" s="11" t="n">
        <v>22.55</v>
      </c>
      <c r="E1497" s="11" t="n">
        <v>25</v>
      </c>
      <c r="F1497" s="11">
        <f>ROUND(D1497-E1497,2)</f>
        <v/>
      </c>
      <c r="G1497" s="13">
        <f>IFERROR(ROUND(F1497/E1497,4),"")</f>
        <v/>
      </c>
      <c r="H1497" s="14">
        <f>IF(D1497=0,"NO DATA",IF(D1497&gt;E1497*1.5,"OVER",IF(D1497&gt;E1497*1.1,"HIGH",IF(D1497&lt;E1497*0.5,"LOW","OK"))))</f>
        <v/>
      </c>
    </row>
    <row r="1498" ht="22" customHeight="1">
      <c r="B1498" s="8" t="inlineStr">
        <is>
          <t>MTR-PRC-005</t>
        </is>
      </c>
      <c r="C1498" s="8" t="inlineStr">
        <is>
          <t>2024-02-08</t>
        </is>
      </c>
      <c r="D1498" s="12" t="n">
        <v>23.12</v>
      </c>
      <c r="E1498" s="12" t="n">
        <v>25</v>
      </c>
      <c r="F1498" s="12">
        <f>ROUND(D1498-E1498,2)</f>
        <v/>
      </c>
      <c r="G1498" s="15">
        <f>IFERROR(ROUND(F1498/E1498,4),"")</f>
        <v/>
      </c>
      <c r="H1498" s="16">
        <f>IF(D1498=0,"NO DATA",IF(D1498&gt;E1498*1.5,"OVER",IF(D1498&gt;E1498*1.1,"HIGH",IF(D1498&lt;E1498*0.5,"LOW","OK"))))</f>
        <v/>
      </c>
    </row>
    <row r="1499" ht="22" customHeight="1">
      <c r="B1499" s="5" t="inlineStr">
        <is>
          <t>MTR-PRC-005</t>
        </is>
      </c>
      <c r="C1499" s="5" t="inlineStr">
        <is>
          <t>2024-02-09</t>
        </is>
      </c>
      <c r="D1499" s="11" t="n">
        <v>23.6</v>
      </c>
      <c r="E1499" s="11" t="n">
        <v>25</v>
      </c>
      <c r="F1499" s="11">
        <f>ROUND(D1499-E1499,2)</f>
        <v/>
      </c>
      <c r="G1499" s="13">
        <f>IFERROR(ROUND(F1499/E1499,4),"")</f>
        <v/>
      </c>
      <c r="H1499" s="14">
        <f>IF(D1499=0,"NO DATA",IF(D1499&gt;E1499*1.5,"OVER",IF(D1499&gt;E1499*1.1,"HIGH",IF(D1499&lt;E1499*0.5,"LOW","OK"))))</f>
        <v/>
      </c>
    </row>
    <row r="1500" ht="22" customHeight="1">
      <c r="B1500" s="8" t="inlineStr">
        <is>
          <t>MTR-PRC-005</t>
        </is>
      </c>
      <c r="C1500" s="8" t="inlineStr">
        <is>
          <t>2024-02-10</t>
        </is>
      </c>
      <c r="D1500" s="12" t="n">
        <v>21.03</v>
      </c>
      <c r="E1500" s="12" t="n">
        <v>25</v>
      </c>
      <c r="F1500" s="12">
        <f>ROUND(D1500-E1500,2)</f>
        <v/>
      </c>
      <c r="G1500" s="15">
        <f>IFERROR(ROUND(F1500/E1500,4),"")</f>
        <v/>
      </c>
      <c r="H1500" s="16">
        <f>IF(D1500=0,"NO DATA",IF(D1500&gt;E1500*1.5,"OVER",IF(D1500&gt;E1500*1.1,"HIGH",IF(D1500&lt;E1500*0.5,"LOW","OK"))))</f>
        <v/>
      </c>
    </row>
    <row r="1501" ht="22" customHeight="1">
      <c r="B1501" s="5" t="inlineStr">
        <is>
          <t>MTR-PRC-005</t>
        </is>
      </c>
      <c r="C1501" s="5" t="inlineStr">
        <is>
          <t>2024-02-11</t>
        </is>
      </c>
      <c r="D1501" s="11" t="n">
        <v>13.2</v>
      </c>
      <c r="E1501" s="11" t="n">
        <v>25</v>
      </c>
      <c r="F1501" s="11">
        <f>ROUND(D1501-E1501,2)</f>
        <v/>
      </c>
      <c r="G1501" s="13">
        <f>IFERROR(ROUND(F1501/E1501,4),"")</f>
        <v/>
      </c>
      <c r="H1501" s="14">
        <f>IF(D1501=0,"NO DATA",IF(D1501&gt;E1501*1.5,"OVER",IF(D1501&gt;E1501*1.1,"HIGH",IF(D1501&lt;E1501*0.5,"LOW","OK"))))</f>
        <v/>
      </c>
    </row>
    <row r="1502" ht="22" customHeight="1">
      <c r="B1502" s="8" t="inlineStr">
        <is>
          <t>MTR-PRC-005</t>
        </is>
      </c>
      <c r="C1502" s="8" t="inlineStr">
        <is>
          <t>2024-02-12</t>
        </is>
      </c>
      <c r="D1502" s="12" t="n">
        <v>23.92</v>
      </c>
      <c r="E1502" s="12" t="n">
        <v>25</v>
      </c>
      <c r="F1502" s="12">
        <f>ROUND(D1502-E1502,2)</f>
        <v/>
      </c>
      <c r="G1502" s="15">
        <f>IFERROR(ROUND(F1502/E1502,4),"")</f>
        <v/>
      </c>
      <c r="H1502" s="16">
        <f>IF(D1502=0,"NO DATA",IF(D1502&gt;E1502*1.5,"OVER",IF(D1502&gt;E1502*1.1,"HIGH",IF(D1502&lt;E1502*0.5,"LOW","OK"))))</f>
        <v/>
      </c>
    </row>
    <row r="1503" ht="22" customHeight="1">
      <c r="B1503" s="5" t="inlineStr">
        <is>
          <t>MTR-PRC-005</t>
        </is>
      </c>
      <c r="C1503" s="5" t="inlineStr">
        <is>
          <t>2024-02-13</t>
        </is>
      </c>
      <c r="D1503" s="11" t="n">
        <v>26.59</v>
      </c>
      <c r="E1503" s="11" t="n">
        <v>25</v>
      </c>
      <c r="F1503" s="11">
        <f>ROUND(D1503-E1503,2)</f>
        <v/>
      </c>
      <c r="G1503" s="13">
        <f>IFERROR(ROUND(F1503/E1503,4),"")</f>
        <v/>
      </c>
      <c r="H1503" s="14">
        <f>IF(D1503=0,"NO DATA",IF(D1503&gt;E1503*1.5,"OVER",IF(D1503&gt;E1503*1.1,"HIGH",IF(D1503&lt;E1503*0.5,"LOW","OK"))))</f>
        <v/>
      </c>
    </row>
    <row r="1504" ht="22" customHeight="1">
      <c r="B1504" s="8" t="inlineStr">
        <is>
          <t>MTR-PRC-005</t>
        </is>
      </c>
      <c r="C1504" s="8" t="inlineStr">
        <is>
          <t>2024-02-14</t>
        </is>
      </c>
      <c r="D1504" s="12" t="n">
        <v>25.69</v>
      </c>
      <c r="E1504" s="12" t="n">
        <v>25</v>
      </c>
      <c r="F1504" s="12">
        <f>ROUND(D1504-E1504,2)</f>
        <v/>
      </c>
      <c r="G1504" s="15">
        <f>IFERROR(ROUND(F1504/E1504,4),"")</f>
        <v/>
      </c>
      <c r="H1504" s="16">
        <f>IF(D1504=0,"NO DATA",IF(D1504&gt;E1504*1.5,"OVER",IF(D1504&gt;E1504*1.1,"HIGH",IF(D1504&lt;E1504*0.5,"LOW","OK"))))</f>
        <v/>
      </c>
    </row>
    <row r="1505" ht="22" customHeight="1">
      <c r="B1505" s="5" t="inlineStr">
        <is>
          <t>MTR-PRC-005</t>
        </is>
      </c>
      <c r="C1505" s="5" t="inlineStr">
        <is>
          <t>2024-02-15</t>
        </is>
      </c>
      <c r="D1505" s="11" t="n">
        <v>21.21</v>
      </c>
      <c r="E1505" s="11" t="n">
        <v>25</v>
      </c>
      <c r="F1505" s="11">
        <f>ROUND(D1505-E1505,2)</f>
        <v/>
      </c>
      <c r="G1505" s="13">
        <f>IFERROR(ROUND(F1505/E1505,4),"")</f>
        <v/>
      </c>
      <c r="H1505" s="14">
        <f>IF(D1505=0,"NO DATA",IF(D1505&gt;E1505*1.5,"OVER",IF(D1505&gt;E1505*1.1,"HIGH",IF(D1505&lt;E1505*0.5,"LOW","OK"))))</f>
        <v/>
      </c>
    </row>
    <row r="1506" ht="22" customHeight="1">
      <c r="B1506" s="8" t="inlineStr">
        <is>
          <t>MTR-PRC-005</t>
        </is>
      </c>
      <c r="C1506" s="8" t="inlineStr">
        <is>
          <t>2024-02-16</t>
        </is>
      </c>
      <c r="D1506" s="12" t="n">
        <v>23</v>
      </c>
      <c r="E1506" s="12" t="n">
        <v>25</v>
      </c>
      <c r="F1506" s="12">
        <f>ROUND(D1506-E1506,2)</f>
        <v/>
      </c>
      <c r="G1506" s="15">
        <f>IFERROR(ROUND(F1506/E1506,4),"")</f>
        <v/>
      </c>
      <c r="H1506" s="16">
        <f>IF(D1506=0,"NO DATA",IF(D1506&gt;E1506*1.5,"OVER",IF(D1506&gt;E1506*1.1,"HIGH",IF(D1506&lt;E1506*0.5,"LOW","OK"))))</f>
        <v/>
      </c>
    </row>
    <row r="1507" ht="22" customHeight="1">
      <c r="B1507" s="5" t="inlineStr">
        <is>
          <t>MTR-PRC-005</t>
        </is>
      </c>
      <c r="C1507" s="5" t="inlineStr">
        <is>
          <t>2024-02-17</t>
        </is>
      </c>
      <c r="D1507" s="11" t="n">
        <v>19.48</v>
      </c>
      <c r="E1507" s="11" t="n">
        <v>25</v>
      </c>
      <c r="F1507" s="11">
        <f>ROUND(D1507-E1507,2)</f>
        <v/>
      </c>
      <c r="G1507" s="13">
        <f>IFERROR(ROUND(F1507/E1507,4),"")</f>
        <v/>
      </c>
      <c r="H1507" s="14">
        <f>IF(D1507=0,"NO DATA",IF(D1507&gt;E1507*1.5,"OVER",IF(D1507&gt;E1507*1.1,"HIGH",IF(D1507&lt;E1507*0.5,"LOW","OK"))))</f>
        <v/>
      </c>
    </row>
    <row r="1508" ht="22" customHeight="1">
      <c r="B1508" s="8" t="inlineStr">
        <is>
          <t>MTR-PRC-005</t>
        </is>
      </c>
      <c r="C1508" s="8" t="inlineStr">
        <is>
          <t>2024-02-18</t>
        </is>
      </c>
      <c r="D1508" s="12" t="n">
        <v>13.58</v>
      </c>
      <c r="E1508" s="12" t="n">
        <v>25</v>
      </c>
      <c r="F1508" s="12">
        <f>ROUND(D1508-E1508,2)</f>
        <v/>
      </c>
      <c r="G1508" s="15">
        <f>IFERROR(ROUND(F1508/E1508,4),"")</f>
        <v/>
      </c>
      <c r="H1508" s="16">
        <f>IF(D1508=0,"NO DATA",IF(D1508&gt;E1508*1.5,"OVER",IF(D1508&gt;E1508*1.1,"HIGH",IF(D1508&lt;E1508*0.5,"LOW","OK"))))</f>
        <v/>
      </c>
    </row>
    <row r="1509" ht="22" customHeight="1">
      <c r="B1509" s="5" t="inlineStr">
        <is>
          <t>MTR-PRC-005</t>
        </is>
      </c>
      <c r="C1509" s="5" t="inlineStr">
        <is>
          <t>2024-02-19</t>
        </is>
      </c>
      <c r="D1509" s="11" t="n">
        <v>23.28</v>
      </c>
      <c r="E1509" s="11" t="n">
        <v>25</v>
      </c>
      <c r="F1509" s="11">
        <f>ROUND(D1509-E1509,2)</f>
        <v/>
      </c>
      <c r="G1509" s="13">
        <f>IFERROR(ROUND(F1509/E1509,4),"")</f>
        <v/>
      </c>
      <c r="H1509" s="14">
        <f>IF(D1509=0,"NO DATA",IF(D1509&gt;E1509*1.5,"OVER",IF(D1509&gt;E1509*1.1,"HIGH",IF(D1509&lt;E1509*0.5,"LOW","OK"))))</f>
        <v/>
      </c>
    </row>
    <row r="1510" ht="22" customHeight="1">
      <c r="B1510" s="8" t="inlineStr">
        <is>
          <t>MTR-PRC-005</t>
        </is>
      </c>
      <c r="C1510" s="8" t="inlineStr">
        <is>
          <t>2024-02-20</t>
        </is>
      </c>
      <c r="D1510" s="12" t="n">
        <v>22.02</v>
      </c>
      <c r="E1510" s="12" t="n">
        <v>25</v>
      </c>
      <c r="F1510" s="12">
        <f>ROUND(D1510-E1510,2)</f>
        <v/>
      </c>
      <c r="G1510" s="15">
        <f>IFERROR(ROUND(F1510/E1510,4),"")</f>
        <v/>
      </c>
      <c r="H1510" s="16">
        <f>IF(D1510=0,"NO DATA",IF(D1510&gt;E1510*1.5,"OVER",IF(D1510&gt;E1510*1.1,"HIGH",IF(D1510&lt;E1510*0.5,"LOW","OK"))))</f>
        <v/>
      </c>
    </row>
    <row r="1511" ht="22" customHeight="1">
      <c r="B1511" s="5" t="inlineStr">
        <is>
          <t>MTR-PRC-005</t>
        </is>
      </c>
      <c r="C1511" s="5" t="inlineStr">
        <is>
          <t>2024-02-21</t>
        </is>
      </c>
      <c r="D1511" s="11" t="n">
        <v>27</v>
      </c>
      <c r="E1511" s="11" t="n">
        <v>25</v>
      </c>
      <c r="F1511" s="11">
        <f>ROUND(D1511-E1511,2)</f>
        <v/>
      </c>
      <c r="G1511" s="13">
        <f>IFERROR(ROUND(F1511/E1511,4),"")</f>
        <v/>
      </c>
      <c r="H1511" s="14">
        <f>IF(D1511=0,"NO DATA",IF(D1511&gt;E1511*1.5,"OVER",IF(D1511&gt;E1511*1.1,"HIGH",IF(D1511&lt;E1511*0.5,"LOW","OK"))))</f>
        <v/>
      </c>
    </row>
    <row r="1512" ht="22" customHeight="1">
      <c r="B1512" s="8" t="inlineStr">
        <is>
          <t>MTR-PRC-005</t>
        </is>
      </c>
      <c r="C1512" s="8" t="inlineStr">
        <is>
          <t>2024-02-22</t>
        </is>
      </c>
      <c r="D1512" s="12" t="n">
        <v>25.7</v>
      </c>
      <c r="E1512" s="12" t="n">
        <v>25</v>
      </c>
      <c r="F1512" s="12">
        <f>ROUND(D1512-E1512,2)</f>
        <v/>
      </c>
      <c r="G1512" s="15">
        <f>IFERROR(ROUND(F1512/E1512,4),"")</f>
        <v/>
      </c>
      <c r="H1512" s="16">
        <f>IF(D1512=0,"NO DATA",IF(D1512&gt;E1512*1.5,"OVER",IF(D1512&gt;E1512*1.1,"HIGH",IF(D1512&lt;E1512*0.5,"LOW","OK"))))</f>
        <v/>
      </c>
    </row>
    <row r="1513" ht="22" customHeight="1">
      <c r="B1513" s="5" t="inlineStr">
        <is>
          <t>MTR-PRC-005</t>
        </is>
      </c>
      <c r="C1513" s="5" t="inlineStr">
        <is>
          <t>2024-02-23</t>
        </is>
      </c>
      <c r="D1513" s="11" t="n">
        <v>23.06</v>
      </c>
      <c r="E1513" s="11" t="n">
        <v>25</v>
      </c>
      <c r="F1513" s="11">
        <f>ROUND(D1513-E1513,2)</f>
        <v/>
      </c>
      <c r="G1513" s="13">
        <f>IFERROR(ROUND(F1513/E1513,4),"")</f>
        <v/>
      </c>
      <c r="H1513" s="14">
        <f>IF(D1513=0,"NO DATA",IF(D1513&gt;E1513*1.5,"OVER",IF(D1513&gt;E1513*1.1,"HIGH",IF(D1513&lt;E1513*0.5,"LOW","OK"))))</f>
        <v/>
      </c>
    </row>
    <row r="1514" ht="22" customHeight="1">
      <c r="B1514" s="8" t="inlineStr">
        <is>
          <t>MTR-PRC-005</t>
        </is>
      </c>
      <c r="C1514" s="8" t="inlineStr">
        <is>
          <t>2024-02-24</t>
        </is>
      </c>
      <c r="D1514" s="12" t="n">
        <v>20.97</v>
      </c>
      <c r="E1514" s="12" t="n">
        <v>25</v>
      </c>
      <c r="F1514" s="12">
        <f>ROUND(D1514-E1514,2)</f>
        <v/>
      </c>
      <c r="G1514" s="15">
        <f>IFERROR(ROUND(F1514/E1514,4),"")</f>
        <v/>
      </c>
      <c r="H1514" s="16">
        <f>IF(D1514=0,"NO DATA",IF(D1514&gt;E1514*1.5,"OVER",IF(D1514&gt;E1514*1.1,"HIGH",IF(D1514&lt;E1514*0.5,"LOW","OK"))))</f>
        <v/>
      </c>
    </row>
    <row r="1515" ht="22" customHeight="1">
      <c r="B1515" s="5" t="inlineStr">
        <is>
          <t>MTR-PRC-005</t>
        </is>
      </c>
      <c r="C1515" s="5" t="inlineStr">
        <is>
          <t>2024-02-25</t>
        </is>
      </c>
      <c r="D1515" s="11" t="n">
        <v>10.99</v>
      </c>
      <c r="E1515" s="11" t="n">
        <v>25</v>
      </c>
      <c r="F1515" s="11">
        <f>ROUND(D1515-E1515,2)</f>
        <v/>
      </c>
      <c r="G1515" s="13">
        <f>IFERROR(ROUND(F1515/E1515,4),"")</f>
        <v/>
      </c>
      <c r="H1515" s="14">
        <f>IF(D1515=0,"NO DATA",IF(D1515&gt;E1515*1.5,"OVER",IF(D1515&gt;E1515*1.1,"HIGH",IF(D1515&lt;E1515*0.5,"LOW","OK"))))</f>
        <v/>
      </c>
    </row>
    <row r="1516" ht="22" customHeight="1">
      <c r="B1516" s="8" t="inlineStr">
        <is>
          <t>MTR-PRC-005</t>
        </is>
      </c>
      <c r="C1516" s="8" t="inlineStr">
        <is>
          <t>2024-02-26</t>
        </is>
      </c>
      <c r="D1516" s="12" t="n">
        <v>25.75</v>
      </c>
      <c r="E1516" s="12" t="n">
        <v>25</v>
      </c>
      <c r="F1516" s="12">
        <f>ROUND(D1516-E1516,2)</f>
        <v/>
      </c>
      <c r="G1516" s="15">
        <f>IFERROR(ROUND(F1516/E1516,4),"")</f>
        <v/>
      </c>
      <c r="H1516" s="16">
        <f>IF(D1516=0,"NO DATA",IF(D1516&gt;E1516*1.5,"OVER",IF(D1516&gt;E1516*1.1,"HIGH",IF(D1516&lt;E1516*0.5,"LOW","OK"))))</f>
        <v/>
      </c>
    </row>
    <row r="1517" ht="22" customHeight="1">
      <c r="B1517" s="5" t="inlineStr">
        <is>
          <t>MTR-PRC-005</t>
        </is>
      </c>
      <c r="C1517" s="5" t="inlineStr">
        <is>
          <t>2024-02-27</t>
        </is>
      </c>
      <c r="D1517" s="11" t="n">
        <v>24.29</v>
      </c>
      <c r="E1517" s="11" t="n">
        <v>25</v>
      </c>
      <c r="F1517" s="11">
        <f>ROUND(D1517-E1517,2)</f>
        <v/>
      </c>
      <c r="G1517" s="13">
        <f>IFERROR(ROUND(F1517/E1517,4),"")</f>
        <v/>
      </c>
      <c r="H1517" s="14">
        <f>IF(D1517=0,"NO DATA",IF(D1517&gt;E1517*1.5,"OVER",IF(D1517&gt;E1517*1.1,"HIGH",IF(D1517&lt;E1517*0.5,"LOW","OK"))))</f>
        <v/>
      </c>
    </row>
    <row r="1518" ht="22" customHeight="1">
      <c r="B1518" s="8" t="inlineStr">
        <is>
          <t>MTR-PRC-005</t>
        </is>
      </c>
      <c r="C1518" s="8" t="inlineStr">
        <is>
          <t>2024-02-28</t>
        </is>
      </c>
      <c r="D1518" s="12" t="n">
        <v>25.23</v>
      </c>
      <c r="E1518" s="12" t="n">
        <v>25</v>
      </c>
      <c r="F1518" s="12">
        <f>ROUND(D1518-E1518,2)</f>
        <v/>
      </c>
      <c r="G1518" s="15">
        <f>IFERROR(ROUND(F1518/E1518,4),"")</f>
        <v/>
      </c>
      <c r="H1518" s="16">
        <f>IF(D1518=0,"NO DATA",IF(D1518&gt;E1518*1.5,"OVER",IF(D1518&gt;E1518*1.1,"HIGH",IF(D1518&lt;E1518*0.5,"LOW","OK"))))</f>
        <v/>
      </c>
    </row>
    <row r="1519" ht="22" customHeight="1">
      <c r="B1519" s="5" t="inlineStr">
        <is>
          <t>MTR-PRC-005</t>
        </is>
      </c>
      <c r="C1519" s="5" t="inlineStr">
        <is>
          <t>2024-02-29</t>
        </is>
      </c>
      <c r="D1519" s="11" t="n">
        <v>25.31</v>
      </c>
      <c r="E1519" s="11" t="n">
        <v>25</v>
      </c>
      <c r="F1519" s="11">
        <f>ROUND(D1519-E1519,2)</f>
        <v/>
      </c>
      <c r="G1519" s="13">
        <f>IFERROR(ROUND(F1519/E1519,4),"")</f>
        <v/>
      </c>
      <c r="H1519" s="14">
        <f>IF(D1519=0,"NO DATA",IF(D1519&gt;E1519*1.5,"OVER",IF(D1519&gt;E1519*1.1,"HIGH",IF(D1519&lt;E1519*0.5,"LOW","OK"))))</f>
        <v/>
      </c>
    </row>
    <row r="1520" ht="22" customHeight="1">
      <c r="B1520" s="8" t="inlineStr">
        <is>
          <t>MTR-PRC-005</t>
        </is>
      </c>
      <c r="C1520" s="8" t="inlineStr">
        <is>
          <t>2024-03-01</t>
        </is>
      </c>
      <c r="D1520" s="12" t="n">
        <v>23.34</v>
      </c>
      <c r="E1520" s="12" t="n">
        <v>25</v>
      </c>
      <c r="F1520" s="12">
        <f>ROUND(D1520-E1520,2)</f>
        <v/>
      </c>
      <c r="G1520" s="15">
        <f>IFERROR(ROUND(F1520/E1520,4),"")</f>
        <v/>
      </c>
      <c r="H1520" s="16">
        <f>IF(D1520=0,"NO DATA",IF(D1520&gt;E1520*1.5,"OVER",IF(D1520&gt;E1520*1.1,"HIGH",IF(D1520&lt;E1520*0.5,"LOW","OK"))))</f>
        <v/>
      </c>
    </row>
    <row r="1521" ht="22" customHeight="1">
      <c r="B1521" s="5" t="inlineStr">
        <is>
          <t>MTR-PRC-005</t>
        </is>
      </c>
      <c r="C1521" s="5" t="inlineStr">
        <is>
          <t>2024-03-02</t>
        </is>
      </c>
      <c r="D1521" s="11" t="n">
        <v>20.04</v>
      </c>
      <c r="E1521" s="11" t="n">
        <v>25</v>
      </c>
      <c r="F1521" s="11">
        <f>ROUND(D1521-E1521,2)</f>
        <v/>
      </c>
      <c r="G1521" s="13">
        <f>IFERROR(ROUND(F1521/E1521,4),"")</f>
        <v/>
      </c>
      <c r="H1521" s="14">
        <f>IF(D1521=0,"NO DATA",IF(D1521&gt;E1521*1.5,"OVER",IF(D1521&gt;E1521*1.1,"HIGH",IF(D1521&lt;E1521*0.5,"LOW","OK"))))</f>
        <v/>
      </c>
    </row>
    <row r="1522" ht="22" customHeight="1">
      <c r="B1522" s="8" t="inlineStr">
        <is>
          <t>MTR-PRC-005</t>
        </is>
      </c>
      <c r="C1522" s="8" t="inlineStr">
        <is>
          <t>2024-03-03</t>
        </is>
      </c>
      <c r="D1522" s="12" t="n">
        <v>11.78</v>
      </c>
      <c r="E1522" s="12" t="n">
        <v>25</v>
      </c>
      <c r="F1522" s="12">
        <f>ROUND(D1522-E1522,2)</f>
        <v/>
      </c>
      <c r="G1522" s="15">
        <f>IFERROR(ROUND(F1522/E1522,4),"")</f>
        <v/>
      </c>
      <c r="H1522" s="16">
        <f>IF(D1522=0,"NO DATA",IF(D1522&gt;E1522*1.5,"OVER",IF(D1522&gt;E1522*1.1,"HIGH",IF(D1522&lt;E1522*0.5,"LOW","OK"))))</f>
        <v/>
      </c>
    </row>
    <row r="1523" ht="22" customHeight="1">
      <c r="B1523" s="5" t="inlineStr">
        <is>
          <t>MTR-PRC-005</t>
        </is>
      </c>
      <c r="C1523" s="5" t="inlineStr">
        <is>
          <t>2024-03-04</t>
        </is>
      </c>
      <c r="D1523" s="11" t="n">
        <v>27.19</v>
      </c>
      <c r="E1523" s="11" t="n">
        <v>25</v>
      </c>
      <c r="F1523" s="11">
        <f>ROUND(D1523-E1523,2)</f>
        <v/>
      </c>
      <c r="G1523" s="13">
        <f>IFERROR(ROUND(F1523/E1523,4),"")</f>
        <v/>
      </c>
      <c r="H1523" s="14">
        <f>IF(D1523=0,"NO DATA",IF(D1523&gt;E1523*1.5,"OVER",IF(D1523&gt;E1523*1.1,"HIGH",IF(D1523&lt;E1523*0.5,"LOW","OK"))))</f>
        <v/>
      </c>
    </row>
    <row r="1524" ht="22" customHeight="1">
      <c r="B1524" s="8" t="inlineStr">
        <is>
          <t>MTR-PRC-005</t>
        </is>
      </c>
      <c r="C1524" s="8" t="inlineStr">
        <is>
          <t>2024-03-05</t>
        </is>
      </c>
      <c r="D1524" s="12" t="n">
        <v>21.65</v>
      </c>
      <c r="E1524" s="12" t="n">
        <v>25</v>
      </c>
      <c r="F1524" s="12">
        <f>ROUND(D1524-E1524,2)</f>
        <v/>
      </c>
      <c r="G1524" s="15">
        <f>IFERROR(ROUND(F1524/E1524,4),"")</f>
        <v/>
      </c>
      <c r="H1524" s="16">
        <f>IF(D1524=0,"NO DATA",IF(D1524&gt;E1524*1.5,"OVER",IF(D1524&gt;E1524*1.1,"HIGH",IF(D1524&lt;E1524*0.5,"LOW","OK"))))</f>
        <v/>
      </c>
    </row>
    <row r="1525" ht="22" customHeight="1">
      <c r="B1525" s="5" t="inlineStr">
        <is>
          <t>MTR-PRC-005</t>
        </is>
      </c>
      <c r="C1525" s="5" t="inlineStr">
        <is>
          <t>2024-03-06</t>
        </is>
      </c>
      <c r="D1525" s="11" t="n">
        <v>21.68</v>
      </c>
      <c r="E1525" s="11" t="n">
        <v>25</v>
      </c>
      <c r="F1525" s="11">
        <f>ROUND(D1525-E1525,2)</f>
        <v/>
      </c>
      <c r="G1525" s="13">
        <f>IFERROR(ROUND(F1525/E1525,4),"")</f>
        <v/>
      </c>
      <c r="H1525" s="14">
        <f>IF(D1525=0,"NO DATA",IF(D1525&gt;E1525*1.5,"OVER",IF(D1525&gt;E1525*1.1,"HIGH",IF(D1525&lt;E1525*0.5,"LOW","OK"))))</f>
        <v/>
      </c>
    </row>
    <row r="1526" ht="22" customHeight="1">
      <c r="B1526" s="8" t="inlineStr">
        <is>
          <t>MTR-PRC-005</t>
        </is>
      </c>
      <c r="C1526" s="8" t="inlineStr">
        <is>
          <t>2024-03-07</t>
        </is>
      </c>
      <c r="D1526" s="12" t="n">
        <v>24.99</v>
      </c>
      <c r="E1526" s="12" t="n">
        <v>25</v>
      </c>
      <c r="F1526" s="12">
        <f>ROUND(D1526-E1526,2)</f>
        <v/>
      </c>
      <c r="G1526" s="15">
        <f>IFERROR(ROUND(F1526/E1526,4),"")</f>
        <v/>
      </c>
      <c r="H1526" s="16">
        <f>IF(D1526=0,"NO DATA",IF(D1526&gt;E1526*1.5,"OVER",IF(D1526&gt;E1526*1.1,"HIGH",IF(D1526&lt;E1526*0.5,"LOW","OK"))))</f>
        <v/>
      </c>
    </row>
    <row r="1527" ht="22" customHeight="1">
      <c r="B1527" s="5" t="inlineStr">
        <is>
          <t>MTR-PRC-005</t>
        </is>
      </c>
      <c r="C1527" s="5" t="inlineStr">
        <is>
          <t>2024-03-08</t>
        </is>
      </c>
      <c r="D1527" s="11" t="n">
        <v>21.36</v>
      </c>
      <c r="E1527" s="11" t="n">
        <v>25</v>
      </c>
      <c r="F1527" s="11">
        <f>ROUND(D1527-E1527,2)</f>
        <v/>
      </c>
      <c r="G1527" s="13">
        <f>IFERROR(ROUND(F1527/E1527,4),"")</f>
        <v/>
      </c>
      <c r="H1527" s="14">
        <f>IF(D1527=0,"NO DATA",IF(D1527&gt;E1527*1.5,"OVER",IF(D1527&gt;E1527*1.1,"HIGH",IF(D1527&lt;E1527*0.5,"LOW","OK"))))</f>
        <v/>
      </c>
    </row>
    <row r="1528" ht="22" customHeight="1">
      <c r="B1528" s="8" t="inlineStr">
        <is>
          <t>MTR-PRC-005</t>
        </is>
      </c>
      <c r="C1528" s="8" t="inlineStr">
        <is>
          <t>2024-03-09</t>
        </is>
      </c>
      <c r="D1528" s="12" t="n">
        <v>20.94</v>
      </c>
      <c r="E1528" s="12" t="n">
        <v>25</v>
      </c>
      <c r="F1528" s="12">
        <f>ROUND(D1528-E1528,2)</f>
        <v/>
      </c>
      <c r="G1528" s="15">
        <f>IFERROR(ROUND(F1528/E1528,4),"")</f>
        <v/>
      </c>
      <c r="H1528" s="16">
        <f>IF(D1528=0,"NO DATA",IF(D1528&gt;E1528*1.5,"OVER",IF(D1528&gt;E1528*1.1,"HIGH",IF(D1528&lt;E1528*0.5,"LOW","OK"))))</f>
        <v/>
      </c>
    </row>
    <row r="1529" ht="22" customHeight="1">
      <c r="B1529" s="5" t="inlineStr">
        <is>
          <t>MTR-PRC-005</t>
        </is>
      </c>
      <c r="C1529" s="5" t="inlineStr">
        <is>
          <t>2024-03-10</t>
        </is>
      </c>
      <c r="D1529" s="11" t="n">
        <v>11.18</v>
      </c>
      <c r="E1529" s="11" t="n">
        <v>25</v>
      </c>
      <c r="F1529" s="11">
        <f>ROUND(D1529-E1529,2)</f>
        <v/>
      </c>
      <c r="G1529" s="13">
        <f>IFERROR(ROUND(F1529/E1529,4),"")</f>
        <v/>
      </c>
      <c r="H1529" s="14">
        <f>IF(D1529=0,"NO DATA",IF(D1529&gt;E1529*1.5,"OVER",IF(D1529&gt;E1529*1.1,"HIGH",IF(D1529&lt;E1529*0.5,"LOW","OK"))))</f>
        <v/>
      </c>
    </row>
    <row r="1530" ht="22" customHeight="1">
      <c r="B1530" s="8" t="inlineStr">
        <is>
          <t>MTR-PRC-005</t>
        </is>
      </c>
      <c r="C1530" s="8" t="inlineStr">
        <is>
          <t>2024-03-11</t>
        </is>
      </c>
      <c r="D1530" s="12" t="n">
        <v>27.74</v>
      </c>
      <c r="E1530" s="12" t="n">
        <v>25</v>
      </c>
      <c r="F1530" s="12">
        <f>ROUND(D1530-E1530,2)</f>
        <v/>
      </c>
      <c r="G1530" s="15">
        <f>IFERROR(ROUND(F1530/E1530,4),"")</f>
        <v/>
      </c>
      <c r="H1530" s="16">
        <f>IF(D1530=0,"NO DATA",IF(D1530&gt;E1530*1.5,"OVER",IF(D1530&gt;E1530*1.1,"HIGH",IF(D1530&lt;E1530*0.5,"LOW","OK"))))</f>
        <v/>
      </c>
    </row>
    <row r="1531" ht="22" customHeight="1">
      <c r="B1531" s="5" t="inlineStr">
        <is>
          <t>MTR-PRC-005</t>
        </is>
      </c>
      <c r="C1531" s="5" t="inlineStr">
        <is>
          <t>2024-03-12</t>
        </is>
      </c>
      <c r="D1531" s="11" t="n">
        <v>27.88</v>
      </c>
      <c r="E1531" s="11" t="n">
        <v>25</v>
      </c>
      <c r="F1531" s="11">
        <f>ROUND(D1531-E1531,2)</f>
        <v/>
      </c>
      <c r="G1531" s="13">
        <f>IFERROR(ROUND(F1531/E1531,4),"")</f>
        <v/>
      </c>
      <c r="H1531" s="14">
        <f>IF(D1531=0,"NO DATA",IF(D1531&gt;E1531*1.5,"OVER",IF(D1531&gt;E1531*1.1,"HIGH",IF(D1531&lt;E1531*0.5,"LOW","OK"))))</f>
        <v/>
      </c>
    </row>
    <row r="1532" ht="22" customHeight="1">
      <c r="B1532" s="8" t="inlineStr">
        <is>
          <t>MTR-PRC-005</t>
        </is>
      </c>
      <c r="C1532" s="8" t="inlineStr">
        <is>
          <t>2024-03-13</t>
        </is>
      </c>
      <c r="D1532" s="12" t="n">
        <v>24.06</v>
      </c>
      <c r="E1532" s="12" t="n">
        <v>25</v>
      </c>
      <c r="F1532" s="12">
        <f>ROUND(D1532-E1532,2)</f>
        <v/>
      </c>
      <c r="G1532" s="15">
        <f>IFERROR(ROUND(F1532/E1532,4),"")</f>
        <v/>
      </c>
      <c r="H1532" s="16">
        <f>IF(D1532=0,"NO DATA",IF(D1532&gt;E1532*1.5,"OVER",IF(D1532&gt;E1532*1.1,"HIGH",IF(D1532&lt;E1532*0.5,"LOW","OK"))))</f>
        <v/>
      </c>
    </row>
    <row r="1533" ht="22" customHeight="1">
      <c r="B1533" s="5" t="inlineStr">
        <is>
          <t>MTR-PRC-005</t>
        </is>
      </c>
      <c r="C1533" s="5" t="inlineStr">
        <is>
          <t>2024-03-14</t>
        </is>
      </c>
      <c r="D1533" s="11" t="n">
        <v>27.11</v>
      </c>
      <c r="E1533" s="11" t="n">
        <v>25</v>
      </c>
      <c r="F1533" s="11">
        <f>ROUND(D1533-E1533,2)</f>
        <v/>
      </c>
      <c r="G1533" s="13">
        <f>IFERROR(ROUND(F1533/E1533,4),"")</f>
        <v/>
      </c>
      <c r="H1533" s="14">
        <f>IF(D1533=0,"NO DATA",IF(D1533&gt;E1533*1.5,"OVER",IF(D1533&gt;E1533*1.1,"HIGH",IF(D1533&lt;E1533*0.5,"LOW","OK"))))</f>
        <v/>
      </c>
    </row>
    <row r="1534" ht="22" customHeight="1">
      <c r="B1534" s="8" t="inlineStr">
        <is>
          <t>MTR-PRC-005</t>
        </is>
      </c>
      <c r="C1534" s="8" t="inlineStr">
        <is>
          <t>2024-03-15</t>
        </is>
      </c>
      <c r="D1534" s="12" t="n">
        <v>23.12</v>
      </c>
      <c r="E1534" s="12" t="n">
        <v>25</v>
      </c>
      <c r="F1534" s="12">
        <f>ROUND(D1534-E1534,2)</f>
        <v/>
      </c>
      <c r="G1534" s="15">
        <f>IFERROR(ROUND(F1534/E1534,4),"")</f>
        <v/>
      </c>
      <c r="H1534" s="16">
        <f>IF(D1534=0,"NO DATA",IF(D1534&gt;E1534*1.5,"OVER",IF(D1534&gt;E1534*1.1,"HIGH",IF(D1534&lt;E1534*0.5,"LOW","OK"))))</f>
        <v/>
      </c>
    </row>
    <row r="1535" ht="22" customHeight="1">
      <c r="B1535" s="5" t="inlineStr">
        <is>
          <t>MTR-PRC-005</t>
        </is>
      </c>
      <c r="C1535" s="5" t="inlineStr">
        <is>
          <t>2024-03-16</t>
        </is>
      </c>
      <c r="D1535" s="11" t="n">
        <v>20.55</v>
      </c>
      <c r="E1535" s="11" t="n">
        <v>25</v>
      </c>
      <c r="F1535" s="11">
        <f>ROUND(D1535-E1535,2)</f>
        <v/>
      </c>
      <c r="G1535" s="13">
        <f>IFERROR(ROUND(F1535/E1535,4),"")</f>
        <v/>
      </c>
      <c r="H1535" s="14">
        <f>IF(D1535=0,"NO DATA",IF(D1535&gt;E1535*1.5,"OVER",IF(D1535&gt;E1535*1.1,"HIGH",IF(D1535&lt;E1535*0.5,"LOW","OK"))))</f>
        <v/>
      </c>
    </row>
    <row r="1536" ht="22" customHeight="1">
      <c r="B1536" s="8" t="inlineStr">
        <is>
          <t>MTR-PRC-005</t>
        </is>
      </c>
      <c r="C1536" s="8" t="inlineStr">
        <is>
          <t>2024-03-17</t>
        </is>
      </c>
      <c r="D1536" s="12" t="n">
        <v>14.65</v>
      </c>
      <c r="E1536" s="12" t="n">
        <v>25</v>
      </c>
      <c r="F1536" s="12">
        <f>ROUND(D1536-E1536,2)</f>
        <v/>
      </c>
      <c r="G1536" s="15">
        <f>IFERROR(ROUND(F1536/E1536,4),"")</f>
        <v/>
      </c>
      <c r="H1536" s="16">
        <f>IF(D1536=0,"NO DATA",IF(D1536&gt;E1536*1.5,"OVER",IF(D1536&gt;E1536*1.1,"HIGH",IF(D1536&lt;E1536*0.5,"LOW","OK"))))</f>
        <v/>
      </c>
    </row>
    <row r="1537" ht="22" customHeight="1">
      <c r="B1537" s="5" t="inlineStr">
        <is>
          <t>MTR-PRC-005</t>
        </is>
      </c>
      <c r="C1537" s="5" t="inlineStr">
        <is>
          <t>2024-03-18</t>
        </is>
      </c>
      <c r="D1537" s="11" t="n">
        <v>25.57</v>
      </c>
      <c r="E1537" s="11" t="n">
        <v>25</v>
      </c>
      <c r="F1537" s="11">
        <f>ROUND(D1537-E1537,2)</f>
        <v/>
      </c>
      <c r="G1537" s="13">
        <f>IFERROR(ROUND(F1537/E1537,4),"")</f>
        <v/>
      </c>
      <c r="H1537" s="14">
        <f>IF(D1537=0,"NO DATA",IF(D1537&gt;E1537*1.5,"OVER",IF(D1537&gt;E1537*1.1,"HIGH",IF(D1537&lt;E1537*0.5,"LOW","OK"))))</f>
        <v/>
      </c>
    </row>
    <row r="1538" ht="22" customHeight="1">
      <c r="B1538" s="8" t="inlineStr">
        <is>
          <t>MTR-PRC-005</t>
        </is>
      </c>
      <c r="C1538" s="8" t="inlineStr">
        <is>
          <t>2024-03-19</t>
        </is>
      </c>
      <c r="D1538" s="12" t="n">
        <v>23.63</v>
      </c>
      <c r="E1538" s="12" t="n">
        <v>25</v>
      </c>
      <c r="F1538" s="12">
        <f>ROUND(D1538-E1538,2)</f>
        <v/>
      </c>
      <c r="G1538" s="15">
        <f>IFERROR(ROUND(F1538/E1538,4),"")</f>
        <v/>
      </c>
      <c r="H1538" s="16">
        <f>IF(D1538=0,"NO DATA",IF(D1538&gt;E1538*1.5,"OVER",IF(D1538&gt;E1538*1.1,"HIGH",IF(D1538&lt;E1538*0.5,"LOW","OK"))))</f>
        <v/>
      </c>
    </row>
    <row r="1539" ht="22" customHeight="1">
      <c r="B1539" s="5" t="inlineStr">
        <is>
          <t>MTR-PRC-005</t>
        </is>
      </c>
      <c r="C1539" s="5" t="inlineStr">
        <is>
          <t>2024-03-20</t>
        </is>
      </c>
      <c r="D1539" s="11" t="n">
        <v>22.89</v>
      </c>
      <c r="E1539" s="11" t="n">
        <v>25</v>
      </c>
      <c r="F1539" s="11">
        <f>ROUND(D1539-E1539,2)</f>
        <v/>
      </c>
      <c r="G1539" s="13">
        <f>IFERROR(ROUND(F1539/E1539,4),"")</f>
        <v/>
      </c>
      <c r="H1539" s="14">
        <f>IF(D1539=0,"NO DATA",IF(D1539&gt;E1539*1.5,"OVER",IF(D1539&gt;E1539*1.1,"HIGH",IF(D1539&lt;E1539*0.5,"LOW","OK"))))</f>
        <v/>
      </c>
    </row>
    <row r="1540" ht="22" customHeight="1">
      <c r="B1540" s="8" t="inlineStr">
        <is>
          <t>MTR-PRC-005</t>
        </is>
      </c>
      <c r="C1540" s="8" t="inlineStr">
        <is>
          <t>2024-03-21</t>
        </is>
      </c>
      <c r="D1540" s="12" t="n">
        <v>23.58</v>
      </c>
      <c r="E1540" s="12" t="n">
        <v>25</v>
      </c>
      <c r="F1540" s="12">
        <f>ROUND(D1540-E1540,2)</f>
        <v/>
      </c>
      <c r="G1540" s="15">
        <f>IFERROR(ROUND(F1540/E1540,4),"")</f>
        <v/>
      </c>
      <c r="H1540" s="16">
        <f>IF(D1540=0,"NO DATA",IF(D1540&gt;E1540*1.5,"OVER",IF(D1540&gt;E1540*1.1,"HIGH",IF(D1540&lt;E1540*0.5,"LOW","OK"))))</f>
        <v/>
      </c>
    </row>
    <row r="1541" ht="22" customHeight="1">
      <c r="B1541" s="5" t="inlineStr">
        <is>
          <t>MTR-PRC-005</t>
        </is>
      </c>
      <c r="C1541" s="5" t="inlineStr">
        <is>
          <t>2024-03-22</t>
        </is>
      </c>
      <c r="D1541" s="11" t="n">
        <v>23.65</v>
      </c>
      <c r="E1541" s="11" t="n">
        <v>25</v>
      </c>
      <c r="F1541" s="11">
        <f>ROUND(D1541-E1541,2)</f>
        <v/>
      </c>
      <c r="G1541" s="13">
        <f>IFERROR(ROUND(F1541/E1541,4),"")</f>
        <v/>
      </c>
      <c r="H1541" s="14">
        <f>IF(D1541=0,"NO DATA",IF(D1541&gt;E1541*1.5,"OVER",IF(D1541&gt;E1541*1.1,"HIGH",IF(D1541&lt;E1541*0.5,"LOW","OK"))))</f>
        <v/>
      </c>
    </row>
    <row r="1542" ht="22" customHeight="1">
      <c r="B1542" s="8" t="inlineStr">
        <is>
          <t>MTR-PRC-005</t>
        </is>
      </c>
      <c r="C1542" s="8" t="inlineStr">
        <is>
          <t>2024-03-23</t>
        </is>
      </c>
      <c r="D1542" s="12" t="n">
        <v>22.05</v>
      </c>
      <c r="E1542" s="12" t="n">
        <v>25</v>
      </c>
      <c r="F1542" s="12">
        <f>ROUND(D1542-E1542,2)</f>
        <v/>
      </c>
      <c r="G1542" s="15">
        <f>IFERROR(ROUND(F1542/E1542,4),"")</f>
        <v/>
      </c>
      <c r="H1542" s="16">
        <f>IF(D1542=0,"NO DATA",IF(D1542&gt;E1542*1.5,"OVER",IF(D1542&gt;E1542*1.1,"HIGH",IF(D1542&lt;E1542*0.5,"LOW","OK"))))</f>
        <v/>
      </c>
    </row>
    <row r="1543" ht="22" customHeight="1">
      <c r="B1543" s="5" t="inlineStr">
        <is>
          <t>MTR-PRC-005</t>
        </is>
      </c>
      <c r="C1543" s="5" t="inlineStr">
        <is>
          <t>2024-03-24</t>
        </is>
      </c>
      <c r="D1543" s="11" t="n">
        <v>12.2</v>
      </c>
      <c r="E1543" s="11" t="n">
        <v>25</v>
      </c>
      <c r="F1543" s="11">
        <f>ROUND(D1543-E1543,2)</f>
        <v/>
      </c>
      <c r="G1543" s="13">
        <f>IFERROR(ROUND(F1543/E1543,4),"")</f>
        <v/>
      </c>
      <c r="H1543" s="14">
        <f>IF(D1543=0,"NO DATA",IF(D1543&gt;E1543*1.5,"OVER",IF(D1543&gt;E1543*1.1,"HIGH",IF(D1543&lt;E1543*0.5,"LOW","OK"))))</f>
        <v/>
      </c>
    </row>
    <row r="1544" ht="22" customHeight="1">
      <c r="B1544" s="8" t="inlineStr">
        <is>
          <t>MTR-PRC-005</t>
        </is>
      </c>
      <c r="C1544" s="8" t="inlineStr">
        <is>
          <t>2024-03-25</t>
        </is>
      </c>
      <c r="D1544" s="12" t="n">
        <v>27.22</v>
      </c>
      <c r="E1544" s="12" t="n">
        <v>25</v>
      </c>
      <c r="F1544" s="12">
        <f>ROUND(D1544-E1544,2)</f>
        <v/>
      </c>
      <c r="G1544" s="15">
        <f>IFERROR(ROUND(F1544/E1544,4),"")</f>
        <v/>
      </c>
      <c r="H1544" s="16">
        <f>IF(D1544=0,"NO DATA",IF(D1544&gt;E1544*1.5,"OVER",IF(D1544&gt;E1544*1.1,"HIGH",IF(D1544&lt;E1544*0.5,"LOW","OK"))))</f>
        <v/>
      </c>
    </row>
    <row r="1545" ht="22" customHeight="1">
      <c r="B1545" s="5" t="inlineStr">
        <is>
          <t>MTR-PRC-005</t>
        </is>
      </c>
      <c r="C1545" s="5" t="inlineStr">
        <is>
          <t>2024-03-26</t>
        </is>
      </c>
      <c r="D1545" s="11" t="n">
        <v>27.22</v>
      </c>
      <c r="E1545" s="11" t="n">
        <v>25</v>
      </c>
      <c r="F1545" s="11">
        <f>ROUND(D1545-E1545,2)</f>
        <v/>
      </c>
      <c r="G1545" s="13">
        <f>IFERROR(ROUND(F1545/E1545,4),"")</f>
        <v/>
      </c>
      <c r="H1545" s="14">
        <f>IF(D1545=0,"NO DATA",IF(D1545&gt;E1545*1.5,"OVER",IF(D1545&gt;E1545*1.1,"HIGH",IF(D1545&lt;E1545*0.5,"LOW","OK"))))</f>
        <v/>
      </c>
    </row>
    <row r="1546" ht="22" customHeight="1">
      <c r="B1546" s="8" t="inlineStr">
        <is>
          <t>MTR-PRC-005</t>
        </is>
      </c>
      <c r="C1546" s="8" t="inlineStr">
        <is>
          <t>2024-03-27</t>
        </is>
      </c>
      <c r="D1546" s="12" t="n">
        <v>24.71</v>
      </c>
      <c r="E1546" s="12" t="n">
        <v>25</v>
      </c>
      <c r="F1546" s="12">
        <f>ROUND(D1546-E1546,2)</f>
        <v/>
      </c>
      <c r="G1546" s="15">
        <f>IFERROR(ROUND(F1546/E1546,4),"")</f>
        <v/>
      </c>
      <c r="H1546" s="16">
        <f>IF(D1546=0,"NO DATA",IF(D1546&gt;E1546*1.5,"OVER",IF(D1546&gt;E1546*1.1,"HIGH",IF(D1546&lt;E1546*0.5,"LOW","OK"))))</f>
        <v/>
      </c>
    </row>
    <row r="1547" ht="22" customHeight="1">
      <c r="B1547" s="5" t="inlineStr">
        <is>
          <t>MTR-PRC-005</t>
        </is>
      </c>
      <c r="C1547" s="5" t="inlineStr">
        <is>
          <t>2024-03-28</t>
        </is>
      </c>
      <c r="D1547" s="11" t="n">
        <v>21.86</v>
      </c>
      <c r="E1547" s="11" t="n">
        <v>25</v>
      </c>
      <c r="F1547" s="11">
        <f>ROUND(D1547-E1547,2)</f>
        <v/>
      </c>
      <c r="G1547" s="13">
        <f>IFERROR(ROUND(F1547/E1547,4),"")</f>
        <v/>
      </c>
      <c r="H1547" s="14">
        <f>IF(D1547=0,"NO DATA",IF(D1547&gt;E1547*1.5,"OVER",IF(D1547&gt;E1547*1.1,"HIGH",IF(D1547&lt;E1547*0.5,"LOW","OK"))))</f>
        <v/>
      </c>
    </row>
    <row r="1548" ht="22" customHeight="1">
      <c r="B1548" s="8" t="inlineStr">
        <is>
          <t>MTR-PRC-005</t>
        </is>
      </c>
      <c r="C1548" s="8" t="inlineStr">
        <is>
          <t>2024-03-29</t>
        </is>
      </c>
      <c r="D1548" s="12" t="n">
        <v>24.06</v>
      </c>
      <c r="E1548" s="12" t="n">
        <v>25</v>
      </c>
      <c r="F1548" s="12">
        <f>ROUND(D1548-E1548,2)</f>
        <v/>
      </c>
      <c r="G1548" s="15">
        <f>IFERROR(ROUND(F1548/E1548,4),"")</f>
        <v/>
      </c>
      <c r="H1548" s="16">
        <f>IF(D1548=0,"NO DATA",IF(D1548&gt;E1548*1.5,"OVER",IF(D1548&gt;E1548*1.1,"HIGH",IF(D1548&lt;E1548*0.5,"LOW","OK"))))</f>
        <v/>
      </c>
    </row>
    <row r="1549" ht="22" customHeight="1">
      <c r="B1549" s="5" t="inlineStr">
        <is>
          <t>MTR-PRC-005</t>
        </is>
      </c>
      <c r="C1549" s="5" t="inlineStr">
        <is>
          <t>2024-03-30</t>
        </is>
      </c>
      <c r="D1549" s="11" t="n">
        <v>17.48</v>
      </c>
      <c r="E1549" s="11" t="n">
        <v>25</v>
      </c>
      <c r="F1549" s="11">
        <f>ROUND(D1549-E1549,2)</f>
        <v/>
      </c>
      <c r="G1549" s="13">
        <f>IFERROR(ROUND(F1549/E1549,4),"")</f>
        <v/>
      </c>
      <c r="H1549" s="14">
        <f>IF(D1549=0,"NO DATA",IF(D1549&gt;E1549*1.5,"OVER",IF(D1549&gt;E1549*1.1,"HIGH",IF(D1549&lt;E1549*0.5,"LOW","OK"))))</f>
        <v/>
      </c>
    </row>
    <row r="1550" ht="22" customHeight="1">
      <c r="B1550" s="8" t="inlineStr">
        <is>
          <t>MTR-PRC-005</t>
        </is>
      </c>
      <c r="C1550" s="8" t="inlineStr">
        <is>
          <t>2024-03-31</t>
        </is>
      </c>
      <c r="D1550" s="12" t="n">
        <v>13.9</v>
      </c>
      <c r="E1550" s="12" t="n">
        <v>25</v>
      </c>
      <c r="F1550" s="12">
        <f>ROUND(D1550-E1550,2)</f>
        <v/>
      </c>
      <c r="G1550" s="15">
        <f>IFERROR(ROUND(F1550/E1550,4),"")</f>
        <v/>
      </c>
      <c r="H1550" s="16">
        <f>IF(D1550=0,"NO DATA",IF(D1550&gt;E1550*1.5,"OVER",IF(D1550&gt;E1550*1.1,"HIGH",IF(D1550&lt;E1550*0.5,"LOW","OK"))))</f>
        <v/>
      </c>
    </row>
    <row r="1551" ht="22" customHeight="1">
      <c r="B1551" s="5" t="inlineStr">
        <is>
          <t>MTR-PRC-005</t>
        </is>
      </c>
      <c r="C1551" s="5" t="inlineStr">
        <is>
          <t>2024-04-01</t>
        </is>
      </c>
      <c r="D1551" s="11" t="n">
        <v>26.09</v>
      </c>
      <c r="E1551" s="11" t="n">
        <v>25</v>
      </c>
      <c r="F1551" s="11">
        <f>ROUND(D1551-E1551,2)</f>
        <v/>
      </c>
      <c r="G1551" s="13">
        <f>IFERROR(ROUND(F1551/E1551,4),"")</f>
        <v/>
      </c>
      <c r="H1551" s="14">
        <f>IF(D1551=0,"NO DATA",IF(D1551&gt;E1551*1.5,"OVER",IF(D1551&gt;E1551*1.1,"HIGH",IF(D1551&lt;E1551*0.5,"LOW","OK"))))</f>
        <v/>
      </c>
    </row>
    <row r="1552" ht="22" customHeight="1">
      <c r="B1552" s="8" t="inlineStr">
        <is>
          <t>MTR-PRC-005</t>
        </is>
      </c>
      <c r="C1552" s="8" t="inlineStr">
        <is>
          <t>2024-04-02</t>
        </is>
      </c>
      <c r="D1552" s="12" t="n">
        <v>25.78</v>
      </c>
      <c r="E1552" s="12" t="n">
        <v>25</v>
      </c>
      <c r="F1552" s="12">
        <f>ROUND(D1552-E1552,2)</f>
        <v/>
      </c>
      <c r="G1552" s="15">
        <f>IFERROR(ROUND(F1552/E1552,4),"")</f>
        <v/>
      </c>
      <c r="H1552" s="16">
        <f>IF(D1552=0,"NO DATA",IF(D1552&gt;E1552*1.5,"OVER",IF(D1552&gt;E1552*1.1,"HIGH",IF(D1552&lt;E1552*0.5,"LOW","OK"))))</f>
        <v/>
      </c>
    </row>
    <row r="1553" ht="22" customHeight="1">
      <c r="B1553" s="5" t="inlineStr">
        <is>
          <t>MTR-PRC-005</t>
        </is>
      </c>
      <c r="C1553" s="5" t="inlineStr">
        <is>
          <t>2024-04-03</t>
        </is>
      </c>
      <c r="D1553" s="11" t="n">
        <v>27.68</v>
      </c>
      <c r="E1553" s="11" t="n">
        <v>25</v>
      </c>
      <c r="F1553" s="11">
        <f>ROUND(D1553-E1553,2)</f>
        <v/>
      </c>
      <c r="G1553" s="13">
        <f>IFERROR(ROUND(F1553/E1553,4),"")</f>
        <v/>
      </c>
      <c r="H1553" s="14">
        <f>IF(D1553=0,"NO DATA",IF(D1553&gt;E1553*1.5,"OVER",IF(D1553&gt;E1553*1.1,"HIGH",IF(D1553&lt;E1553*0.5,"LOW","OK"))))</f>
        <v/>
      </c>
    </row>
    <row r="1554" ht="22" customHeight="1">
      <c r="B1554" s="8" t="inlineStr">
        <is>
          <t>MTR-PRC-005</t>
        </is>
      </c>
      <c r="C1554" s="8" t="inlineStr">
        <is>
          <t>2024-04-04</t>
        </is>
      </c>
      <c r="D1554" s="12" t="n">
        <v>27.1</v>
      </c>
      <c r="E1554" s="12" t="n">
        <v>25</v>
      </c>
      <c r="F1554" s="12">
        <f>ROUND(D1554-E1554,2)</f>
        <v/>
      </c>
      <c r="G1554" s="15">
        <f>IFERROR(ROUND(F1554/E1554,4),"")</f>
        <v/>
      </c>
      <c r="H1554" s="16">
        <f>IF(D1554=0,"NO DATA",IF(D1554&gt;E1554*1.5,"OVER",IF(D1554&gt;E1554*1.1,"HIGH",IF(D1554&lt;E1554*0.5,"LOW","OK"))))</f>
        <v/>
      </c>
    </row>
    <row r="1555" ht="22" customHeight="1">
      <c r="B1555" s="5" t="inlineStr">
        <is>
          <t>MTR-PRC-005</t>
        </is>
      </c>
      <c r="C1555" s="5" t="inlineStr">
        <is>
          <t>2024-04-05</t>
        </is>
      </c>
      <c r="D1555" s="11" t="n">
        <v>22.34</v>
      </c>
      <c r="E1555" s="11" t="n">
        <v>25</v>
      </c>
      <c r="F1555" s="11">
        <f>ROUND(D1555-E1555,2)</f>
        <v/>
      </c>
      <c r="G1555" s="13">
        <f>IFERROR(ROUND(F1555/E1555,4),"")</f>
        <v/>
      </c>
      <c r="H1555" s="14">
        <f>IF(D1555=0,"NO DATA",IF(D1555&gt;E1555*1.5,"OVER",IF(D1555&gt;E1555*1.1,"HIGH",IF(D1555&lt;E1555*0.5,"LOW","OK"))))</f>
        <v/>
      </c>
    </row>
    <row r="1556" ht="22" customHeight="1">
      <c r="B1556" s="8" t="inlineStr">
        <is>
          <t>MTR-PRC-005</t>
        </is>
      </c>
      <c r="C1556" s="8" t="inlineStr">
        <is>
          <t>2024-04-06</t>
        </is>
      </c>
      <c r="D1556" s="12" t="n">
        <v>22.73</v>
      </c>
      <c r="E1556" s="12" t="n">
        <v>25</v>
      </c>
      <c r="F1556" s="12">
        <f>ROUND(D1556-E1556,2)</f>
        <v/>
      </c>
      <c r="G1556" s="15">
        <f>IFERROR(ROUND(F1556/E1556,4),"")</f>
        <v/>
      </c>
      <c r="H1556" s="16">
        <f>IF(D1556=0,"NO DATA",IF(D1556&gt;E1556*1.5,"OVER",IF(D1556&gt;E1556*1.1,"HIGH",IF(D1556&lt;E1556*0.5,"LOW","OK"))))</f>
        <v/>
      </c>
    </row>
    <row r="1557" ht="22" customHeight="1">
      <c r="B1557" s="5" t="inlineStr">
        <is>
          <t>MTR-PRC-005</t>
        </is>
      </c>
      <c r="C1557" s="5" t="inlineStr">
        <is>
          <t>2024-04-07</t>
        </is>
      </c>
      <c r="D1557" s="11" t="n">
        <v>11.76</v>
      </c>
      <c r="E1557" s="11" t="n">
        <v>25</v>
      </c>
      <c r="F1557" s="11">
        <f>ROUND(D1557-E1557,2)</f>
        <v/>
      </c>
      <c r="G1557" s="13">
        <f>IFERROR(ROUND(F1557/E1557,4),"")</f>
        <v/>
      </c>
      <c r="H1557" s="14">
        <f>IF(D1557=0,"NO DATA",IF(D1557&gt;E1557*1.5,"OVER",IF(D1557&gt;E1557*1.1,"HIGH",IF(D1557&lt;E1557*0.5,"LOW","OK"))))</f>
        <v/>
      </c>
    </row>
    <row r="1558" ht="22" customHeight="1">
      <c r="B1558" s="8" t="inlineStr">
        <is>
          <t>MTR-PRC-005</t>
        </is>
      </c>
      <c r="C1558" s="8" t="inlineStr">
        <is>
          <t>2024-04-08</t>
        </is>
      </c>
      <c r="D1558" s="12" t="n">
        <v>26.66</v>
      </c>
      <c r="E1558" s="12" t="n">
        <v>25</v>
      </c>
      <c r="F1558" s="12">
        <f>ROUND(D1558-E1558,2)</f>
        <v/>
      </c>
      <c r="G1558" s="15">
        <f>IFERROR(ROUND(F1558/E1558,4),"")</f>
        <v/>
      </c>
      <c r="H1558" s="16">
        <f>IF(D1558=0,"NO DATA",IF(D1558&gt;E1558*1.5,"OVER",IF(D1558&gt;E1558*1.1,"HIGH",IF(D1558&lt;E1558*0.5,"LOW","OK"))))</f>
        <v/>
      </c>
    </row>
    <row r="1559" ht="22" customHeight="1">
      <c r="B1559" s="5" t="inlineStr">
        <is>
          <t>MTR-PRC-005</t>
        </is>
      </c>
      <c r="C1559" s="5" t="inlineStr">
        <is>
          <t>2024-04-09</t>
        </is>
      </c>
      <c r="D1559" s="11" t="n">
        <v>23.04</v>
      </c>
      <c r="E1559" s="11" t="n">
        <v>25</v>
      </c>
      <c r="F1559" s="11">
        <f>ROUND(D1559-E1559,2)</f>
        <v/>
      </c>
      <c r="G1559" s="13">
        <f>IFERROR(ROUND(F1559/E1559,4),"")</f>
        <v/>
      </c>
      <c r="H1559" s="14">
        <f>IF(D1559=0,"NO DATA",IF(D1559&gt;E1559*1.5,"OVER",IF(D1559&gt;E1559*1.1,"HIGH",IF(D1559&lt;E1559*0.5,"LOW","OK"))))</f>
        <v/>
      </c>
    </row>
    <row r="1560" ht="22" customHeight="1">
      <c r="B1560" s="8" t="inlineStr">
        <is>
          <t>MTR-PRC-005</t>
        </is>
      </c>
      <c r="C1560" s="8" t="inlineStr">
        <is>
          <t>2024-04-10</t>
        </is>
      </c>
      <c r="D1560" s="12" t="n">
        <v>28.57</v>
      </c>
      <c r="E1560" s="12" t="n">
        <v>25</v>
      </c>
      <c r="F1560" s="12">
        <f>ROUND(D1560-E1560,2)</f>
        <v/>
      </c>
      <c r="G1560" s="15">
        <f>IFERROR(ROUND(F1560/E1560,4),"")</f>
        <v/>
      </c>
      <c r="H1560" s="16">
        <f>IF(D1560=0,"NO DATA",IF(D1560&gt;E1560*1.5,"OVER",IF(D1560&gt;E1560*1.1,"HIGH",IF(D1560&lt;E1560*0.5,"LOW","OK"))))</f>
        <v/>
      </c>
    </row>
    <row r="1561" ht="22" customHeight="1">
      <c r="B1561" s="5" t="inlineStr">
        <is>
          <t>MTR-PRC-005</t>
        </is>
      </c>
      <c r="C1561" s="5" t="inlineStr">
        <is>
          <t>2024-04-11</t>
        </is>
      </c>
      <c r="D1561" s="11" t="n">
        <v>22.95</v>
      </c>
      <c r="E1561" s="11" t="n">
        <v>25</v>
      </c>
      <c r="F1561" s="11">
        <f>ROUND(D1561-E1561,2)</f>
        <v/>
      </c>
      <c r="G1561" s="13">
        <f>IFERROR(ROUND(F1561/E1561,4),"")</f>
        <v/>
      </c>
      <c r="H1561" s="14">
        <f>IF(D1561=0,"NO DATA",IF(D1561&gt;E1561*1.5,"OVER",IF(D1561&gt;E1561*1.1,"HIGH",IF(D1561&lt;E1561*0.5,"LOW","OK"))))</f>
        <v/>
      </c>
    </row>
    <row r="1562" ht="22" customHeight="1">
      <c r="B1562" s="8" t="inlineStr">
        <is>
          <t>MTR-PRC-005</t>
        </is>
      </c>
      <c r="C1562" s="8" t="inlineStr">
        <is>
          <t>2024-04-12</t>
        </is>
      </c>
      <c r="D1562" s="12" t="n">
        <v>28.86</v>
      </c>
      <c r="E1562" s="12" t="n">
        <v>25</v>
      </c>
      <c r="F1562" s="12">
        <f>ROUND(D1562-E1562,2)</f>
        <v/>
      </c>
      <c r="G1562" s="15">
        <f>IFERROR(ROUND(F1562/E1562,4),"")</f>
        <v/>
      </c>
      <c r="H1562" s="16">
        <f>IF(D1562=0,"NO DATA",IF(D1562&gt;E1562*1.5,"OVER",IF(D1562&gt;E1562*1.1,"HIGH",IF(D1562&lt;E1562*0.5,"LOW","OK"))))</f>
        <v/>
      </c>
    </row>
    <row r="1563" ht="22" customHeight="1">
      <c r="B1563" s="5" t="inlineStr">
        <is>
          <t>MTR-PRC-005</t>
        </is>
      </c>
      <c r="C1563" s="5" t="inlineStr">
        <is>
          <t>2024-04-13</t>
        </is>
      </c>
      <c r="D1563" s="11" t="n">
        <v>18.39</v>
      </c>
      <c r="E1563" s="11" t="n">
        <v>25</v>
      </c>
      <c r="F1563" s="11">
        <f>ROUND(D1563-E1563,2)</f>
        <v/>
      </c>
      <c r="G1563" s="13">
        <f>IFERROR(ROUND(F1563/E1563,4),"")</f>
        <v/>
      </c>
      <c r="H1563" s="14">
        <f>IF(D1563=0,"NO DATA",IF(D1563&gt;E1563*1.5,"OVER",IF(D1563&gt;E1563*1.1,"HIGH",IF(D1563&lt;E1563*0.5,"LOW","OK"))))</f>
        <v/>
      </c>
    </row>
    <row r="1564" ht="22" customHeight="1">
      <c r="B1564" s="8" t="inlineStr">
        <is>
          <t>MTR-PRC-005</t>
        </is>
      </c>
      <c r="C1564" s="8" t="inlineStr">
        <is>
          <t>2024-04-14</t>
        </is>
      </c>
      <c r="D1564" s="12" t="n">
        <v>13.2</v>
      </c>
      <c r="E1564" s="12" t="n">
        <v>25</v>
      </c>
      <c r="F1564" s="12">
        <f>ROUND(D1564-E1564,2)</f>
        <v/>
      </c>
      <c r="G1564" s="15">
        <f>IFERROR(ROUND(F1564/E1564,4),"")</f>
        <v/>
      </c>
      <c r="H1564" s="16">
        <f>IF(D1564=0,"NO DATA",IF(D1564&gt;E1564*1.5,"OVER",IF(D1564&gt;E1564*1.1,"HIGH",IF(D1564&lt;E1564*0.5,"LOW","OK"))))</f>
        <v/>
      </c>
    </row>
    <row r="1565" ht="22" customHeight="1">
      <c r="B1565" s="5" t="inlineStr">
        <is>
          <t>MTR-PRC-005</t>
        </is>
      </c>
      <c r="C1565" s="5" t="inlineStr">
        <is>
          <t>2024-04-15</t>
        </is>
      </c>
      <c r="D1565" s="11" t="n">
        <v>26.58</v>
      </c>
      <c r="E1565" s="11" t="n">
        <v>25</v>
      </c>
      <c r="F1565" s="11">
        <f>ROUND(D1565-E1565,2)</f>
        <v/>
      </c>
      <c r="G1565" s="13">
        <f>IFERROR(ROUND(F1565/E1565,4),"")</f>
        <v/>
      </c>
      <c r="H1565" s="14">
        <f>IF(D1565=0,"NO DATA",IF(D1565&gt;E1565*1.5,"OVER",IF(D1565&gt;E1565*1.1,"HIGH",IF(D1565&lt;E1565*0.5,"LOW","OK"))))</f>
        <v/>
      </c>
    </row>
    <row r="1566" ht="22" customHeight="1">
      <c r="B1566" s="8" t="inlineStr">
        <is>
          <t>MTR-PRC-005</t>
        </is>
      </c>
      <c r="C1566" s="8" t="inlineStr">
        <is>
          <t>2024-04-16</t>
        </is>
      </c>
      <c r="D1566" s="12" t="n">
        <v>25.54</v>
      </c>
      <c r="E1566" s="12" t="n">
        <v>25</v>
      </c>
      <c r="F1566" s="12">
        <f>ROUND(D1566-E1566,2)</f>
        <v/>
      </c>
      <c r="G1566" s="15">
        <f>IFERROR(ROUND(F1566/E1566,4),"")</f>
        <v/>
      </c>
      <c r="H1566" s="16">
        <f>IF(D1566=0,"NO DATA",IF(D1566&gt;E1566*1.5,"OVER",IF(D1566&gt;E1566*1.1,"HIGH",IF(D1566&lt;E1566*0.5,"LOW","OK"))))</f>
        <v/>
      </c>
    </row>
    <row r="1567" ht="22" customHeight="1">
      <c r="B1567" s="5" t="inlineStr">
        <is>
          <t>MTR-PRC-005</t>
        </is>
      </c>
      <c r="C1567" s="5" t="inlineStr">
        <is>
          <t>2024-04-17</t>
        </is>
      </c>
      <c r="D1567" s="11" t="n">
        <v>26.32</v>
      </c>
      <c r="E1567" s="11" t="n">
        <v>25</v>
      </c>
      <c r="F1567" s="11">
        <f>ROUND(D1567-E1567,2)</f>
        <v/>
      </c>
      <c r="G1567" s="13">
        <f>IFERROR(ROUND(F1567/E1567,4),"")</f>
        <v/>
      </c>
      <c r="H1567" s="14">
        <f>IF(D1567=0,"NO DATA",IF(D1567&gt;E1567*1.5,"OVER",IF(D1567&gt;E1567*1.1,"HIGH",IF(D1567&lt;E1567*0.5,"LOW","OK"))))</f>
        <v/>
      </c>
    </row>
    <row r="1568" ht="22" customHeight="1">
      <c r="B1568" s="8" t="inlineStr">
        <is>
          <t>MTR-PRC-005</t>
        </is>
      </c>
      <c r="C1568" s="8" t="inlineStr">
        <is>
          <t>2024-04-18</t>
        </is>
      </c>
      <c r="D1568" s="12" t="n">
        <v>23.76</v>
      </c>
      <c r="E1568" s="12" t="n">
        <v>25</v>
      </c>
      <c r="F1568" s="12">
        <f>ROUND(D1568-E1568,2)</f>
        <v/>
      </c>
      <c r="G1568" s="15">
        <f>IFERROR(ROUND(F1568/E1568,4),"")</f>
        <v/>
      </c>
      <c r="H1568" s="16">
        <f>IF(D1568=0,"NO DATA",IF(D1568&gt;E1568*1.5,"OVER",IF(D1568&gt;E1568*1.1,"HIGH",IF(D1568&lt;E1568*0.5,"LOW","OK"))))</f>
        <v/>
      </c>
    </row>
    <row r="1569" ht="22" customHeight="1">
      <c r="B1569" s="5" t="inlineStr">
        <is>
          <t>MTR-PRC-005</t>
        </is>
      </c>
      <c r="C1569" s="5" t="inlineStr">
        <is>
          <t>2024-04-19</t>
        </is>
      </c>
      <c r="D1569" s="11" t="n">
        <v>27.53</v>
      </c>
      <c r="E1569" s="11" t="n">
        <v>25</v>
      </c>
      <c r="F1569" s="11">
        <f>ROUND(D1569-E1569,2)</f>
        <v/>
      </c>
      <c r="G1569" s="13">
        <f>IFERROR(ROUND(F1569/E1569,4),"")</f>
        <v/>
      </c>
      <c r="H1569" s="14">
        <f>IF(D1569=0,"NO DATA",IF(D1569&gt;E1569*1.5,"OVER",IF(D1569&gt;E1569*1.1,"HIGH",IF(D1569&lt;E1569*0.5,"LOW","OK"))))</f>
        <v/>
      </c>
    </row>
    <row r="1570" ht="22" customHeight="1">
      <c r="B1570" s="8" t="inlineStr">
        <is>
          <t>MTR-PRC-005</t>
        </is>
      </c>
      <c r="C1570" s="8" t="inlineStr">
        <is>
          <t>2024-04-20</t>
        </is>
      </c>
      <c r="D1570" s="12" t="n">
        <v>17.64</v>
      </c>
      <c r="E1570" s="12" t="n">
        <v>25</v>
      </c>
      <c r="F1570" s="12">
        <f>ROUND(D1570-E1570,2)</f>
        <v/>
      </c>
      <c r="G1570" s="15">
        <f>IFERROR(ROUND(F1570/E1570,4),"")</f>
        <v/>
      </c>
      <c r="H1570" s="16">
        <f>IF(D1570=0,"NO DATA",IF(D1570&gt;E1570*1.5,"OVER",IF(D1570&gt;E1570*1.1,"HIGH",IF(D1570&lt;E1570*0.5,"LOW","OK"))))</f>
        <v/>
      </c>
    </row>
    <row r="1571" ht="22" customHeight="1">
      <c r="B1571" s="5" t="inlineStr">
        <is>
          <t>MTR-PRC-005</t>
        </is>
      </c>
      <c r="C1571" s="5" t="inlineStr">
        <is>
          <t>2024-04-21</t>
        </is>
      </c>
      <c r="D1571" s="11" t="n">
        <v>12.66</v>
      </c>
      <c r="E1571" s="11" t="n">
        <v>25</v>
      </c>
      <c r="F1571" s="11">
        <f>ROUND(D1571-E1571,2)</f>
        <v/>
      </c>
      <c r="G1571" s="13">
        <f>IFERROR(ROUND(F1571/E1571,4),"")</f>
        <v/>
      </c>
      <c r="H1571" s="14">
        <f>IF(D1571=0,"NO DATA",IF(D1571&gt;E1571*1.5,"OVER",IF(D1571&gt;E1571*1.1,"HIGH",IF(D1571&lt;E1571*0.5,"LOW","OK"))))</f>
        <v/>
      </c>
    </row>
    <row r="1572" ht="22" customHeight="1">
      <c r="B1572" s="8" t="inlineStr">
        <is>
          <t>MTR-PRC-005</t>
        </is>
      </c>
      <c r="C1572" s="8" t="inlineStr">
        <is>
          <t>2024-04-22</t>
        </is>
      </c>
      <c r="D1572" s="12" t="n">
        <v>23.42</v>
      </c>
      <c r="E1572" s="12" t="n">
        <v>25</v>
      </c>
      <c r="F1572" s="12">
        <f>ROUND(D1572-E1572,2)</f>
        <v/>
      </c>
      <c r="G1572" s="15">
        <f>IFERROR(ROUND(F1572/E1572,4),"")</f>
        <v/>
      </c>
      <c r="H1572" s="16">
        <f>IF(D1572=0,"NO DATA",IF(D1572&gt;E1572*1.5,"OVER",IF(D1572&gt;E1572*1.1,"HIGH",IF(D1572&lt;E1572*0.5,"LOW","OK"))))</f>
        <v/>
      </c>
    </row>
    <row r="1573" ht="22" customHeight="1">
      <c r="B1573" s="5" t="inlineStr">
        <is>
          <t>MTR-PRC-005</t>
        </is>
      </c>
      <c r="C1573" s="5" t="inlineStr">
        <is>
          <t>2024-04-23</t>
        </is>
      </c>
      <c r="D1573" s="11" t="n">
        <v>26.18</v>
      </c>
      <c r="E1573" s="11" t="n">
        <v>25</v>
      </c>
      <c r="F1573" s="11">
        <f>ROUND(D1573-E1573,2)</f>
        <v/>
      </c>
      <c r="G1573" s="13">
        <f>IFERROR(ROUND(F1573/E1573,4),"")</f>
        <v/>
      </c>
      <c r="H1573" s="14">
        <f>IF(D1573=0,"NO DATA",IF(D1573&gt;E1573*1.5,"OVER",IF(D1573&gt;E1573*1.1,"HIGH",IF(D1573&lt;E1573*0.5,"LOW","OK"))))</f>
        <v/>
      </c>
    </row>
    <row r="1574" ht="22" customHeight="1">
      <c r="B1574" s="8" t="inlineStr">
        <is>
          <t>MTR-PRC-005</t>
        </is>
      </c>
      <c r="C1574" s="8" t="inlineStr">
        <is>
          <t>2024-04-24</t>
        </is>
      </c>
      <c r="D1574" s="12" t="n">
        <v>25.91</v>
      </c>
      <c r="E1574" s="12" t="n">
        <v>25</v>
      </c>
      <c r="F1574" s="12">
        <f>ROUND(D1574-E1574,2)</f>
        <v/>
      </c>
      <c r="G1574" s="15">
        <f>IFERROR(ROUND(F1574/E1574,4),"")</f>
        <v/>
      </c>
      <c r="H1574" s="16">
        <f>IF(D1574=0,"NO DATA",IF(D1574&gt;E1574*1.5,"OVER",IF(D1574&gt;E1574*1.1,"HIGH",IF(D1574&lt;E1574*0.5,"LOW","OK"))))</f>
        <v/>
      </c>
    </row>
    <row r="1575" ht="22" customHeight="1">
      <c r="B1575" s="5" t="inlineStr">
        <is>
          <t>MTR-PRC-005</t>
        </is>
      </c>
      <c r="C1575" s="5" t="inlineStr">
        <is>
          <t>2024-04-25</t>
        </is>
      </c>
      <c r="D1575" s="11" t="n">
        <v>23.03</v>
      </c>
      <c r="E1575" s="11" t="n">
        <v>25</v>
      </c>
      <c r="F1575" s="11">
        <f>ROUND(D1575-E1575,2)</f>
        <v/>
      </c>
      <c r="G1575" s="13">
        <f>IFERROR(ROUND(F1575/E1575,4),"")</f>
        <v/>
      </c>
      <c r="H1575" s="14">
        <f>IF(D1575=0,"NO DATA",IF(D1575&gt;E1575*1.5,"OVER",IF(D1575&gt;E1575*1.1,"HIGH",IF(D1575&lt;E1575*0.5,"LOW","OK"))))</f>
        <v/>
      </c>
    </row>
    <row r="1576" ht="22" customHeight="1">
      <c r="B1576" s="8" t="inlineStr">
        <is>
          <t>MTR-PRC-005</t>
        </is>
      </c>
      <c r="C1576" s="8" t="inlineStr">
        <is>
          <t>2024-04-26</t>
        </is>
      </c>
      <c r="D1576" s="12" t="n">
        <v>28.84</v>
      </c>
      <c r="E1576" s="12" t="n">
        <v>25</v>
      </c>
      <c r="F1576" s="12">
        <f>ROUND(D1576-E1576,2)</f>
        <v/>
      </c>
      <c r="G1576" s="15">
        <f>IFERROR(ROUND(F1576/E1576,4),"")</f>
        <v/>
      </c>
      <c r="H1576" s="16">
        <f>IF(D1576=0,"NO DATA",IF(D1576&gt;E1576*1.5,"OVER",IF(D1576&gt;E1576*1.1,"HIGH",IF(D1576&lt;E1576*0.5,"LOW","OK"))))</f>
        <v/>
      </c>
    </row>
    <row r="1577" ht="22" customHeight="1">
      <c r="B1577" s="5" t="inlineStr">
        <is>
          <t>MTR-PRC-005</t>
        </is>
      </c>
      <c r="C1577" s="5" t="inlineStr">
        <is>
          <t>2024-04-27</t>
        </is>
      </c>
      <c r="D1577" s="11" t="n">
        <v>18.4</v>
      </c>
      <c r="E1577" s="11" t="n">
        <v>25</v>
      </c>
      <c r="F1577" s="11">
        <f>ROUND(D1577-E1577,2)</f>
        <v/>
      </c>
      <c r="G1577" s="13">
        <f>IFERROR(ROUND(F1577/E1577,4),"")</f>
        <v/>
      </c>
      <c r="H1577" s="14">
        <f>IF(D1577=0,"NO DATA",IF(D1577&gt;E1577*1.5,"OVER",IF(D1577&gt;E1577*1.1,"HIGH",IF(D1577&lt;E1577*0.5,"LOW","OK"))))</f>
        <v/>
      </c>
    </row>
    <row r="1578" ht="22" customHeight="1">
      <c r="B1578" s="8" t="inlineStr">
        <is>
          <t>MTR-PRC-005</t>
        </is>
      </c>
      <c r="C1578" s="8" t="inlineStr">
        <is>
          <t>2024-04-28</t>
        </is>
      </c>
      <c r="D1578" s="12" t="n">
        <v>13.03</v>
      </c>
      <c r="E1578" s="12" t="n">
        <v>25</v>
      </c>
      <c r="F1578" s="12">
        <f>ROUND(D1578-E1578,2)</f>
        <v/>
      </c>
      <c r="G1578" s="15">
        <f>IFERROR(ROUND(F1578/E1578,4),"")</f>
        <v/>
      </c>
      <c r="H1578" s="16">
        <f>IF(D1578=0,"NO DATA",IF(D1578&gt;E1578*1.5,"OVER",IF(D1578&gt;E1578*1.1,"HIGH",IF(D1578&lt;E1578*0.5,"LOW","OK"))))</f>
        <v/>
      </c>
    </row>
    <row r="1579" ht="22" customHeight="1">
      <c r="B1579" s="5" t="inlineStr">
        <is>
          <t>MTR-PRC-005</t>
        </is>
      </c>
      <c r="C1579" s="5" t="inlineStr">
        <is>
          <t>2024-04-29</t>
        </is>
      </c>
      <c r="D1579" s="11" t="n">
        <v>22.7</v>
      </c>
      <c r="E1579" s="11" t="n">
        <v>25</v>
      </c>
      <c r="F1579" s="11">
        <f>ROUND(D1579-E1579,2)</f>
        <v/>
      </c>
      <c r="G1579" s="13">
        <f>IFERROR(ROUND(F1579/E1579,4),"")</f>
        <v/>
      </c>
      <c r="H1579" s="14">
        <f>IF(D1579=0,"NO DATA",IF(D1579&gt;E1579*1.5,"OVER",IF(D1579&gt;E1579*1.1,"HIGH",IF(D1579&lt;E1579*0.5,"LOW","OK"))))</f>
        <v/>
      </c>
    </row>
    <row r="1580" ht="22" customHeight="1">
      <c r="B1580" s="8" t="inlineStr">
        <is>
          <t>MTR-PRC-005</t>
        </is>
      </c>
      <c r="C1580" s="8" t="inlineStr">
        <is>
          <t>2024-04-30</t>
        </is>
      </c>
      <c r="D1580" s="12" t="n">
        <v>24.39</v>
      </c>
      <c r="E1580" s="12" t="n">
        <v>25</v>
      </c>
      <c r="F1580" s="12">
        <f>ROUND(D1580-E1580,2)</f>
        <v/>
      </c>
      <c r="G1580" s="15">
        <f>IFERROR(ROUND(F1580/E1580,4),"")</f>
        <v/>
      </c>
      <c r="H1580" s="16">
        <f>IF(D1580=0,"NO DATA",IF(D1580&gt;E1580*1.5,"OVER",IF(D1580&gt;E1580*1.1,"HIGH",IF(D1580&lt;E1580*0.5,"LOW","OK"))))</f>
        <v/>
      </c>
    </row>
    <row r="1581" ht="22" customHeight="1">
      <c r="B1581" s="5" t="inlineStr">
        <is>
          <t>MTR-PRC-005</t>
        </is>
      </c>
      <c r="C1581" s="5" t="inlineStr">
        <is>
          <t>2024-05-01</t>
        </is>
      </c>
      <c r="D1581" s="11" t="n">
        <v>24.72</v>
      </c>
      <c r="E1581" s="11" t="n">
        <v>25</v>
      </c>
      <c r="F1581" s="11">
        <f>ROUND(D1581-E1581,2)</f>
        <v/>
      </c>
      <c r="G1581" s="13">
        <f>IFERROR(ROUND(F1581/E1581,4),"")</f>
        <v/>
      </c>
      <c r="H1581" s="14">
        <f>IF(D1581=0,"NO DATA",IF(D1581&gt;E1581*1.5,"OVER",IF(D1581&gt;E1581*1.1,"HIGH",IF(D1581&lt;E1581*0.5,"LOW","OK"))))</f>
        <v/>
      </c>
    </row>
    <row r="1582" ht="22" customHeight="1">
      <c r="B1582" s="8" t="inlineStr">
        <is>
          <t>MTR-PRC-005</t>
        </is>
      </c>
      <c r="C1582" s="8" t="inlineStr">
        <is>
          <t>2024-05-02</t>
        </is>
      </c>
      <c r="D1582" s="12" t="n">
        <v>25.83</v>
      </c>
      <c r="E1582" s="12" t="n">
        <v>25</v>
      </c>
      <c r="F1582" s="12">
        <f>ROUND(D1582-E1582,2)</f>
        <v/>
      </c>
      <c r="G1582" s="15">
        <f>IFERROR(ROUND(F1582/E1582,4),"")</f>
        <v/>
      </c>
      <c r="H1582" s="16">
        <f>IF(D1582=0,"NO DATA",IF(D1582&gt;E1582*1.5,"OVER",IF(D1582&gt;E1582*1.1,"HIGH",IF(D1582&lt;E1582*0.5,"LOW","OK"))))</f>
        <v/>
      </c>
    </row>
    <row r="1583" ht="22" customHeight="1">
      <c r="B1583" s="5" t="inlineStr">
        <is>
          <t>MTR-PRC-005</t>
        </is>
      </c>
      <c r="C1583" s="5" t="inlineStr">
        <is>
          <t>2024-05-03</t>
        </is>
      </c>
      <c r="D1583" s="11" t="n">
        <v>22.52</v>
      </c>
      <c r="E1583" s="11" t="n">
        <v>25</v>
      </c>
      <c r="F1583" s="11">
        <f>ROUND(D1583-E1583,2)</f>
        <v/>
      </c>
      <c r="G1583" s="13">
        <f>IFERROR(ROUND(F1583/E1583,4),"")</f>
        <v/>
      </c>
      <c r="H1583" s="14">
        <f>IF(D1583=0,"NO DATA",IF(D1583&gt;E1583*1.5,"OVER",IF(D1583&gt;E1583*1.1,"HIGH",IF(D1583&lt;E1583*0.5,"LOW","OK"))))</f>
        <v/>
      </c>
    </row>
    <row r="1584" ht="22" customHeight="1">
      <c r="B1584" s="8" t="inlineStr">
        <is>
          <t>MTR-PRC-005</t>
        </is>
      </c>
      <c r="C1584" s="8" t="inlineStr">
        <is>
          <t>2024-05-04</t>
        </is>
      </c>
      <c r="D1584" s="12" t="n">
        <v>18.28</v>
      </c>
      <c r="E1584" s="12" t="n">
        <v>25</v>
      </c>
      <c r="F1584" s="12">
        <f>ROUND(D1584-E1584,2)</f>
        <v/>
      </c>
      <c r="G1584" s="15">
        <f>IFERROR(ROUND(F1584/E1584,4),"")</f>
        <v/>
      </c>
      <c r="H1584" s="16">
        <f>IF(D1584=0,"NO DATA",IF(D1584&gt;E1584*1.5,"OVER",IF(D1584&gt;E1584*1.1,"HIGH",IF(D1584&lt;E1584*0.5,"LOW","OK"))))</f>
        <v/>
      </c>
    </row>
    <row r="1585" ht="22" customHeight="1">
      <c r="B1585" s="5" t="inlineStr">
        <is>
          <t>MTR-PRC-005</t>
        </is>
      </c>
      <c r="C1585" s="5" t="inlineStr">
        <is>
          <t>2024-05-05</t>
        </is>
      </c>
      <c r="D1585" s="11" t="n">
        <v>14.17</v>
      </c>
      <c r="E1585" s="11" t="n">
        <v>25</v>
      </c>
      <c r="F1585" s="11">
        <f>ROUND(D1585-E1585,2)</f>
        <v/>
      </c>
      <c r="G1585" s="13">
        <f>IFERROR(ROUND(F1585/E1585,4),"")</f>
        <v/>
      </c>
      <c r="H1585" s="14">
        <f>IF(D1585=0,"NO DATA",IF(D1585&gt;E1585*1.5,"OVER",IF(D1585&gt;E1585*1.1,"HIGH",IF(D1585&lt;E1585*0.5,"LOW","OK"))))</f>
        <v/>
      </c>
    </row>
    <row r="1586" ht="22" customHeight="1">
      <c r="B1586" s="8" t="inlineStr">
        <is>
          <t>MTR-PRC-005</t>
        </is>
      </c>
      <c r="C1586" s="8" t="inlineStr">
        <is>
          <t>2024-05-06</t>
        </is>
      </c>
      <c r="D1586" s="12" t="n">
        <v>22.3</v>
      </c>
      <c r="E1586" s="12" t="n">
        <v>25</v>
      </c>
      <c r="F1586" s="12">
        <f>ROUND(D1586-E1586,2)</f>
        <v/>
      </c>
      <c r="G1586" s="15">
        <f>IFERROR(ROUND(F1586/E1586,4),"")</f>
        <v/>
      </c>
      <c r="H1586" s="16">
        <f>IF(D1586=0,"NO DATA",IF(D1586&gt;E1586*1.5,"OVER",IF(D1586&gt;E1586*1.1,"HIGH",IF(D1586&lt;E1586*0.5,"LOW","OK"))))</f>
        <v/>
      </c>
    </row>
    <row r="1587" ht="22" customHeight="1">
      <c r="B1587" s="5" t="inlineStr">
        <is>
          <t>MTR-PRC-005</t>
        </is>
      </c>
      <c r="C1587" s="5" t="inlineStr">
        <is>
          <t>2024-05-07</t>
        </is>
      </c>
      <c r="D1587" s="11" t="n">
        <v>27.26</v>
      </c>
      <c r="E1587" s="11" t="n">
        <v>25</v>
      </c>
      <c r="F1587" s="11">
        <f>ROUND(D1587-E1587,2)</f>
        <v/>
      </c>
      <c r="G1587" s="13">
        <f>IFERROR(ROUND(F1587/E1587,4),"")</f>
        <v/>
      </c>
      <c r="H1587" s="14">
        <f>IF(D1587=0,"NO DATA",IF(D1587&gt;E1587*1.5,"OVER",IF(D1587&gt;E1587*1.1,"HIGH",IF(D1587&lt;E1587*0.5,"LOW","OK"))))</f>
        <v/>
      </c>
    </row>
    <row r="1588" ht="22" customHeight="1">
      <c r="B1588" s="8" t="inlineStr">
        <is>
          <t>MTR-PRC-005</t>
        </is>
      </c>
      <c r="C1588" s="8" t="inlineStr">
        <is>
          <t>2024-05-08</t>
        </is>
      </c>
      <c r="D1588" s="12" t="n">
        <v>29.48</v>
      </c>
      <c r="E1588" s="12" t="n">
        <v>25</v>
      </c>
      <c r="F1588" s="12">
        <f>ROUND(D1588-E1588,2)</f>
        <v/>
      </c>
      <c r="G1588" s="15">
        <f>IFERROR(ROUND(F1588/E1588,4),"")</f>
        <v/>
      </c>
      <c r="H1588" s="16">
        <f>IF(D1588=0,"NO DATA",IF(D1588&gt;E1588*1.5,"OVER",IF(D1588&gt;E1588*1.1,"HIGH",IF(D1588&lt;E1588*0.5,"LOW","OK"))))</f>
        <v/>
      </c>
    </row>
    <row r="1589" ht="22" customHeight="1">
      <c r="B1589" s="5" t="inlineStr">
        <is>
          <t>MTR-PRC-005</t>
        </is>
      </c>
      <c r="C1589" s="5" t="inlineStr">
        <is>
          <t>2024-05-09</t>
        </is>
      </c>
      <c r="D1589" s="11" t="n">
        <v>22.99</v>
      </c>
      <c r="E1589" s="11" t="n">
        <v>25</v>
      </c>
      <c r="F1589" s="11">
        <f>ROUND(D1589-E1589,2)</f>
        <v/>
      </c>
      <c r="G1589" s="13">
        <f>IFERROR(ROUND(F1589/E1589,4),"")</f>
        <v/>
      </c>
      <c r="H1589" s="14">
        <f>IF(D1589=0,"NO DATA",IF(D1589&gt;E1589*1.5,"OVER",IF(D1589&gt;E1589*1.1,"HIGH",IF(D1589&lt;E1589*0.5,"LOW","OK"))))</f>
        <v/>
      </c>
    </row>
    <row r="1590" ht="22" customHeight="1">
      <c r="B1590" s="8" t="inlineStr">
        <is>
          <t>MTR-PRC-005</t>
        </is>
      </c>
      <c r="C1590" s="8" t="inlineStr">
        <is>
          <t>2024-05-10</t>
        </is>
      </c>
      <c r="D1590" s="12" t="n">
        <v>22.72</v>
      </c>
      <c r="E1590" s="12" t="n">
        <v>25</v>
      </c>
      <c r="F1590" s="12">
        <f>ROUND(D1590-E1590,2)</f>
        <v/>
      </c>
      <c r="G1590" s="15">
        <f>IFERROR(ROUND(F1590/E1590,4),"")</f>
        <v/>
      </c>
      <c r="H1590" s="16">
        <f>IF(D1590=0,"NO DATA",IF(D1590&gt;E1590*1.5,"OVER",IF(D1590&gt;E1590*1.1,"HIGH",IF(D1590&lt;E1590*0.5,"LOW","OK"))))</f>
        <v/>
      </c>
    </row>
    <row r="1591" ht="22" customHeight="1">
      <c r="B1591" s="5" t="inlineStr">
        <is>
          <t>MTR-PRC-005</t>
        </is>
      </c>
      <c r="C1591" s="5" t="inlineStr">
        <is>
          <t>2024-05-11</t>
        </is>
      </c>
      <c r="D1591" s="11" t="n">
        <v>18.78</v>
      </c>
      <c r="E1591" s="11" t="n">
        <v>25</v>
      </c>
      <c r="F1591" s="11">
        <f>ROUND(D1591-E1591,2)</f>
        <v/>
      </c>
      <c r="G1591" s="13">
        <f>IFERROR(ROUND(F1591/E1591,4),"")</f>
        <v/>
      </c>
      <c r="H1591" s="14">
        <f>IF(D1591=0,"NO DATA",IF(D1591&gt;E1591*1.5,"OVER",IF(D1591&gt;E1591*1.1,"HIGH",IF(D1591&lt;E1591*0.5,"LOW","OK"))))</f>
        <v/>
      </c>
    </row>
    <row r="1592" ht="22" customHeight="1">
      <c r="B1592" s="8" t="inlineStr">
        <is>
          <t>MTR-PRC-005</t>
        </is>
      </c>
      <c r="C1592" s="8" t="inlineStr">
        <is>
          <t>2024-05-12</t>
        </is>
      </c>
      <c r="D1592" s="12" t="n">
        <v>12.05</v>
      </c>
      <c r="E1592" s="12" t="n">
        <v>25</v>
      </c>
      <c r="F1592" s="12">
        <f>ROUND(D1592-E1592,2)</f>
        <v/>
      </c>
      <c r="G1592" s="15">
        <f>IFERROR(ROUND(F1592/E1592,4),"")</f>
        <v/>
      </c>
      <c r="H1592" s="16">
        <f>IF(D1592=0,"NO DATA",IF(D1592&gt;E1592*1.5,"OVER",IF(D1592&gt;E1592*1.1,"HIGH",IF(D1592&lt;E1592*0.5,"LOW","OK"))))</f>
        <v/>
      </c>
    </row>
    <row r="1593" ht="22" customHeight="1">
      <c r="B1593" s="5" t="inlineStr">
        <is>
          <t>MTR-PRC-005</t>
        </is>
      </c>
      <c r="C1593" s="5" t="inlineStr">
        <is>
          <t>2024-05-13</t>
        </is>
      </c>
      <c r="D1593" s="11" t="n">
        <v>27.58</v>
      </c>
      <c r="E1593" s="11" t="n">
        <v>25</v>
      </c>
      <c r="F1593" s="11">
        <f>ROUND(D1593-E1593,2)</f>
        <v/>
      </c>
      <c r="G1593" s="13">
        <f>IFERROR(ROUND(F1593/E1593,4),"")</f>
        <v/>
      </c>
      <c r="H1593" s="14">
        <f>IF(D1593=0,"NO DATA",IF(D1593&gt;E1593*1.5,"OVER",IF(D1593&gt;E1593*1.1,"HIGH",IF(D1593&lt;E1593*0.5,"LOW","OK"))))</f>
        <v/>
      </c>
    </row>
    <row r="1594" ht="22" customHeight="1">
      <c r="B1594" s="8" t="inlineStr">
        <is>
          <t>MTR-PRC-005</t>
        </is>
      </c>
      <c r="C1594" s="8" t="inlineStr">
        <is>
          <t>2024-05-14</t>
        </is>
      </c>
      <c r="D1594" s="12" t="n">
        <v>24.85</v>
      </c>
      <c r="E1594" s="12" t="n">
        <v>25</v>
      </c>
      <c r="F1594" s="12">
        <f>ROUND(D1594-E1594,2)</f>
        <v/>
      </c>
      <c r="G1594" s="15">
        <f>IFERROR(ROUND(F1594/E1594,4),"")</f>
        <v/>
      </c>
      <c r="H1594" s="16">
        <f>IF(D1594=0,"NO DATA",IF(D1594&gt;E1594*1.5,"OVER",IF(D1594&gt;E1594*1.1,"HIGH",IF(D1594&lt;E1594*0.5,"LOW","OK"))))</f>
        <v/>
      </c>
    </row>
    <row r="1595" ht="22" customHeight="1">
      <c r="B1595" s="5" t="inlineStr">
        <is>
          <t>MTR-PRC-005</t>
        </is>
      </c>
      <c r="C1595" s="5" t="inlineStr">
        <is>
          <t>2024-05-15</t>
        </is>
      </c>
      <c r="D1595" s="11" t="n">
        <v>28.77</v>
      </c>
      <c r="E1595" s="11" t="n">
        <v>25</v>
      </c>
      <c r="F1595" s="11">
        <f>ROUND(D1595-E1595,2)</f>
        <v/>
      </c>
      <c r="G1595" s="13">
        <f>IFERROR(ROUND(F1595/E1595,4),"")</f>
        <v/>
      </c>
      <c r="H1595" s="14">
        <f>IF(D1595=0,"NO DATA",IF(D1595&gt;E1595*1.5,"OVER",IF(D1595&gt;E1595*1.1,"HIGH",IF(D1595&lt;E1595*0.5,"LOW","OK"))))</f>
        <v/>
      </c>
    </row>
    <row r="1596" ht="22" customHeight="1">
      <c r="B1596" s="8" t="inlineStr">
        <is>
          <t>MTR-PRC-005</t>
        </is>
      </c>
      <c r="C1596" s="8" t="inlineStr">
        <is>
          <t>2024-05-16</t>
        </is>
      </c>
      <c r="D1596" s="12" t="n">
        <v>24.11</v>
      </c>
      <c r="E1596" s="12" t="n">
        <v>25</v>
      </c>
      <c r="F1596" s="12">
        <f>ROUND(D1596-E1596,2)</f>
        <v/>
      </c>
      <c r="G1596" s="15">
        <f>IFERROR(ROUND(F1596/E1596,4),"")</f>
        <v/>
      </c>
      <c r="H1596" s="16">
        <f>IF(D1596=0,"NO DATA",IF(D1596&gt;E1596*1.5,"OVER",IF(D1596&gt;E1596*1.1,"HIGH",IF(D1596&lt;E1596*0.5,"LOW","OK"))))</f>
        <v/>
      </c>
    </row>
    <row r="1597" ht="22" customHeight="1">
      <c r="B1597" s="5" t="inlineStr">
        <is>
          <t>MTR-PRC-005</t>
        </is>
      </c>
      <c r="C1597" s="5" t="inlineStr">
        <is>
          <t>2024-05-17</t>
        </is>
      </c>
      <c r="D1597" s="11" t="n">
        <v>24.89</v>
      </c>
      <c r="E1597" s="11" t="n">
        <v>25</v>
      </c>
      <c r="F1597" s="11">
        <f>ROUND(D1597-E1597,2)</f>
        <v/>
      </c>
      <c r="G1597" s="13">
        <f>IFERROR(ROUND(F1597/E1597,4),"")</f>
        <v/>
      </c>
      <c r="H1597" s="14">
        <f>IF(D1597=0,"NO DATA",IF(D1597&gt;E1597*1.5,"OVER",IF(D1597&gt;E1597*1.1,"HIGH",IF(D1597&lt;E1597*0.5,"LOW","OK"))))</f>
        <v/>
      </c>
    </row>
    <row r="1598" ht="22" customHeight="1">
      <c r="B1598" s="8" t="inlineStr">
        <is>
          <t>MTR-PRC-005</t>
        </is>
      </c>
      <c r="C1598" s="8" t="inlineStr">
        <is>
          <t>2024-05-18</t>
        </is>
      </c>
      <c r="D1598" s="12" t="n">
        <v>23.57</v>
      </c>
      <c r="E1598" s="12" t="n">
        <v>25</v>
      </c>
      <c r="F1598" s="12">
        <f>ROUND(D1598-E1598,2)</f>
        <v/>
      </c>
      <c r="G1598" s="15">
        <f>IFERROR(ROUND(F1598/E1598,4),"")</f>
        <v/>
      </c>
      <c r="H1598" s="16">
        <f>IF(D1598=0,"NO DATA",IF(D1598&gt;E1598*1.5,"OVER",IF(D1598&gt;E1598*1.1,"HIGH",IF(D1598&lt;E1598*0.5,"LOW","OK"))))</f>
        <v/>
      </c>
    </row>
    <row r="1599" ht="22" customHeight="1">
      <c r="B1599" s="5" t="inlineStr">
        <is>
          <t>MTR-PRC-005</t>
        </is>
      </c>
      <c r="C1599" s="5" t="inlineStr">
        <is>
          <t>2024-05-19</t>
        </is>
      </c>
      <c r="D1599" s="11" t="n">
        <v>13.75</v>
      </c>
      <c r="E1599" s="11" t="n">
        <v>25</v>
      </c>
      <c r="F1599" s="11">
        <f>ROUND(D1599-E1599,2)</f>
        <v/>
      </c>
      <c r="G1599" s="13">
        <f>IFERROR(ROUND(F1599/E1599,4),"")</f>
        <v/>
      </c>
      <c r="H1599" s="14">
        <f>IF(D1599=0,"NO DATA",IF(D1599&gt;E1599*1.5,"OVER",IF(D1599&gt;E1599*1.1,"HIGH",IF(D1599&lt;E1599*0.5,"LOW","OK"))))</f>
        <v/>
      </c>
    </row>
    <row r="1600" ht="22" customHeight="1">
      <c r="B1600" s="8" t="inlineStr">
        <is>
          <t>MTR-PRC-005</t>
        </is>
      </c>
      <c r="C1600" s="8" t="inlineStr">
        <is>
          <t>2024-05-20</t>
        </is>
      </c>
      <c r="D1600" s="12" t="n">
        <v>25.54</v>
      </c>
      <c r="E1600" s="12" t="n">
        <v>25</v>
      </c>
      <c r="F1600" s="12">
        <f>ROUND(D1600-E1600,2)</f>
        <v/>
      </c>
      <c r="G1600" s="15">
        <f>IFERROR(ROUND(F1600/E1600,4),"")</f>
        <v/>
      </c>
      <c r="H1600" s="16">
        <f>IF(D1600=0,"NO DATA",IF(D1600&gt;E1600*1.5,"OVER",IF(D1600&gt;E1600*1.1,"HIGH",IF(D1600&lt;E1600*0.5,"LOW","OK"))))</f>
        <v/>
      </c>
    </row>
    <row r="1601" ht="22" customHeight="1">
      <c r="B1601" s="5" t="inlineStr">
        <is>
          <t>MTR-PRC-005</t>
        </is>
      </c>
      <c r="C1601" s="5" t="inlineStr">
        <is>
          <t>2024-05-21</t>
        </is>
      </c>
      <c r="D1601" s="11" t="n">
        <v>26.76</v>
      </c>
      <c r="E1601" s="11" t="n">
        <v>25</v>
      </c>
      <c r="F1601" s="11">
        <f>ROUND(D1601-E1601,2)</f>
        <v/>
      </c>
      <c r="G1601" s="13">
        <f>IFERROR(ROUND(F1601/E1601,4),"")</f>
        <v/>
      </c>
      <c r="H1601" s="14">
        <f>IF(D1601=0,"NO DATA",IF(D1601&gt;E1601*1.5,"OVER",IF(D1601&gt;E1601*1.1,"HIGH",IF(D1601&lt;E1601*0.5,"LOW","OK"))))</f>
        <v/>
      </c>
    </row>
    <row r="1602" ht="22" customHeight="1">
      <c r="B1602" s="8" t="inlineStr">
        <is>
          <t>MTR-PRC-005</t>
        </is>
      </c>
      <c r="C1602" s="8" t="inlineStr">
        <is>
          <t>2024-05-22</t>
        </is>
      </c>
      <c r="D1602" s="12" t="n">
        <v>26.29</v>
      </c>
      <c r="E1602" s="12" t="n">
        <v>25</v>
      </c>
      <c r="F1602" s="12">
        <f>ROUND(D1602-E1602,2)</f>
        <v/>
      </c>
      <c r="G1602" s="15">
        <f>IFERROR(ROUND(F1602/E1602,4),"")</f>
        <v/>
      </c>
      <c r="H1602" s="16">
        <f>IF(D1602=0,"NO DATA",IF(D1602&gt;E1602*1.5,"OVER",IF(D1602&gt;E1602*1.1,"HIGH",IF(D1602&lt;E1602*0.5,"LOW","OK"))))</f>
        <v/>
      </c>
    </row>
    <row r="1603" ht="22" customHeight="1">
      <c r="B1603" s="5" t="inlineStr">
        <is>
          <t>MTR-PRC-005</t>
        </is>
      </c>
      <c r="C1603" s="5" t="inlineStr">
        <is>
          <t>2024-05-23</t>
        </is>
      </c>
      <c r="D1603" s="11" t="n">
        <v>27.09</v>
      </c>
      <c r="E1603" s="11" t="n">
        <v>25</v>
      </c>
      <c r="F1603" s="11">
        <f>ROUND(D1603-E1603,2)</f>
        <v/>
      </c>
      <c r="G1603" s="13">
        <f>IFERROR(ROUND(F1603/E1603,4),"")</f>
        <v/>
      </c>
      <c r="H1603" s="14">
        <f>IF(D1603=0,"NO DATA",IF(D1603&gt;E1603*1.5,"OVER",IF(D1603&gt;E1603*1.1,"HIGH",IF(D1603&lt;E1603*0.5,"LOW","OK"))))</f>
        <v/>
      </c>
    </row>
    <row r="1604" ht="22" customHeight="1">
      <c r="B1604" s="8" t="inlineStr">
        <is>
          <t>MTR-PRC-005</t>
        </is>
      </c>
      <c r="C1604" s="8" t="inlineStr">
        <is>
          <t>2024-05-24</t>
        </is>
      </c>
      <c r="D1604" s="12" t="n">
        <v>25.6</v>
      </c>
      <c r="E1604" s="12" t="n">
        <v>25</v>
      </c>
      <c r="F1604" s="12">
        <f>ROUND(D1604-E1604,2)</f>
        <v/>
      </c>
      <c r="G1604" s="15">
        <f>IFERROR(ROUND(F1604/E1604,4),"")</f>
        <v/>
      </c>
      <c r="H1604" s="16">
        <f>IF(D1604=0,"NO DATA",IF(D1604&gt;E1604*1.5,"OVER",IF(D1604&gt;E1604*1.1,"HIGH",IF(D1604&lt;E1604*0.5,"LOW","OK"))))</f>
        <v/>
      </c>
    </row>
    <row r="1605" ht="22" customHeight="1">
      <c r="B1605" s="5" t="inlineStr">
        <is>
          <t>MTR-PRC-005</t>
        </is>
      </c>
      <c r="C1605" s="5" t="inlineStr">
        <is>
          <t>2024-05-25</t>
        </is>
      </c>
      <c r="D1605" s="11" t="n">
        <v>23.37</v>
      </c>
      <c r="E1605" s="11" t="n">
        <v>25</v>
      </c>
      <c r="F1605" s="11">
        <f>ROUND(D1605-E1605,2)</f>
        <v/>
      </c>
      <c r="G1605" s="13">
        <f>IFERROR(ROUND(F1605/E1605,4),"")</f>
        <v/>
      </c>
      <c r="H1605" s="14">
        <f>IF(D1605=0,"NO DATA",IF(D1605&gt;E1605*1.5,"OVER",IF(D1605&gt;E1605*1.1,"HIGH",IF(D1605&lt;E1605*0.5,"LOW","OK"))))</f>
        <v/>
      </c>
    </row>
    <row r="1606" ht="22" customHeight="1">
      <c r="B1606" s="8" t="inlineStr">
        <is>
          <t>MTR-PRC-005</t>
        </is>
      </c>
      <c r="C1606" s="8" t="inlineStr">
        <is>
          <t>2024-05-26</t>
        </is>
      </c>
      <c r="D1606" s="12" t="n">
        <v>15.04</v>
      </c>
      <c r="E1606" s="12" t="n">
        <v>25</v>
      </c>
      <c r="F1606" s="12">
        <f>ROUND(D1606-E1606,2)</f>
        <v/>
      </c>
      <c r="G1606" s="15">
        <f>IFERROR(ROUND(F1606/E1606,4),"")</f>
        <v/>
      </c>
      <c r="H1606" s="16">
        <f>IF(D1606=0,"NO DATA",IF(D1606&gt;E1606*1.5,"OVER",IF(D1606&gt;E1606*1.1,"HIGH",IF(D1606&lt;E1606*0.5,"LOW","OK"))))</f>
        <v/>
      </c>
    </row>
    <row r="1607" ht="22" customHeight="1">
      <c r="B1607" s="5" t="inlineStr">
        <is>
          <t>MTR-PRC-005</t>
        </is>
      </c>
      <c r="C1607" s="5" t="inlineStr">
        <is>
          <t>2024-05-27</t>
        </is>
      </c>
      <c r="D1607" s="11" t="n">
        <v>24.84</v>
      </c>
      <c r="E1607" s="11" t="n">
        <v>25</v>
      </c>
      <c r="F1607" s="11">
        <f>ROUND(D1607-E1607,2)</f>
        <v/>
      </c>
      <c r="G1607" s="13">
        <f>IFERROR(ROUND(F1607/E1607,4),"")</f>
        <v/>
      </c>
      <c r="H1607" s="14">
        <f>IF(D1607=0,"NO DATA",IF(D1607&gt;E1607*1.5,"OVER",IF(D1607&gt;E1607*1.1,"HIGH",IF(D1607&lt;E1607*0.5,"LOW","OK"))))</f>
        <v/>
      </c>
    </row>
    <row r="1608" ht="22" customHeight="1">
      <c r="B1608" s="8" t="inlineStr">
        <is>
          <t>MTR-PRC-005</t>
        </is>
      </c>
      <c r="C1608" s="8" t="inlineStr">
        <is>
          <t>2024-05-28</t>
        </is>
      </c>
      <c r="D1608" s="12" t="n">
        <v>27.12</v>
      </c>
      <c r="E1608" s="12" t="n">
        <v>25</v>
      </c>
      <c r="F1608" s="12">
        <f>ROUND(D1608-E1608,2)</f>
        <v/>
      </c>
      <c r="G1608" s="15">
        <f>IFERROR(ROUND(F1608/E1608,4),"")</f>
        <v/>
      </c>
      <c r="H1608" s="16">
        <f>IF(D1608=0,"NO DATA",IF(D1608&gt;E1608*1.5,"OVER",IF(D1608&gt;E1608*1.1,"HIGH",IF(D1608&lt;E1608*0.5,"LOW","OK"))))</f>
        <v/>
      </c>
    </row>
    <row r="1609" ht="22" customHeight="1">
      <c r="B1609" s="5" t="inlineStr">
        <is>
          <t>MTR-PRC-005</t>
        </is>
      </c>
      <c r="C1609" s="5" t="inlineStr">
        <is>
          <t>2024-05-29</t>
        </is>
      </c>
      <c r="D1609" s="11" t="n">
        <v>24.12</v>
      </c>
      <c r="E1609" s="11" t="n">
        <v>25</v>
      </c>
      <c r="F1609" s="11">
        <f>ROUND(D1609-E1609,2)</f>
        <v/>
      </c>
      <c r="G1609" s="13">
        <f>IFERROR(ROUND(F1609/E1609,4),"")</f>
        <v/>
      </c>
      <c r="H1609" s="14">
        <f>IF(D1609=0,"NO DATA",IF(D1609&gt;E1609*1.5,"OVER",IF(D1609&gt;E1609*1.1,"HIGH",IF(D1609&lt;E1609*0.5,"LOW","OK"))))</f>
        <v/>
      </c>
    </row>
    <row r="1610" ht="22" customHeight="1">
      <c r="B1610" s="8" t="inlineStr">
        <is>
          <t>MTR-PRC-005</t>
        </is>
      </c>
      <c r="C1610" s="8" t="inlineStr">
        <is>
          <t>2024-05-30</t>
        </is>
      </c>
      <c r="D1610" s="12" t="n">
        <v>27.25</v>
      </c>
      <c r="E1610" s="12" t="n">
        <v>25</v>
      </c>
      <c r="F1610" s="12">
        <f>ROUND(D1610-E1610,2)</f>
        <v/>
      </c>
      <c r="G1610" s="15">
        <f>IFERROR(ROUND(F1610/E1610,4),"")</f>
        <v/>
      </c>
      <c r="H1610" s="16">
        <f>IF(D1610=0,"NO DATA",IF(D1610&gt;E1610*1.5,"OVER",IF(D1610&gt;E1610*1.1,"HIGH",IF(D1610&lt;E1610*0.5,"LOW","OK"))))</f>
        <v/>
      </c>
    </row>
    <row r="1611" ht="22" customHeight="1">
      <c r="B1611" s="5" t="inlineStr">
        <is>
          <t>MTR-PRC-005</t>
        </is>
      </c>
      <c r="C1611" s="5" t="inlineStr">
        <is>
          <t>2024-05-31</t>
        </is>
      </c>
      <c r="D1611" s="11" t="n">
        <v>25.48</v>
      </c>
      <c r="E1611" s="11" t="n">
        <v>25</v>
      </c>
      <c r="F1611" s="11">
        <f>ROUND(D1611-E1611,2)</f>
        <v/>
      </c>
      <c r="G1611" s="13">
        <f>IFERROR(ROUND(F1611/E1611,4),"")</f>
        <v/>
      </c>
      <c r="H1611" s="14">
        <f>IF(D1611=0,"NO DATA",IF(D1611&gt;E1611*1.5,"OVER",IF(D1611&gt;E1611*1.1,"HIGH",IF(D1611&lt;E1611*0.5,"LOW","OK"))))</f>
        <v/>
      </c>
    </row>
    <row r="1612" ht="22" customHeight="1">
      <c r="B1612" s="8" t="inlineStr">
        <is>
          <t>MTR-PRC-005</t>
        </is>
      </c>
      <c r="C1612" s="8" t="inlineStr">
        <is>
          <t>2024-06-01</t>
        </is>
      </c>
      <c r="D1612" s="12" t="n">
        <v>23.03</v>
      </c>
      <c r="E1612" s="12" t="n">
        <v>25</v>
      </c>
      <c r="F1612" s="12">
        <f>ROUND(D1612-E1612,2)</f>
        <v/>
      </c>
      <c r="G1612" s="15">
        <f>IFERROR(ROUND(F1612/E1612,4),"")</f>
        <v/>
      </c>
      <c r="H1612" s="16">
        <f>IF(D1612=0,"NO DATA",IF(D1612&gt;E1612*1.5,"OVER",IF(D1612&gt;E1612*1.1,"HIGH",IF(D1612&lt;E1612*0.5,"LOW","OK"))))</f>
        <v/>
      </c>
    </row>
    <row r="1613" ht="22" customHeight="1">
      <c r="B1613" s="5" t="inlineStr">
        <is>
          <t>MTR-PRC-005</t>
        </is>
      </c>
      <c r="C1613" s="5" t="inlineStr">
        <is>
          <t>2024-06-02</t>
        </is>
      </c>
      <c r="D1613" s="11" t="n">
        <v>12.66</v>
      </c>
      <c r="E1613" s="11" t="n">
        <v>25</v>
      </c>
      <c r="F1613" s="11">
        <f>ROUND(D1613-E1613,2)</f>
        <v/>
      </c>
      <c r="G1613" s="13">
        <f>IFERROR(ROUND(F1613/E1613,4),"")</f>
        <v/>
      </c>
      <c r="H1613" s="14">
        <f>IF(D1613=0,"NO DATA",IF(D1613&gt;E1613*1.5,"OVER",IF(D1613&gt;E1613*1.1,"HIGH",IF(D1613&lt;E1613*0.5,"LOW","OK"))))</f>
        <v/>
      </c>
    </row>
    <row r="1614" ht="22" customHeight="1">
      <c r="B1614" s="8" t="inlineStr">
        <is>
          <t>MTR-PRC-005</t>
        </is>
      </c>
      <c r="C1614" s="8" t="inlineStr">
        <is>
          <t>2024-06-03</t>
        </is>
      </c>
      <c r="D1614" s="12" t="n">
        <v>23.1</v>
      </c>
      <c r="E1614" s="12" t="n">
        <v>25</v>
      </c>
      <c r="F1614" s="12">
        <f>ROUND(D1614-E1614,2)</f>
        <v/>
      </c>
      <c r="G1614" s="15">
        <f>IFERROR(ROUND(F1614/E1614,4),"")</f>
        <v/>
      </c>
      <c r="H1614" s="16">
        <f>IF(D1614=0,"NO DATA",IF(D1614&gt;E1614*1.5,"OVER",IF(D1614&gt;E1614*1.1,"HIGH",IF(D1614&lt;E1614*0.5,"LOW","OK"))))</f>
        <v/>
      </c>
    </row>
    <row r="1615" ht="22" customHeight="1">
      <c r="B1615" s="5" t="inlineStr">
        <is>
          <t>MTR-PRC-005</t>
        </is>
      </c>
      <c r="C1615" s="5" t="inlineStr">
        <is>
          <t>2024-06-04</t>
        </is>
      </c>
      <c r="D1615" s="11" t="n">
        <v>30.43</v>
      </c>
      <c r="E1615" s="11" t="n">
        <v>25</v>
      </c>
      <c r="F1615" s="11">
        <f>ROUND(D1615-E1615,2)</f>
        <v/>
      </c>
      <c r="G1615" s="13">
        <f>IFERROR(ROUND(F1615/E1615,4),"")</f>
        <v/>
      </c>
      <c r="H1615" s="14">
        <f>IF(D1615=0,"NO DATA",IF(D1615&gt;E1615*1.5,"OVER",IF(D1615&gt;E1615*1.1,"HIGH",IF(D1615&lt;E1615*0.5,"LOW","OK"))))</f>
        <v/>
      </c>
    </row>
    <row r="1616" ht="22" customHeight="1">
      <c r="B1616" s="8" t="inlineStr">
        <is>
          <t>MTR-PRC-005</t>
        </is>
      </c>
      <c r="C1616" s="8" t="inlineStr">
        <is>
          <t>2024-06-05</t>
        </is>
      </c>
      <c r="D1616" s="12" t="n">
        <v>23.1</v>
      </c>
      <c r="E1616" s="12" t="n">
        <v>25</v>
      </c>
      <c r="F1616" s="12">
        <f>ROUND(D1616-E1616,2)</f>
        <v/>
      </c>
      <c r="G1616" s="15">
        <f>IFERROR(ROUND(F1616/E1616,4),"")</f>
        <v/>
      </c>
      <c r="H1616" s="16">
        <f>IF(D1616=0,"NO DATA",IF(D1616&gt;E1616*1.5,"OVER",IF(D1616&gt;E1616*1.1,"HIGH",IF(D1616&lt;E1616*0.5,"LOW","OK"))))</f>
        <v/>
      </c>
    </row>
    <row r="1617" ht="22" customHeight="1">
      <c r="B1617" s="5" t="inlineStr">
        <is>
          <t>MTR-PRC-005</t>
        </is>
      </c>
      <c r="C1617" s="5" t="inlineStr">
        <is>
          <t>2024-06-06</t>
        </is>
      </c>
      <c r="D1617" s="11" t="n">
        <v>26.29</v>
      </c>
      <c r="E1617" s="11" t="n">
        <v>25</v>
      </c>
      <c r="F1617" s="11">
        <f>ROUND(D1617-E1617,2)</f>
        <v/>
      </c>
      <c r="G1617" s="13">
        <f>IFERROR(ROUND(F1617/E1617,4),"")</f>
        <v/>
      </c>
      <c r="H1617" s="14">
        <f>IF(D1617=0,"NO DATA",IF(D1617&gt;E1617*1.5,"OVER",IF(D1617&gt;E1617*1.1,"HIGH",IF(D1617&lt;E1617*0.5,"LOW","OK"))))</f>
        <v/>
      </c>
    </row>
    <row r="1618" ht="22" customHeight="1">
      <c r="B1618" s="8" t="inlineStr">
        <is>
          <t>MTR-PRC-005</t>
        </is>
      </c>
      <c r="C1618" s="8" t="inlineStr">
        <is>
          <t>2024-06-07</t>
        </is>
      </c>
      <c r="D1618" s="12" t="n">
        <v>23.8</v>
      </c>
      <c r="E1618" s="12" t="n">
        <v>25</v>
      </c>
      <c r="F1618" s="12">
        <f>ROUND(D1618-E1618,2)</f>
        <v/>
      </c>
      <c r="G1618" s="15">
        <f>IFERROR(ROUND(F1618/E1618,4),"")</f>
        <v/>
      </c>
      <c r="H1618" s="16">
        <f>IF(D1618=0,"NO DATA",IF(D1618&gt;E1618*1.5,"OVER",IF(D1618&gt;E1618*1.1,"HIGH",IF(D1618&lt;E1618*0.5,"LOW","OK"))))</f>
        <v/>
      </c>
    </row>
    <row r="1619" ht="22" customHeight="1">
      <c r="B1619" s="5" t="inlineStr">
        <is>
          <t>MTR-PRC-005</t>
        </is>
      </c>
      <c r="C1619" s="5" t="inlineStr">
        <is>
          <t>2024-06-08</t>
        </is>
      </c>
      <c r="D1619" s="11" t="n">
        <v>19.09</v>
      </c>
      <c r="E1619" s="11" t="n">
        <v>25</v>
      </c>
      <c r="F1619" s="11">
        <f>ROUND(D1619-E1619,2)</f>
        <v/>
      </c>
      <c r="G1619" s="13">
        <f>IFERROR(ROUND(F1619/E1619,4),"")</f>
        <v/>
      </c>
      <c r="H1619" s="14">
        <f>IF(D1619=0,"NO DATA",IF(D1619&gt;E1619*1.5,"OVER",IF(D1619&gt;E1619*1.1,"HIGH",IF(D1619&lt;E1619*0.5,"LOW","OK"))))</f>
        <v/>
      </c>
    </row>
    <row r="1620" ht="22" customHeight="1">
      <c r="B1620" s="8" t="inlineStr">
        <is>
          <t>MTR-PRC-005</t>
        </is>
      </c>
      <c r="C1620" s="8" t="inlineStr">
        <is>
          <t>2024-06-09</t>
        </is>
      </c>
      <c r="D1620" s="12" t="n">
        <v>13.24</v>
      </c>
      <c r="E1620" s="12" t="n">
        <v>25</v>
      </c>
      <c r="F1620" s="12">
        <f>ROUND(D1620-E1620,2)</f>
        <v/>
      </c>
      <c r="G1620" s="15">
        <f>IFERROR(ROUND(F1620/E1620,4),"")</f>
        <v/>
      </c>
      <c r="H1620" s="16">
        <f>IF(D1620=0,"NO DATA",IF(D1620&gt;E1620*1.5,"OVER",IF(D1620&gt;E1620*1.1,"HIGH",IF(D1620&lt;E1620*0.5,"LOW","OK"))))</f>
        <v/>
      </c>
    </row>
    <row r="1621" ht="22" customHeight="1">
      <c r="B1621" s="5" t="inlineStr">
        <is>
          <t>MTR-PRC-005</t>
        </is>
      </c>
      <c r="C1621" s="5" t="inlineStr">
        <is>
          <t>2024-06-10</t>
        </is>
      </c>
      <c r="D1621" s="11" t="n">
        <v>22.82</v>
      </c>
      <c r="E1621" s="11" t="n">
        <v>25</v>
      </c>
      <c r="F1621" s="11">
        <f>ROUND(D1621-E1621,2)</f>
        <v/>
      </c>
      <c r="G1621" s="13">
        <f>IFERROR(ROUND(F1621/E1621,4),"")</f>
        <v/>
      </c>
      <c r="H1621" s="14">
        <f>IF(D1621=0,"NO DATA",IF(D1621&gt;E1621*1.5,"OVER",IF(D1621&gt;E1621*1.1,"HIGH",IF(D1621&lt;E1621*0.5,"LOW","OK"))))</f>
        <v/>
      </c>
    </row>
    <row r="1622" ht="22" customHeight="1">
      <c r="B1622" s="8" t="inlineStr">
        <is>
          <t>MTR-PRC-005</t>
        </is>
      </c>
      <c r="C1622" s="8" t="inlineStr">
        <is>
          <t>2024-06-11</t>
        </is>
      </c>
      <c r="D1622" s="12" t="n">
        <v>23.84</v>
      </c>
      <c r="E1622" s="12" t="n">
        <v>25</v>
      </c>
      <c r="F1622" s="12">
        <f>ROUND(D1622-E1622,2)</f>
        <v/>
      </c>
      <c r="G1622" s="15">
        <f>IFERROR(ROUND(F1622/E1622,4),"")</f>
        <v/>
      </c>
      <c r="H1622" s="16">
        <f>IF(D1622=0,"NO DATA",IF(D1622&gt;E1622*1.5,"OVER",IF(D1622&gt;E1622*1.1,"HIGH",IF(D1622&lt;E1622*0.5,"LOW","OK"))))</f>
        <v/>
      </c>
    </row>
    <row r="1623" ht="22" customHeight="1">
      <c r="B1623" s="5" t="inlineStr">
        <is>
          <t>MTR-PRC-005</t>
        </is>
      </c>
      <c r="C1623" s="5" t="inlineStr">
        <is>
          <t>2024-06-12</t>
        </is>
      </c>
      <c r="D1623" s="11" t="n">
        <v>28.64</v>
      </c>
      <c r="E1623" s="11" t="n">
        <v>25</v>
      </c>
      <c r="F1623" s="11">
        <f>ROUND(D1623-E1623,2)</f>
        <v/>
      </c>
      <c r="G1623" s="13">
        <f>IFERROR(ROUND(F1623/E1623,4),"")</f>
        <v/>
      </c>
      <c r="H1623" s="14">
        <f>IF(D1623=0,"NO DATA",IF(D1623&gt;E1623*1.5,"OVER",IF(D1623&gt;E1623*1.1,"HIGH",IF(D1623&lt;E1623*0.5,"LOW","OK"))))</f>
        <v/>
      </c>
    </row>
    <row r="1624" ht="22" customHeight="1">
      <c r="B1624" s="8" t="inlineStr">
        <is>
          <t>MTR-PRC-005</t>
        </is>
      </c>
      <c r="C1624" s="8" t="inlineStr">
        <is>
          <t>2024-06-13</t>
        </is>
      </c>
      <c r="D1624" s="12" t="n">
        <v>29.47</v>
      </c>
      <c r="E1624" s="12" t="n">
        <v>25</v>
      </c>
      <c r="F1624" s="12">
        <f>ROUND(D1624-E1624,2)</f>
        <v/>
      </c>
      <c r="G1624" s="15">
        <f>IFERROR(ROUND(F1624/E1624,4),"")</f>
        <v/>
      </c>
      <c r="H1624" s="16">
        <f>IF(D1624=0,"NO DATA",IF(D1624&gt;E1624*1.5,"OVER",IF(D1624&gt;E1624*1.1,"HIGH",IF(D1624&lt;E1624*0.5,"LOW","OK"))))</f>
        <v/>
      </c>
    </row>
    <row r="1625" ht="22" customHeight="1">
      <c r="B1625" s="5" t="inlineStr">
        <is>
          <t>MTR-PRC-005</t>
        </is>
      </c>
      <c r="C1625" s="5" t="inlineStr">
        <is>
          <t>2024-06-14</t>
        </is>
      </c>
      <c r="D1625" s="11" t="n">
        <v>26.56</v>
      </c>
      <c r="E1625" s="11" t="n">
        <v>25</v>
      </c>
      <c r="F1625" s="11">
        <f>ROUND(D1625-E1625,2)</f>
        <v/>
      </c>
      <c r="G1625" s="13">
        <f>IFERROR(ROUND(F1625/E1625,4),"")</f>
        <v/>
      </c>
      <c r="H1625" s="14">
        <f>IF(D1625=0,"NO DATA",IF(D1625&gt;E1625*1.5,"OVER",IF(D1625&gt;E1625*1.1,"HIGH",IF(D1625&lt;E1625*0.5,"LOW","OK"))))</f>
        <v/>
      </c>
    </row>
    <row r="1626" ht="22" customHeight="1">
      <c r="B1626" s="8" t="inlineStr">
        <is>
          <t>MTR-PRC-005</t>
        </is>
      </c>
      <c r="C1626" s="8" t="inlineStr">
        <is>
          <t>2024-06-15</t>
        </is>
      </c>
      <c r="D1626" s="12" t="n">
        <v>21.47</v>
      </c>
      <c r="E1626" s="12" t="n">
        <v>25</v>
      </c>
      <c r="F1626" s="12">
        <f>ROUND(D1626-E1626,2)</f>
        <v/>
      </c>
      <c r="G1626" s="15">
        <f>IFERROR(ROUND(F1626/E1626,4),"")</f>
        <v/>
      </c>
      <c r="H1626" s="16">
        <f>IF(D1626=0,"NO DATA",IF(D1626&gt;E1626*1.5,"OVER",IF(D1626&gt;E1626*1.1,"HIGH",IF(D1626&lt;E1626*0.5,"LOW","OK"))))</f>
        <v/>
      </c>
    </row>
    <row r="1627" ht="22" customHeight="1">
      <c r="B1627" s="5" t="inlineStr">
        <is>
          <t>MTR-PRC-005</t>
        </is>
      </c>
      <c r="C1627" s="5" t="inlineStr">
        <is>
          <t>2024-06-16</t>
        </is>
      </c>
      <c r="D1627" s="11" t="n">
        <v>12.04</v>
      </c>
      <c r="E1627" s="11" t="n">
        <v>25</v>
      </c>
      <c r="F1627" s="11">
        <f>ROUND(D1627-E1627,2)</f>
        <v/>
      </c>
      <c r="G1627" s="13">
        <f>IFERROR(ROUND(F1627/E1627,4),"")</f>
        <v/>
      </c>
      <c r="H1627" s="14">
        <f>IF(D1627=0,"NO DATA",IF(D1627&gt;E1627*1.5,"OVER",IF(D1627&gt;E1627*1.1,"HIGH",IF(D1627&lt;E1627*0.5,"LOW","OK"))))</f>
        <v/>
      </c>
    </row>
    <row r="1628" ht="22" customHeight="1">
      <c r="B1628" s="8" t="inlineStr">
        <is>
          <t>MTR-PRC-005</t>
        </is>
      </c>
      <c r="C1628" s="8" t="inlineStr">
        <is>
          <t>2024-06-17</t>
        </is>
      </c>
      <c r="D1628" s="12" t="n">
        <v>23.61</v>
      </c>
      <c r="E1628" s="12" t="n">
        <v>25</v>
      </c>
      <c r="F1628" s="12">
        <f>ROUND(D1628-E1628,2)</f>
        <v/>
      </c>
      <c r="G1628" s="15">
        <f>IFERROR(ROUND(F1628/E1628,4),"")</f>
        <v/>
      </c>
      <c r="H1628" s="16">
        <f>IF(D1628=0,"NO DATA",IF(D1628&gt;E1628*1.5,"OVER",IF(D1628&gt;E1628*1.1,"HIGH",IF(D1628&lt;E1628*0.5,"LOW","OK"))))</f>
        <v/>
      </c>
    </row>
    <row r="1629" ht="22" customHeight="1">
      <c r="B1629" s="5" t="inlineStr">
        <is>
          <t>MTR-PRC-005</t>
        </is>
      </c>
      <c r="C1629" s="5" t="inlineStr">
        <is>
          <t>2024-06-18</t>
        </is>
      </c>
      <c r="D1629" s="11" t="n">
        <v>22.89</v>
      </c>
      <c r="E1629" s="11" t="n">
        <v>25</v>
      </c>
      <c r="F1629" s="11">
        <f>ROUND(D1629-E1629,2)</f>
        <v/>
      </c>
      <c r="G1629" s="13">
        <f>IFERROR(ROUND(F1629/E1629,4),"")</f>
        <v/>
      </c>
      <c r="H1629" s="14">
        <f>IF(D1629=0,"NO DATA",IF(D1629&gt;E1629*1.5,"OVER",IF(D1629&gt;E1629*1.1,"HIGH",IF(D1629&lt;E1629*0.5,"LOW","OK"))))</f>
        <v/>
      </c>
    </row>
    <row r="1630" ht="22" customHeight="1">
      <c r="B1630" s="8" t="inlineStr">
        <is>
          <t>MTR-PRC-005</t>
        </is>
      </c>
      <c r="C1630" s="8" t="inlineStr">
        <is>
          <t>2024-06-19</t>
        </is>
      </c>
      <c r="D1630" s="12" t="n">
        <v>30.47</v>
      </c>
      <c r="E1630" s="12" t="n">
        <v>25</v>
      </c>
      <c r="F1630" s="12">
        <f>ROUND(D1630-E1630,2)</f>
        <v/>
      </c>
      <c r="G1630" s="15">
        <f>IFERROR(ROUND(F1630/E1630,4),"")</f>
        <v/>
      </c>
      <c r="H1630" s="16">
        <f>IF(D1630=0,"NO DATA",IF(D1630&gt;E1630*1.5,"OVER",IF(D1630&gt;E1630*1.1,"HIGH",IF(D1630&lt;E1630*0.5,"LOW","OK"))))</f>
        <v/>
      </c>
    </row>
    <row r="1631" ht="22" customHeight="1">
      <c r="B1631" s="5" t="inlineStr">
        <is>
          <t>MTR-PRC-005</t>
        </is>
      </c>
      <c r="C1631" s="5" t="inlineStr">
        <is>
          <t>2024-06-20</t>
        </is>
      </c>
      <c r="D1631" s="11" t="n">
        <v>25.22</v>
      </c>
      <c r="E1631" s="11" t="n">
        <v>25</v>
      </c>
      <c r="F1631" s="11">
        <f>ROUND(D1631-E1631,2)</f>
        <v/>
      </c>
      <c r="G1631" s="13">
        <f>IFERROR(ROUND(F1631/E1631,4),"")</f>
        <v/>
      </c>
      <c r="H1631" s="14">
        <f>IF(D1631=0,"NO DATA",IF(D1631&gt;E1631*1.5,"OVER",IF(D1631&gt;E1631*1.1,"HIGH",IF(D1631&lt;E1631*0.5,"LOW","OK"))))</f>
        <v/>
      </c>
    </row>
    <row r="1632" ht="22" customHeight="1">
      <c r="B1632" s="8" t="inlineStr">
        <is>
          <t>MTR-PRC-005</t>
        </is>
      </c>
      <c r="C1632" s="8" t="inlineStr">
        <is>
          <t>2024-06-21</t>
        </is>
      </c>
      <c r="D1632" s="12" t="n">
        <v>28.82</v>
      </c>
      <c r="E1632" s="12" t="n">
        <v>25</v>
      </c>
      <c r="F1632" s="12">
        <f>ROUND(D1632-E1632,2)</f>
        <v/>
      </c>
      <c r="G1632" s="15">
        <f>IFERROR(ROUND(F1632/E1632,4),"")</f>
        <v/>
      </c>
      <c r="H1632" s="16">
        <f>IF(D1632=0,"NO DATA",IF(D1632&gt;E1632*1.5,"OVER",IF(D1632&gt;E1632*1.1,"HIGH",IF(D1632&lt;E1632*0.5,"LOW","OK"))))</f>
        <v/>
      </c>
    </row>
    <row r="1633" ht="22" customHeight="1">
      <c r="B1633" s="5" t="inlineStr">
        <is>
          <t>MTR-PRC-005</t>
        </is>
      </c>
      <c r="C1633" s="5" t="inlineStr">
        <is>
          <t>2024-06-22</t>
        </is>
      </c>
      <c r="D1633" s="11" t="n">
        <v>19.84</v>
      </c>
      <c r="E1633" s="11" t="n">
        <v>25</v>
      </c>
      <c r="F1633" s="11">
        <f>ROUND(D1633-E1633,2)</f>
        <v/>
      </c>
      <c r="G1633" s="13">
        <f>IFERROR(ROUND(F1633/E1633,4),"")</f>
        <v/>
      </c>
      <c r="H1633" s="14">
        <f>IF(D1633=0,"NO DATA",IF(D1633&gt;E1633*1.5,"OVER",IF(D1633&gt;E1633*1.1,"HIGH",IF(D1633&lt;E1633*0.5,"LOW","OK"))))</f>
        <v/>
      </c>
    </row>
    <row r="1634" ht="22" customHeight="1">
      <c r="B1634" s="8" t="inlineStr">
        <is>
          <t>MTR-PRC-005</t>
        </is>
      </c>
      <c r="C1634" s="8" t="inlineStr">
        <is>
          <t>2024-06-23</t>
        </is>
      </c>
      <c r="D1634" s="12" t="n">
        <v>15.67</v>
      </c>
      <c r="E1634" s="12" t="n">
        <v>25</v>
      </c>
      <c r="F1634" s="12">
        <f>ROUND(D1634-E1634,2)</f>
        <v/>
      </c>
      <c r="G1634" s="15">
        <f>IFERROR(ROUND(F1634/E1634,4),"")</f>
        <v/>
      </c>
      <c r="H1634" s="16">
        <f>IF(D1634=0,"NO DATA",IF(D1634&gt;E1634*1.5,"OVER",IF(D1634&gt;E1634*1.1,"HIGH",IF(D1634&lt;E1634*0.5,"LOW","OK"))))</f>
        <v/>
      </c>
    </row>
    <row r="1635" ht="22" customHeight="1">
      <c r="B1635" s="5" t="inlineStr">
        <is>
          <t>MTR-PRC-005</t>
        </is>
      </c>
      <c r="C1635" s="5" t="inlineStr">
        <is>
          <t>2024-06-24</t>
        </is>
      </c>
      <c r="D1635" s="11" t="n">
        <v>26.24</v>
      </c>
      <c r="E1635" s="11" t="n">
        <v>25</v>
      </c>
      <c r="F1635" s="11">
        <f>ROUND(D1635-E1635,2)</f>
        <v/>
      </c>
      <c r="G1635" s="13">
        <f>IFERROR(ROUND(F1635/E1635,4),"")</f>
        <v/>
      </c>
      <c r="H1635" s="14">
        <f>IF(D1635=0,"NO DATA",IF(D1635&gt;E1635*1.5,"OVER",IF(D1635&gt;E1635*1.1,"HIGH",IF(D1635&lt;E1635*0.5,"LOW","OK"))))</f>
        <v/>
      </c>
    </row>
    <row r="1636" ht="22" customHeight="1">
      <c r="B1636" s="8" t="inlineStr">
        <is>
          <t>MTR-PRC-005</t>
        </is>
      </c>
      <c r="C1636" s="8" t="inlineStr">
        <is>
          <t>2024-06-25</t>
        </is>
      </c>
      <c r="D1636" s="12" t="n">
        <v>24.8</v>
      </c>
      <c r="E1636" s="12" t="n">
        <v>25</v>
      </c>
      <c r="F1636" s="12">
        <f>ROUND(D1636-E1636,2)</f>
        <v/>
      </c>
      <c r="G1636" s="15">
        <f>IFERROR(ROUND(F1636/E1636,4),"")</f>
        <v/>
      </c>
      <c r="H1636" s="16">
        <f>IF(D1636=0,"NO DATA",IF(D1636&gt;E1636*1.5,"OVER",IF(D1636&gt;E1636*1.1,"HIGH",IF(D1636&lt;E1636*0.5,"LOW","OK"))))</f>
        <v/>
      </c>
    </row>
    <row r="1637" ht="22" customHeight="1">
      <c r="B1637" s="5" t="inlineStr">
        <is>
          <t>MTR-PRC-005</t>
        </is>
      </c>
      <c r="C1637" s="5" t="inlineStr">
        <is>
          <t>2024-06-26</t>
        </is>
      </c>
      <c r="D1637" s="11" t="n">
        <v>24.76</v>
      </c>
      <c r="E1637" s="11" t="n">
        <v>25</v>
      </c>
      <c r="F1637" s="11">
        <f>ROUND(D1637-E1637,2)</f>
        <v/>
      </c>
      <c r="G1637" s="13">
        <f>IFERROR(ROUND(F1637/E1637,4),"")</f>
        <v/>
      </c>
      <c r="H1637" s="14">
        <f>IF(D1637=0,"NO DATA",IF(D1637&gt;E1637*1.5,"OVER",IF(D1637&gt;E1637*1.1,"HIGH",IF(D1637&lt;E1637*0.5,"LOW","OK"))))</f>
        <v/>
      </c>
    </row>
    <row r="1638" ht="22" customHeight="1">
      <c r="B1638" s="8" t="inlineStr">
        <is>
          <t>MTR-PRC-005</t>
        </is>
      </c>
      <c r="C1638" s="8" t="inlineStr">
        <is>
          <t>2024-06-27</t>
        </is>
      </c>
      <c r="D1638" s="12" t="n">
        <v>25.34</v>
      </c>
      <c r="E1638" s="12" t="n">
        <v>25</v>
      </c>
      <c r="F1638" s="12">
        <f>ROUND(D1638-E1638,2)</f>
        <v/>
      </c>
      <c r="G1638" s="15">
        <f>IFERROR(ROUND(F1638/E1638,4),"")</f>
        <v/>
      </c>
      <c r="H1638" s="16">
        <f>IF(D1638=0,"NO DATA",IF(D1638&gt;E1638*1.5,"OVER",IF(D1638&gt;E1638*1.1,"HIGH",IF(D1638&lt;E1638*0.5,"LOW","OK"))))</f>
        <v/>
      </c>
    </row>
    <row r="1639" ht="22" customHeight="1">
      <c r="B1639" s="5" t="inlineStr">
        <is>
          <t>MTR-PRC-005</t>
        </is>
      </c>
      <c r="C1639" s="5" t="inlineStr">
        <is>
          <t>2024-06-28</t>
        </is>
      </c>
      <c r="D1639" s="11" t="n">
        <v>27.49</v>
      </c>
      <c r="E1639" s="11" t="n">
        <v>25</v>
      </c>
      <c r="F1639" s="11">
        <f>ROUND(D1639-E1639,2)</f>
        <v/>
      </c>
      <c r="G1639" s="13">
        <f>IFERROR(ROUND(F1639/E1639,4),"")</f>
        <v/>
      </c>
      <c r="H1639" s="14">
        <f>IF(D1639=0,"NO DATA",IF(D1639&gt;E1639*1.5,"OVER",IF(D1639&gt;E1639*1.1,"HIGH",IF(D1639&lt;E1639*0.5,"LOW","OK"))))</f>
        <v/>
      </c>
    </row>
    <row r="1640" ht="22" customHeight="1">
      <c r="B1640" s="8" t="inlineStr">
        <is>
          <t>MTR-PRC-005</t>
        </is>
      </c>
      <c r="C1640" s="8" t="inlineStr">
        <is>
          <t>2024-06-29</t>
        </is>
      </c>
      <c r="D1640" s="12" t="n">
        <v>18.93</v>
      </c>
      <c r="E1640" s="12" t="n">
        <v>25</v>
      </c>
      <c r="F1640" s="12">
        <f>ROUND(D1640-E1640,2)</f>
        <v/>
      </c>
      <c r="G1640" s="15">
        <f>IFERROR(ROUND(F1640/E1640,4),"")</f>
        <v/>
      </c>
      <c r="H1640" s="16">
        <f>IF(D1640=0,"NO DATA",IF(D1640&gt;E1640*1.5,"OVER",IF(D1640&gt;E1640*1.1,"HIGH",IF(D1640&lt;E1640*0.5,"LOW","OK"))))</f>
        <v/>
      </c>
    </row>
    <row r="1641" ht="22" customHeight="1">
      <c r="B1641" s="5" t="inlineStr">
        <is>
          <t>MTR-PRC-005</t>
        </is>
      </c>
      <c r="C1641" s="5" t="inlineStr">
        <is>
          <t>2024-06-30</t>
        </is>
      </c>
      <c r="D1641" s="11" t="n">
        <v>13.17</v>
      </c>
      <c r="E1641" s="11" t="n">
        <v>25</v>
      </c>
      <c r="F1641" s="11">
        <f>ROUND(D1641-E1641,2)</f>
        <v/>
      </c>
      <c r="G1641" s="13">
        <f>IFERROR(ROUND(F1641/E1641,4),"")</f>
        <v/>
      </c>
      <c r="H1641" s="14">
        <f>IF(D1641=0,"NO DATA",IF(D1641&gt;E1641*1.5,"OVER",IF(D1641&gt;E1641*1.1,"HIGH",IF(D1641&lt;E1641*0.5,"LOW","OK"))))</f>
        <v/>
      </c>
    </row>
    <row r="1642" ht="22" customHeight="1">
      <c r="B1642" s="8" t="inlineStr">
        <is>
          <t>MTR-PRC-005</t>
        </is>
      </c>
      <c r="C1642" s="8" t="inlineStr">
        <is>
          <t>2024-07-01</t>
        </is>
      </c>
      <c r="D1642" s="12" t="n">
        <v>26.59</v>
      </c>
      <c r="E1642" s="12" t="n">
        <v>25</v>
      </c>
      <c r="F1642" s="12">
        <f>ROUND(D1642-E1642,2)</f>
        <v/>
      </c>
      <c r="G1642" s="15">
        <f>IFERROR(ROUND(F1642/E1642,4),"")</f>
        <v/>
      </c>
      <c r="H1642" s="16">
        <f>IF(D1642=0,"NO DATA",IF(D1642&gt;E1642*1.5,"OVER",IF(D1642&gt;E1642*1.1,"HIGH",IF(D1642&lt;E1642*0.5,"LOW","OK"))))</f>
        <v/>
      </c>
    </row>
    <row r="1643" ht="22" customHeight="1">
      <c r="B1643" s="5" t="inlineStr">
        <is>
          <t>MTR-PRC-005</t>
        </is>
      </c>
      <c r="C1643" s="5" t="inlineStr">
        <is>
          <t>2024-07-02</t>
        </is>
      </c>
      <c r="D1643" s="11" t="n">
        <v>25.61</v>
      </c>
      <c r="E1643" s="11" t="n">
        <v>25</v>
      </c>
      <c r="F1643" s="11">
        <f>ROUND(D1643-E1643,2)</f>
        <v/>
      </c>
      <c r="G1643" s="13">
        <f>IFERROR(ROUND(F1643/E1643,4),"")</f>
        <v/>
      </c>
      <c r="H1643" s="14">
        <f>IF(D1643=0,"NO DATA",IF(D1643&gt;E1643*1.5,"OVER",IF(D1643&gt;E1643*1.1,"HIGH",IF(D1643&lt;E1643*0.5,"LOW","OK"))))</f>
        <v/>
      </c>
    </row>
    <row r="1644" ht="22" customHeight="1">
      <c r="B1644" s="8" t="inlineStr">
        <is>
          <t>MTR-PRC-005</t>
        </is>
      </c>
      <c r="C1644" s="8" t="inlineStr">
        <is>
          <t>2024-07-03</t>
        </is>
      </c>
      <c r="D1644" s="12" t="n">
        <v>25.4</v>
      </c>
      <c r="E1644" s="12" t="n">
        <v>25</v>
      </c>
      <c r="F1644" s="12">
        <f>ROUND(D1644-E1644,2)</f>
        <v/>
      </c>
      <c r="G1644" s="15">
        <f>IFERROR(ROUND(F1644/E1644,4),"")</f>
        <v/>
      </c>
      <c r="H1644" s="16">
        <f>IF(D1644=0,"NO DATA",IF(D1644&gt;E1644*1.5,"OVER",IF(D1644&gt;E1644*1.1,"HIGH",IF(D1644&lt;E1644*0.5,"LOW","OK"))))</f>
        <v/>
      </c>
    </row>
    <row r="1645" ht="22" customHeight="1">
      <c r="B1645" s="5" t="inlineStr">
        <is>
          <t>MTR-PRC-005</t>
        </is>
      </c>
      <c r="C1645" s="5" t="inlineStr">
        <is>
          <t>2024-07-04</t>
        </is>
      </c>
      <c r="D1645" s="11" t="n">
        <v>24.6</v>
      </c>
      <c r="E1645" s="11" t="n">
        <v>25</v>
      </c>
      <c r="F1645" s="11">
        <f>ROUND(D1645-E1645,2)</f>
        <v/>
      </c>
      <c r="G1645" s="13">
        <f>IFERROR(ROUND(F1645/E1645,4),"")</f>
        <v/>
      </c>
      <c r="H1645" s="14">
        <f>IF(D1645=0,"NO DATA",IF(D1645&gt;E1645*1.5,"OVER",IF(D1645&gt;E1645*1.1,"HIGH",IF(D1645&lt;E1645*0.5,"LOW","OK"))))</f>
        <v/>
      </c>
    </row>
    <row r="1646" ht="22" customHeight="1">
      <c r="B1646" s="8" t="inlineStr">
        <is>
          <t>MTR-PRC-005</t>
        </is>
      </c>
      <c r="C1646" s="8" t="inlineStr">
        <is>
          <t>2024-07-05</t>
        </is>
      </c>
      <c r="D1646" s="12" t="n">
        <v>23.23</v>
      </c>
      <c r="E1646" s="12" t="n">
        <v>25</v>
      </c>
      <c r="F1646" s="12">
        <f>ROUND(D1646-E1646,2)</f>
        <v/>
      </c>
      <c r="G1646" s="15">
        <f>IFERROR(ROUND(F1646/E1646,4),"")</f>
        <v/>
      </c>
      <c r="H1646" s="16">
        <f>IF(D1646=0,"NO DATA",IF(D1646&gt;E1646*1.5,"OVER",IF(D1646&gt;E1646*1.1,"HIGH",IF(D1646&lt;E1646*0.5,"LOW","OK"))))</f>
        <v/>
      </c>
    </row>
    <row r="1647" ht="22" customHeight="1">
      <c r="B1647" s="5" t="inlineStr">
        <is>
          <t>MTR-PRC-005</t>
        </is>
      </c>
      <c r="C1647" s="5" t="inlineStr">
        <is>
          <t>2024-07-06</t>
        </is>
      </c>
      <c r="D1647" s="11" t="n">
        <v>19.17</v>
      </c>
      <c r="E1647" s="11" t="n">
        <v>25</v>
      </c>
      <c r="F1647" s="11">
        <f>ROUND(D1647-E1647,2)</f>
        <v/>
      </c>
      <c r="G1647" s="13">
        <f>IFERROR(ROUND(F1647/E1647,4),"")</f>
        <v/>
      </c>
      <c r="H1647" s="14">
        <f>IF(D1647=0,"NO DATA",IF(D1647&gt;E1647*1.5,"OVER",IF(D1647&gt;E1647*1.1,"HIGH",IF(D1647&lt;E1647*0.5,"LOW","OK"))))</f>
        <v/>
      </c>
    </row>
    <row r="1648" ht="22" customHeight="1">
      <c r="B1648" s="8" t="inlineStr">
        <is>
          <t>MTR-PRC-005</t>
        </is>
      </c>
      <c r="C1648" s="8" t="inlineStr">
        <is>
          <t>2024-07-07</t>
        </is>
      </c>
      <c r="D1648" s="12" t="n">
        <v>13.71</v>
      </c>
      <c r="E1648" s="12" t="n">
        <v>25</v>
      </c>
      <c r="F1648" s="12">
        <f>ROUND(D1648-E1648,2)</f>
        <v/>
      </c>
      <c r="G1648" s="15">
        <f>IFERROR(ROUND(F1648/E1648,4),"")</f>
        <v/>
      </c>
      <c r="H1648" s="16">
        <f>IF(D1648=0,"NO DATA",IF(D1648&gt;E1648*1.5,"OVER",IF(D1648&gt;E1648*1.1,"HIGH",IF(D1648&lt;E1648*0.5,"LOW","OK"))))</f>
        <v/>
      </c>
    </row>
    <row r="1649" ht="22" customHeight="1">
      <c r="B1649" s="5" t="inlineStr">
        <is>
          <t>MTR-PRC-005</t>
        </is>
      </c>
      <c r="C1649" s="5" t="inlineStr">
        <is>
          <t>2024-07-08</t>
        </is>
      </c>
      <c r="D1649" s="11" t="n">
        <v>29.36</v>
      </c>
      <c r="E1649" s="11" t="n">
        <v>25</v>
      </c>
      <c r="F1649" s="11">
        <f>ROUND(D1649-E1649,2)</f>
        <v/>
      </c>
      <c r="G1649" s="13">
        <f>IFERROR(ROUND(F1649/E1649,4),"")</f>
        <v/>
      </c>
      <c r="H1649" s="14">
        <f>IF(D1649=0,"NO DATA",IF(D1649&gt;E1649*1.5,"OVER",IF(D1649&gt;E1649*1.1,"HIGH",IF(D1649&lt;E1649*0.5,"LOW","OK"))))</f>
        <v/>
      </c>
    </row>
    <row r="1650" ht="22" customHeight="1">
      <c r="B1650" s="8" t="inlineStr">
        <is>
          <t>MTR-PRC-005</t>
        </is>
      </c>
      <c r="C1650" s="8" t="inlineStr">
        <is>
          <t>2024-07-09</t>
        </is>
      </c>
      <c r="D1650" s="12" t="n">
        <v>30.67</v>
      </c>
      <c r="E1650" s="12" t="n">
        <v>25</v>
      </c>
      <c r="F1650" s="12">
        <f>ROUND(D1650-E1650,2)</f>
        <v/>
      </c>
      <c r="G1650" s="15">
        <f>IFERROR(ROUND(F1650/E1650,4),"")</f>
        <v/>
      </c>
      <c r="H1650" s="16">
        <f>IF(D1650=0,"NO DATA",IF(D1650&gt;E1650*1.5,"OVER",IF(D1650&gt;E1650*1.1,"HIGH",IF(D1650&lt;E1650*0.5,"LOW","OK"))))</f>
        <v/>
      </c>
    </row>
    <row r="1651" ht="22" customHeight="1">
      <c r="B1651" s="5" t="inlineStr">
        <is>
          <t>MTR-PRC-005</t>
        </is>
      </c>
      <c r="C1651" s="5" t="inlineStr">
        <is>
          <t>2024-07-10</t>
        </is>
      </c>
      <c r="D1651" s="11" t="n">
        <v>24.85</v>
      </c>
      <c r="E1651" s="11" t="n">
        <v>25</v>
      </c>
      <c r="F1651" s="11">
        <f>ROUND(D1651-E1651,2)</f>
        <v/>
      </c>
      <c r="G1651" s="13">
        <f>IFERROR(ROUND(F1651/E1651,4),"")</f>
        <v/>
      </c>
      <c r="H1651" s="14">
        <f>IF(D1651=0,"NO DATA",IF(D1651&gt;E1651*1.5,"OVER",IF(D1651&gt;E1651*1.1,"HIGH",IF(D1651&lt;E1651*0.5,"LOW","OK"))))</f>
        <v/>
      </c>
    </row>
    <row r="1652" ht="22" customHeight="1">
      <c r="B1652" s="8" t="inlineStr">
        <is>
          <t>MTR-PRC-005</t>
        </is>
      </c>
      <c r="C1652" s="8" t="inlineStr">
        <is>
          <t>2024-07-11</t>
        </is>
      </c>
      <c r="D1652" s="12" t="n">
        <v>28.67</v>
      </c>
      <c r="E1652" s="12" t="n">
        <v>25</v>
      </c>
      <c r="F1652" s="12">
        <f>ROUND(D1652-E1652,2)</f>
        <v/>
      </c>
      <c r="G1652" s="15">
        <f>IFERROR(ROUND(F1652/E1652,4),"")</f>
        <v/>
      </c>
      <c r="H1652" s="16">
        <f>IF(D1652=0,"NO DATA",IF(D1652&gt;E1652*1.5,"OVER",IF(D1652&gt;E1652*1.1,"HIGH",IF(D1652&lt;E1652*0.5,"LOW","OK"))))</f>
        <v/>
      </c>
    </row>
    <row r="1653" ht="22" customHeight="1">
      <c r="B1653" s="5" t="inlineStr">
        <is>
          <t>MTR-PRC-005</t>
        </is>
      </c>
      <c r="C1653" s="5" t="inlineStr">
        <is>
          <t>2024-07-12</t>
        </is>
      </c>
      <c r="D1653" s="11" t="n">
        <v>27.59</v>
      </c>
      <c r="E1653" s="11" t="n">
        <v>25</v>
      </c>
      <c r="F1653" s="11">
        <f>ROUND(D1653-E1653,2)</f>
        <v/>
      </c>
      <c r="G1653" s="13">
        <f>IFERROR(ROUND(F1653/E1653,4),"")</f>
        <v/>
      </c>
      <c r="H1653" s="14">
        <f>IF(D1653=0,"NO DATA",IF(D1653&gt;E1653*1.5,"OVER",IF(D1653&gt;E1653*1.1,"HIGH",IF(D1653&lt;E1653*0.5,"LOW","OK"))))</f>
        <v/>
      </c>
    </row>
    <row r="1654" ht="22" customHeight="1">
      <c r="B1654" s="8" t="inlineStr">
        <is>
          <t>MTR-PRC-005</t>
        </is>
      </c>
      <c r="C1654" s="8" t="inlineStr">
        <is>
          <t>2024-07-13</t>
        </is>
      </c>
      <c r="D1654" s="12" t="n">
        <v>23.03</v>
      </c>
      <c r="E1654" s="12" t="n">
        <v>25</v>
      </c>
      <c r="F1654" s="12">
        <f>ROUND(D1654-E1654,2)</f>
        <v/>
      </c>
      <c r="G1654" s="15">
        <f>IFERROR(ROUND(F1654/E1654,4),"")</f>
        <v/>
      </c>
      <c r="H1654" s="16">
        <f>IF(D1654=0,"NO DATA",IF(D1654&gt;E1654*1.5,"OVER",IF(D1654&gt;E1654*1.1,"HIGH",IF(D1654&lt;E1654*0.5,"LOW","OK"))))</f>
        <v/>
      </c>
    </row>
    <row r="1655" ht="22" customHeight="1">
      <c r="B1655" s="5" t="inlineStr">
        <is>
          <t>MTR-PRC-005</t>
        </is>
      </c>
      <c r="C1655" s="5" t="inlineStr">
        <is>
          <t>2024-07-14</t>
        </is>
      </c>
      <c r="D1655" s="11" t="n">
        <v>12.64</v>
      </c>
      <c r="E1655" s="11" t="n">
        <v>25</v>
      </c>
      <c r="F1655" s="11">
        <f>ROUND(D1655-E1655,2)</f>
        <v/>
      </c>
      <c r="G1655" s="13">
        <f>IFERROR(ROUND(F1655/E1655,4),"")</f>
        <v/>
      </c>
      <c r="H1655" s="14">
        <f>IF(D1655=0,"NO DATA",IF(D1655&gt;E1655*1.5,"OVER",IF(D1655&gt;E1655*1.1,"HIGH",IF(D1655&lt;E1655*0.5,"LOW","OK"))))</f>
        <v/>
      </c>
    </row>
    <row r="1656" ht="22" customHeight="1">
      <c r="B1656" s="8" t="inlineStr">
        <is>
          <t>MTR-PRC-005</t>
        </is>
      </c>
      <c r="C1656" s="8" t="inlineStr">
        <is>
          <t>2024-07-15</t>
        </is>
      </c>
      <c r="D1656" s="12" t="n">
        <v>26.64</v>
      </c>
      <c r="E1656" s="12" t="n">
        <v>25</v>
      </c>
      <c r="F1656" s="12">
        <f>ROUND(D1656-E1656,2)</f>
        <v/>
      </c>
      <c r="G1656" s="15">
        <f>IFERROR(ROUND(F1656/E1656,4),"")</f>
        <v/>
      </c>
      <c r="H1656" s="16">
        <f>IF(D1656=0,"NO DATA",IF(D1656&gt;E1656*1.5,"OVER",IF(D1656&gt;E1656*1.1,"HIGH",IF(D1656&lt;E1656*0.5,"LOW","OK"))))</f>
        <v/>
      </c>
    </row>
    <row r="1657" ht="22" customHeight="1">
      <c r="B1657" s="5" t="inlineStr">
        <is>
          <t>MTR-PRC-005</t>
        </is>
      </c>
      <c r="C1657" s="5" t="inlineStr">
        <is>
          <t>2024-07-16</t>
        </is>
      </c>
      <c r="D1657" s="11" t="n">
        <v>28.2</v>
      </c>
      <c r="E1657" s="11" t="n">
        <v>25</v>
      </c>
      <c r="F1657" s="11">
        <f>ROUND(D1657-E1657,2)</f>
        <v/>
      </c>
      <c r="G1657" s="13">
        <f>IFERROR(ROUND(F1657/E1657,4),"")</f>
        <v/>
      </c>
      <c r="H1657" s="14">
        <f>IF(D1657=0,"NO DATA",IF(D1657&gt;E1657*1.5,"OVER",IF(D1657&gt;E1657*1.1,"HIGH",IF(D1657&lt;E1657*0.5,"LOW","OK"))))</f>
        <v/>
      </c>
    </row>
    <row r="1658" ht="22" customHeight="1">
      <c r="B1658" s="8" t="inlineStr">
        <is>
          <t>MTR-PRC-005</t>
        </is>
      </c>
      <c r="C1658" s="8" t="inlineStr">
        <is>
          <t>2024-07-17</t>
        </is>
      </c>
      <c r="D1658" s="12" t="n">
        <v>26.46</v>
      </c>
      <c r="E1658" s="12" t="n">
        <v>25</v>
      </c>
      <c r="F1658" s="12">
        <f>ROUND(D1658-E1658,2)</f>
        <v/>
      </c>
      <c r="G1658" s="15">
        <f>IFERROR(ROUND(F1658/E1658,4),"")</f>
        <v/>
      </c>
      <c r="H1658" s="16">
        <f>IF(D1658=0,"NO DATA",IF(D1658&gt;E1658*1.5,"OVER",IF(D1658&gt;E1658*1.1,"HIGH",IF(D1658&lt;E1658*0.5,"LOW","OK"))))</f>
        <v/>
      </c>
    </row>
    <row r="1659" ht="22" customHeight="1">
      <c r="B1659" s="5" t="inlineStr">
        <is>
          <t>MTR-PRC-005</t>
        </is>
      </c>
      <c r="C1659" s="5" t="inlineStr">
        <is>
          <t>2024-07-18</t>
        </is>
      </c>
      <c r="D1659" s="11" t="n">
        <v>29.86</v>
      </c>
      <c r="E1659" s="11" t="n">
        <v>25</v>
      </c>
      <c r="F1659" s="11">
        <f>ROUND(D1659-E1659,2)</f>
        <v/>
      </c>
      <c r="G1659" s="13">
        <f>IFERROR(ROUND(F1659/E1659,4),"")</f>
        <v/>
      </c>
      <c r="H1659" s="14">
        <f>IF(D1659=0,"NO DATA",IF(D1659&gt;E1659*1.5,"OVER",IF(D1659&gt;E1659*1.1,"HIGH",IF(D1659&lt;E1659*0.5,"LOW","OK"))))</f>
        <v/>
      </c>
    </row>
    <row r="1660" ht="22" customHeight="1">
      <c r="B1660" s="8" t="inlineStr">
        <is>
          <t>MTR-PRC-005</t>
        </is>
      </c>
      <c r="C1660" s="8" t="inlineStr">
        <is>
          <t>2024-07-19</t>
        </is>
      </c>
      <c r="D1660" s="12" t="n">
        <v>30.62</v>
      </c>
      <c r="E1660" s="12" t="n">
        <v>25</v>
      </c>
      <c r="F1660" s="12">
        <f>ROUND(D1660-E1660,2)</f>
        <v/>
      </c>
      <c r="G1660" s="15">
        <f>IFERROR(ROUND(F1660/E1660,4),"")</f>
        <v/>
      </c>
      <c r="H1660" s="16">
        <f>IF(D1660=0,"NO DATA",IF(D1660&gt;E1660*1.5,"OVER",IF(D1660&gt;E1660*1.1,"HIGH",IF(D1660&lt;E1660*0.5,"LOW","OK"))))</f>
        <v/>
      </c>
    </row>
    <row r="1661" ht="22" customHeight="1">
      <c r="B1661" s="5" t="inlineStr">
        <is>
          <t>MTR-PRC-005</t>
        </is>
      </c>
      <c r="C1661" s="5" t="inlineStr">
        <is>
          <t>2024-07-20</t>
        </is>
      </c>
      <c r="D1661" s="11" t="n">
        <v>21.46</v>
      </c>
      <c r="E1661" s="11" t="n">
        <v>25</v>
      </c>
      <c r="F1661" s="11">
        <f>ROUND(D1661-E1661,2)</f>
        <v/>
      </c>
      <c r="G1661" s="13">
        <f>IFERROR(ROUND(F1661/E1661,4),"")</f>
        <v/>
      </c>
      <c r="H1661" s="14">
        <f>IF(D1661=0,"NO DATA",IF(D1661&gt;E1661*1.5,"OVER",IF(D1661&gt;E1661*1.1,"HIGH",IF(D1661&lt;E1661*0.5,"LOW","OK"))))</f>
        <v/>
      </c>
    </row>
    <row r="1662" ht="22" customHeight="1">
      <c r="B1662" s="8" t="inlineStr">
        <is>
          <t>MTR-PRC-005</t>
        </is>
      </c>
      <c r="C1662" s="8" t="inlineStr">
        <is>
          <t>2024-07-21</t>
        </is>
      </c>
      <c r="D1662" s="12" t="n">
        <v>13.9</v>
      </c>
      <c r="E1662" s="12" t="n">
        <v>25</v>
      </c>
      <c r="F1662" s="12">
        <f>ROUND(D1662-E1662,2)</f>
        <v/>
      </c>
      <c r="G1662" s="15">
        <f>IFERROR(ROUND(F1662/E1662,4),"")</f>
        <v/>
      </c>
      <c r="H1662" s="16">
        <f>IF(D1662=0,"NO DATA",IF(D1662&gt;E1662*1.5,"OVER",IF(D1662&gt;E1662*1.1,"HIGH",IF(D1662&lt;E1662*0.5,"LOW","OK"))))</f>
        <v/>
      </c>
    </row>
    <row r="1663" ht="22" customHeight="1">
      <c r="B1663" s="5" t="inlineStr">
        <is>
          <t>MTR-PRC-005</t>
        </is>
      </c>
      <c r="C1663" s="5" t="inlineStr">
        <is>
          <t>2024-07-22</t>
        </is>
      </c>
      <c r="D1663" s="11" t="n">
        <v>27.55</v>
      </c>
      <c r="E1663" s="11" t="n">
        <v>25</v>
      </c>
      <c r="F1663" s="11">
        <f>ROUND(D1663-E1663,2)</f>
        <v/>
      </c>
      <c r="G1663" s="13">
        <f>IFERROR(ROUND(F1663/E1663,4),"")</f>
        <v/>
      </c>
      <c r="H1663" s="14">
        <f>IF(D1663=0,"NO DATA",IF(D1663&gt;E1663*1.5,"OVER",IF(D1663&gt;E1663*1.1,"HIGH",IF(D1663&lt;E1663*0.5,"LOW","OK"))))</f>
        <v/>
      </c>
    </row>
    <row r="1664" ht="22" customHeight="1">
      <c r="B1664" s="8" t="inlineStr">
        <is>
          <t>MTR-PRC-005</t>
        </is>
      </c>
      <c r="C1664" s="8" t="inlineStr">
        <is>
          <t>2024-07-23</t>
        </is>
      </c>
      <c r="D1664" s="12" t="n">
        <v>24.94</v>
      </c>
      <c r="E1664" s="12" t="n">
        <v>25</v>
      </c>
      <c r="F1664" s="12">
        <f>ROUND(D1664-E1664,2)</f>
        <v/>
      </c>
      <c r="G1664" s="15">
        <f>IFERROR(ROUND(F1664/E1664,4),"")</f>
        <v/>
      </c>
      <c r="H1664" s="16">
        <f>IF(D1664=0,"NO DATA",IF(D1664&gt;E1664*1.5,"OVER",IF(D1664&gt;E1664*1.1,"HIGH",IF(D1664&lt;E1664*0.5,"LOW","OK"))))</f>
        <v/>
      </c>
    </row>
    <row r="1665" ht="22" customHeight="1">
      <c r="B1665" s="5" t="inlineStr">
        <is>
          <t>MTR-PRC-005</t>
        </is>
      </c>
      <c r="C1665" s="5" t="inlineStr">
        <is>
          <t>2024-07-24</t>
        </is>
      </c>
      <c r="D1665" s="11" t="n">
        <v>30.65</v>
      </c>
      <c r="E1665" s="11" t="n">
        <v>25</v>
      </c>
      <c r="F1665" s="11">
        <f>ROUND(D1665-E1665,2)</f>
        <v/>
      </c>
      <c r="G1665" s="13">
        <f>IFERROR(ROUND(F1665/E1665,4),"")</f>
        <v/>
      </c>
      <c r="H1665" s="14">
        <f>IF(D1665=0,"NO DATA",IF(D1665&gt;E1665*1.5,"OVER",IF(D1665&gt;E1665*1.1,"HIGH",IF(D1665&lt;E1665*0.5,"LOW","OK"))))</f>
        <v/>
      </c>
    </row>
    <row r="1666" ht="22" customHeight="1">
      <c r="B1666" s="8" t="inlineStr">
        <is>
          <t>MTR-PRC-005</t>
        </is>
      </c>
      <c r="C1666" s="8" t="inlineStr">
        <is>
          <t>2024-07-25</t>
        </is>
      </c>
      <c r="D1666" s="12" t="n">
        <v>25.31</v>
      </c>
      <c r="E1666" s="12" t="n">
        <v>25</v>
      </c>
      <c r="F1666" s="12">
        <f>ROUND(D1666-E1666,2)</f>
        <v/>
      </c>
      <c r="G1666" s="15">
        <f>IFERROR(ROUND(F1666/E1666,4),"")</f>
        <v/>
      </c>
      <c r="H1666" s="16">
        <f>IF(D1666=0,"NO DATA",IF(D1666&gt;E1666*1.5,"OVER",IF(D1666&gt;E1666*1.1,"HIGH",IF(D1666&lt;E1666*0.5,"LOW","OK"))))</f>
        <v/>
      </c>
    </row>
    <row r="1667" ht="22" customHeight="1">
      <c r="B1667" s="5" t="inlineStr">
        <is>
          <t>MTR-PRC-005</t>
        </is>
      </c>
      <c r="C1667" s="5" t="inlineStr">
        <is>
          <t>2024-07-26</t>
        </is>
      </c>
      <c r="D1667" s="11" t="n">
        <v>27.77</v>
      </c>
      <c r="E1667" s="11" t="n">
        <v>25</v>
      </c>
      <c r="F1667" s="11">
        <f>ROUND(D1667-E1667,2)</f>
        <v/>
      </c>
      <c r="G1667" s="13">
        <f>IFERROR(ROUND(F1667/E1667,4),"")</f>
        <v/>
      </c>
      <c r="H1667" s="14">
        <f>IF(D1667=0,"NO DATA",IF(D1667&gt;E1667*1.5,"OVER",IF(D1667&gt;E1667*1.1,"HIGH",IF(D1667&lt;E1667*0.5,"LOW","OK"))))</f>
        <v/>
      </c>
    </row>
    <row r="1668" ht="22" customHeight="1">
      <c r="B1668" s="8" t="inlineStr">
        <is>
          <t>MTR-PRC-005</t>
        </is>
      </c>
      <c r="C1668" s="8" t="inlineStr">
        <is>
          <t>2024-07-27</t>
        </is>
      </c>
      <c r="D1668" s="12" t="n">
        <v>22.53</v>
      </c>
      <c r="E1668" s="12" t="n">
        <v>25</v>
      </c>
      <c r="F1668" s="12">
        <f>ROUND(D1668-E1668,2)</f>
        <v/>
      </c>
      <c r="G1668" s="15">
        <f>IFERROR(ROUND(F1668/E1668,4),"")</f>
        <v/>
      </c>
      <c r="H1668" s="16">
        <f>IF(D1668=0,"NO DATA",IF(D1668&gt;E1668*1.5,"OVER",IF(D1668&gt;E1668*1.1,"HIGH",IF(D1668&lt;E1668*0.5,"LOW","OK"))))</f>
        <v/>
      </c>
    </row>
    <row r="1669" ht="22" customHeight="1">
      <c r="B1669" s="5" t="inlineStr">
        <is>
          <t>MTR-PRC-005</t>
        </is>
      </c>
      <c r="C1669" s="5" t="inlineStr">
        <is>
          <t>2024-07-28</t>
        </is>
      </c>
      <c r="D1669" s="11" t="n">
        <v>12.86</v>
      </c>
      <c r="E1669" s="11" t="n">
        <v>25</v>
      </c>
      <c r="F1669" s="11">
        <f>ROUND(D1669-E1669,2)</f>
        <v/>
      </c>
      <c r="G1669" s="13">
        <f>IFERROR(ROUND(F1669/E1669,4),"")</f>
        <v/>
      </c>
      <c r="H1669" s="14">
        <f>IF(D1669=0,"NO DATA",IF(D1669&gt;E1669*1.5,"OVER",IF(D1669&gt;E1669*1.1,"HIGH",IF(D1669&lt;E1669*0.5,"LOW","OK"))))</f>
        <v/>
      </c>
    </row>
    <row r="1670" ht="22" customHeight="1">
      <c r="B1670" s="8" t="inlineStr">
        <is>
          <t>MTR-PRC-005</t>
        </is>
      </c>
      <c r="C1670" s="8" t="inlineStr">
        <is>
          <t>2024-07-29</t>
        </is>
      </c>
      <c r="D1670" s="12" t="n">
        <v>30.9</v>
      </c>
      <c r="E1670" s="12" t="n">
        <v>25</v>
      </c>
      <c r="F1670" s="12">
        <f>ROUND(D1670-E1670,2)</f>
        <v/>
      </c>
      <c r="G1670" s="15">
        <f>IFERROR(ROUND(F1670/E1670,4),"")</f>
        <v/>
      </c>
      <c r="H1670" s="16">
        <f>IF(D1670=0,"NO DATA",IF(D1670&gt;E1670*1.5,"OVER",IF(D1670&gt;E1670*1.1,"HIGH",IF(D1670&lt;E1670*0.5,"LOW","OK"))))</f>
        <v/>
      </c>
    </row>
    <row r="1671" ht="22" customHeight="1">
      <c r="B1671" s="5" t="inlineStr">
        <is>
          <t>MTR-PRC-005</t>
        </is>
      </c>
      <c r="C1671" s="5" t="inlineStr">
        <is>
          <t>2024-07-30</t>
        </is>
      </c>
      <c r="D1671" s="11" t="n">
        <v>23.66</v>
      </c>
      <c r="E1671" s="11" t="n">
        <v>25</v>
      </c>
      <c r="F1671" s="11">
        <f>ROUND(D1671-E1671,2)</f>
        <v/>
      </c>
      <c r="G1671" s="13">
        <f>IFERROR(ROUND(F1671/E1671,4),"")</f>
        <v/>
      </c>
      <c r="H1671" s="14">
        <f>IF(D1671=0,"NO DATA",IF(D1671&gt;E1671*1.5,"OVER",IF(D1671&gt;E1671*1.1,"HIGH",IF(D1671&lt;E1671*0.5,"LOW","OK"))))</f>
        <v/>
      </c>
    </row>
    <row r="1672" ht="22" customHeight="1">
      <c r="B1672" s="8" t="inlineStr">
        <is>
          <t>MTR-PRC-005</t>
        </is>
      </c>
      <c r="C1672" s="8" t="inlineStr">
        <is>
          <t>2024-07-31</t>
        </is>
      </c>
      <c r="D1672" s="12" t="n">
        <v>29.07</v>
      </c>
      <c r="E1672" s="12" t="n">
        <v>25</v>
      </c>
      <c r="F1672" s="12">
        <f>ROUND(D1672-E1672,2)</f>
        <v/>
      </c>
      <c r="G1672" s="15">
        <f>IFERROR(ROUND(F1672/E1672,4),"")</f>
        <v/>
      </c>
      <c r="H1672" s="16">
        <f>IF(D1672=0,"NO DATA",IF(D1672&gt;E1672*1.5,"OVER",IF(D1672&gt;E1672*1.1,"HIGH",IF(D1672&lt;E1672*0.5,"LOW","OK"))))</f>
        <v/>
      </c>
    </row>
    <row r="1673" ht="22" customHeight="1">
      <c r="B1673" s="5" t="inlineStr">
        <is>
          <t>MTR-PRC-005</t>
        </is>
      </c>
      <c r="C1673" s="5" t="inlineStr">
        <is>
          <t>2024-08-01</t>
        </is>
      </c>
      <c r="D1673" s="11" t="n">
        <v>24.11</v>
      </c>
      <c r="E1673" s="11" t="n">
        <v>25</v>
      </c>
      <c r="F1673" s="11">
        <f>ROUND(D1673-E1673,2)</f>
        <v/>
      </c>
      <c r="G1673" s="13">
        <f>IFERROR(ROUND(F1673/E1673,4),"")</f>
        <v/>
      </c>
      <c r="H1673" s="14">
        <f>IF(D1673=0,"NO DATA",IF(D1673&gt;E1673*1.5,"OVER",IF(D1673&gt;E1673*1.1,"HIGH",IF(D1673&lt;E1673*0.5,"LOW","OK"))))</f>
        <v/>
      </c>
    </row>
    <row r="1674" ht="22" customHeight="1">
      <c r="B1674" s="8" t="inlineStr">
        <is>
          <t>MTR-PRC-005</t>
        </is>
      </c>
      <c r="C1674" s="8" t="inlineStr">
        <is>
          <t>2024-08-02</t>
        </is>
      </c>
      <c r="D1674" s="12" t="n">
        <v>24.97</v>
      </c>
      <c r="E1674" s="12" t="n">
        <v>25</v>
      </c>
      <c r="F1674" s="12">
        <f>ROUND(D1674-E1674,2)</f>
        <v/>
      </c>
      <c r="G1674" s="15">
        <f>IFERROR(ROUND(F1674/E1674,4),"")</f>
        <v/>
      </c>
      <c r="H1674" s="16">
        <f>IF(D1674=0,"NO DATA",IF(D1674&gt;E1674*1.5,"OVER",IF(D1674&gt;E1674*1.1,"HIGH",IF(D1674&lt;E1674*0.5,"LOW","OK"))))</f>
        <v/>
      </c>
    </row>
    <row r="1675" ht="22" customHeight="1">
      <c r="B1675" s="5" t="inlineStr">
        <is>
          <t>MTR-PRC-005</t>
        </is>
      </c>
      <c r="C1675" s="5" t="inlineStr">
        <is>
          <t>2024-08-03</t>
        </is>
      </c>
      <c r="D1675" s="11" t="n">
        <v>19.38</v>
      </c>
      <c r="E1675" s="11" t="n">
        <v>25</v>
      </c>
      <c r="F1675" s="11">
        <f>ROUND(D1675-E1675,2)</f>
        <v/>
      </c>
      <c r="G1675" s="13">
        <f>IFERROR(ROUND(F1675/E1675,4),"")</f>
        <v/>
      </c>
      <c r="H1675" s="14">
        <f>IF(D1675=0,"NO DATA",IF(D1675&gt;E1675*1.5,"OVER",IF(D1675&gt;E1675*1.1,"HIGH",IF(D1675&lt;E1675*0.5,"LOW","OK"))))</f>
        <v/>
      </c>
    </row>
    <row r="1676" ht="22" customHeight="1">
      <c r="B1676" s="8" t="inlineStr">
        <is>
          <t>MTR-PRC-005</t>
        </is>
      </c>
      <c r="C1676" s="8" t="inlineStr">
        <is>
          <t>2024-08-04</t>
        </is>
      </c>
      <c r="D1676" s="12" t="n">
        <v>15.53</v>
      </c>
      <c r="E1676" s="12" t="n">
        <v>25</v>
      </c>
      <c r="F1676" s="12">
        <f>ROUND(D1676-E1676,2)</f>
        <v/>
      </c>
      <c r="G1676" s="15">
        <f>IFERROR(ROUND(F1676/E1676,4),"")</f>
        <v/>
      </c>
      <c r="H1676" s="16">
        <f>IF(D1676=0,"NO DATA",IF(D1676&gt;E1676*1.5,"OVER",IF(D1676&gt;E1676*1.1,"HIGH",IF(D1676&lt;E1676*0.5,"LOW","OK"))))</f>
        <v/>
      </c>
    </row>
    <row r="1677" ht="22" customHeight="1">
      <c r="B1677" s="5" t="inlineStr">
        <is>
          <t>MTR-PRC-005</t>
        </is>
      </c>
      <c r="C1677" s="5" t="inlineStr">
        <is>
          <t>2024-08-05</t>
        </is>
      </c>
      <c r="D1677" s="11" t="n">
        <v>22.71</v>
      </c>
      <c r="E1677" s="11" t="n">
        <v>25</v>
      </c>
      <c r="F1677" s="11">
        <f>ROUND(D1677-E1677,2)</f>
        <v/>
      </c>
      <c r="G1677" s="13">
        <f>IFERROR(ROUND(F1677/E1677,4),"")</f>
        <v/>
      </c>
      <c r="H1677" s="14">
        <f>IF(D1677=0,"NO DATA",IF(D1677&gt;E1677*1.5,"OVER",IF(D1677&gt;E1677*1.1,"HIGH",IF(D1677&lt;E1677*0.5,"LOW","OK"))))</f>
        <v/>
      </c>
    </row>
    <row r="1678" ht="22" customHeight="1">
      <c r="B1678" s="8" t="inlineStr">
        <is>
          <t>MTR-PRC-005</t>
        </is>
      </c>
      <c r="C1678" s="8" t="inlineStr">
        <is>
          <t>2024-08-06</t>
        </is>
      </c>
      <c r="D1678" s="12" t="n">
        <v>25.22</v>
      </c>
      <c r="E1678" s="12" t="n">
        <v>25</v>
      </c>
      <c r="F1678" s="12">
        <f>ROUND(D1678-E1678,2)</f>
        <v/>
      </c>
      <c r="G1678" s="15">
        <f>IFERROR(ROUND(F1678/E1678,4),"")</f>
        <v/>
      </c>
      <c r="H1678" s="16">
        <f>IF(D1678=0,"NO DATA",IF(D1678&gt;E1678*1.5,"OVER",IF(D1678&gt;E1678*1.1,"HIGH",IF(D1678&lt;E1678*0.5,"LOW","OK"))))</f>
        <v/>
      </c>
    </row>
    <row r="1679" ht="22" customHeight="1">
      <c r="B1679" s="5" t="inlineStr">
        <is>
          <t>MTR-PRC-005</t>
        </is>
      </c>
      <c r="C1679" s="5" t="inlineStr">
        <is>
          <t>2024-08-07</t>
        </is>
      </c>
      <c r="D1679" s="11" t="n">
        <v>25.29</v>
      </c>
      <c r="E1679" s="11" t="n">
        <v>25</v>
      </c>
      <c r="F1679" s="11">
        <f>ROUND(D1679-E1679,2)</f>
        <v/>
      </c>
      <c r="G1679" s="13">
        <f>IFERROR(ROUND(F1679/E1679,4),"")</f>
        <v/>
      </c>
      <c r="H1679" s="14">
        <f>IF(D1679=0,"NO DATA",IF(D1679&gt;E1679*1.5,"OVER",IF(D1679&gt;E1679*1.1,"HIGH",IF(D1679&lt;E1679*0.5,"LOW","OK"))))</f>
        <v/>
      </c>
    </row>
    <row r="1680" ht="22" customHeight="1">
      <c r="B1680" s="8" t="inlineStr">
        <is>
          <t>MTR-PRC-005</t>
        </is>
      </c>
      <c r="C1680" s="8" t="inlineStr">
        <is>
          <t>2024-08-08</t>
        </is>
      </c>
      <c r="D1680" s="12" t="n">
        <v>26.99</v>
      </c>
      <c r="E1680" s="12" t="n">
        <v>25</v>
      </c>
      <c r="F1680" s="12">
        <f>ROUND(D1680-E1680,2)</f>
        <v/>
      </c>
      <c r="G1680" s="15">
        <f>IFERROR(ROUND(F1680/E1680,4),"")</f>
        <v/>
      </c>
      <c r="H1680" s="16">
        <f>IF(D1680=0,"NO DATA",IF(D1680&gt;E1680*1.5,"OVER",IF(D1680&gt;E1680*1.1,"HIGH",IF(D1680&lt;E1680*0.5,"LOW","OK"))))</f>
        <v/>
      </c>
    </row>
    <row r="1681" ht="22" customHeight="1">
      <c r="B1681" s="5" t="inlineStr">
        <is>
          <t>MTR-PRC-005</t>
        </is>
      </c>
      <c r="C1681" s="5" t="inlineStr">
        <is>
          <t>2024-08-09</t>
        </is>
      </c>
      <c r="D1681" s="11" t="n">
        <v>24.72</v>
      </c>
      <c r="E1681" s="11" t="n">
        <v>25</v>
      </c>
      <c r="F1681" s="11">
        <f>ROUND(D1681-E1681,2)</f>
        <v/>
      </c>
      <c r="G1681" s="13">
        <f>IFERROR(ROUND(F1681/E1681,4),"")</f>
        <v/>
      </c>
      <c r="H1681" s="14">
        <f>IF(D1681=0,"NO DATA",IF(D1681&gt;E1681*1.5,"OVER",IF(D1681&gt;E1681*1.1,"HIGH",IF(D1681&lt;E1681*0.5,"LOW","OK"))))</f>
        <v/>
      </c>
    </row>
    <row r="1682" ht="22" customHeight="1">
      <c r="B1682" s="8" t="inlineStr">
        <is>
          <t>MTR-PRC-005</t>
        </is>
      </c>
      <c r="C1682" s="8" t="inlineStr">
        <is>
          <t>2024-08-10</t>
        </is>
      </c>
      <c r="D1682" s="12" t="n">
        <v>18.94</v>
      </c>
      <c r="E1682" s="12" t="n">
        <v>25</v>
      </c>
      <c r="F1682" s="12">
        <f>ROUND(D1682-E1682,2)</f>
        <v/>
      </c>
      <c r="G1682" s="15">
        <f>IFERROR(ROUND(F1682/E1682,4),"")</f>
        <v/>
      </c>
      <c r="H1682" s="16">
        <f>IF(D1682=0,"NO DATA",IF(D1682&gt;E1682*1.5,"OVER",IF(D1682&gt;E1682*1.1,"HIGH",IF(D1682&lt;E1682*0.5,"LOW","OK"))))</f>
        <v/>
      </c>
    </row>
    <row r="1683" ht="22" customHeight="1">
      <c r="B1683" s="5" t="inlineStr">
        <is>
          <t>MTR-PRC-005</t>
        </is>
      </c>
      <c r="C1683" s="5" t="inlineStr">
        <is>
          <t>2024-08-11</t>
        </is>
      </c>
      <c r="D1683" s="11" t="n">
        <v>15.1</v>
      </c>
      <c r="E1683" s="11" t="n">
        <v>25</v>
      </c>
      <c r="F1683" s="11">
        <f>ROUND(D1683-E1683,2)</f>
        <v/>
      </c>
      <c r="G1683" s="13">
        <f>IFERROR(ROUND(F1683/E1683,4),"")</f>
        <v/>
      </c>
      <c r="H1683" s="14">
        <f>IF(D1683=0,"NO DATA",IF(D1683&gt;E1683*1.5,"OVER",IF(D1683&gt;E1683*1.1,"HIGH",IF(D1683&lt;E1683*0.5,"LOW","OK"))))</f>
        <v/>
      </c>
    </row>
    <row r="1684" ht="22" customHeight="1">
      <c r="B1684" s="8" t="inlineStr">
        <is>
          <t>MTR-PRC-005</t>
        </is>
      </c>
      <c r="C1684" s="8" t="inlineStr">
        <is>
          <t>2024-08-12</t>
        </is>
      </c>
      <c r="D1684" s="12" t="n">
        <v>28.04</v>
      </c>
      <c r="E1684" s="12" t="n">
        <v>25</v>
      </c>
      <c r="F1684" s="12">
        <f>ROUND(D1684-E1684,2)</f>
        <v/>
      </c>
      <c r="G1684" s="15">
        <f>IFERROR(ROUND(F1684/E1684,4),"")</f>
        <v/>
      </c>
      <c r="H1684" s="16">
        <f>IF(D1684=0,"NO DATA",IF(D1684&gt;E1684*1.5,"OVER",IF(D1684&gt;E1684*1.1,"HIGH",IF(D1684&lt;E1684*0.5,"LOW","OK"))))</f>
        <v/>
      </c>
    </row>
    <row r="1685" ht="22" customHeight="1">
      <c r="B1685" s="5" t="inlineStr">
        <is>
          <t>MTR-PRC-005</t>
        </is>
      </c>
      <c r="C1685" s="5" t="inlineStr">
        <is>
          <t>2024-08-13</t>
        </is>
      </c>
      <c r="D1685" s="11" t="n">
        <v>25.46</v>
      </c>
      <c r="E1685" s="11" t="n">
        <v>25</v>
      </c>
      <c r="F1685" s="11">
        <f>ROUND(D1685-E1685,2)</f>
        <v/>
      </c>
      <c r="G1685" s="13">
        <f>IFERROR(ROUND(F1685/E1685,4),"")</f>
        <v/>
      </c>
      <c r="H1685" s="14">
        <f>IF(D1685=0,"NO DATA",IF(D1685&gt;E1685*1.5,"OVER",IF(D1685&gt;E1685*1.1,"HIGH",IF(D1685&lt;E1685*0.5,"LOW","OK"))))</f>
        <v/>
      </c>
    </row>
    <row r="1686" ht="22" customHeight="1">
      <c r="B1686" s="8" t="inlineStr">
        <is>
          <t>MTR-PRC-005</t>
        </is>
      </c>
      <c r="C1686" s="8" t="inlineStr">
        <is>
          <t>2024-08-14</t>
        </is>
      </c>
      <c r="D1686" s="12" t="n">
        <v>25.61</v>
      </c>
      <c r="E1686" s="12" t="n">
        <v>25</v>
      </c>
      <c r="F1686" s="12">
        <f>ROUND(D1686-E1686,2)</f>
        <v/>
      </c>
      <c r="G1686" s="15">
        <f>IFERROR(ROUND(F1686/E1686,4),"")</f>
        <v/>
      </c>
      <c r="H1686" s="16">
        <f>IF(D1686=0,"NO DATA",IF(D1686&gt;E1686*1.5,"OVER",IF(D1686&gt;E1686*1.1,"HIGH",IF(D1686&lt;E1686*0.5,"LOW","OK"))))</f>
        <v/>
      </c>
    </row>
    <row r="1687" ht="22" customHeight="1">
      <c r="B1687" s="5" t="inlineStr">
        <is>
          <t>MTR-PRC-005</t>
        </is>
      </c>
      <c r="C1687" s="5" t="inlineStr">
        <is>
          <t>2024-08-15</t>
        </is>
      </c>
      <c r="D1687" s="11" t="n">
        <v>26.4</v>
      </c>
      <c r="E1687" s="11" t="n">
        <v>25</v>
      </c>
      <c r="F1687" s="11">
        <f>ROUND(D1687-E1687,2)</f>
        <v/>
      </c>
      <c r="G1687" s="13">
        <f>IFERROR(ROUND(F1687/E1687,4),"")</f>
        <v/>
      </c>
      <c r="H1687" s="14">
        <f>IF(D1687=0,"NO DATA",IF(D1687&gt;E1687*1.5,"OVER",IF(D1687&gt;E1687*1.1,"HIGH",IF(D1687&lt;E1687*0.5,"LOW","OK"))))</f>
        <v/>
      </c>
    </row>
    <row r="1688" ht="22" customHeight="1">
      <c r="B1688" s="8" t="inlineStr">
        <is>
          <t>MTR-PRC-005</t>
        </is>
      </c>
      <c r="C1688" s="8" t="inlineStr">
        <is>
          <t>2024-08-16</t>
        </is>
      </c>
      <c r="D1688" s="12" t="n">
        <v>25.49</v>
      </c>
      <c r="E1688" s="12" t="n">
        <v>25</v>
      </c>
      <c r="F1688" s="12">
        <f>ROUND(D1688-E1688,2)</f>
        <v/>
      </c>
      <c r="G1688" s="15">
        <f>IFERROR(ROUND(F1688/E1688,4),"")</f>
        <v/>
      </c>
      <c r="H1688" s="16">
        <f>IF(D1688=0,"NO DATA",IF(D1688&gt;E1688*1.5,"OVER",IF(D1688&gt;E1688*1.1,"HIGH",IF(D1688&lt;E1688*0.5,"LOW","OK"))))</f>
        <v/>
      </c>
    </row>
    <row r="1689" ht="22" customHeight="1">
      <c r="B1689" s="5" t="inlineStr">
        <is>
          <t>MTR-PRC-005</t>
        </is>
      </c>
      <c r="C1689" s="5" t="inlineStr">
        <is>
          <t>2024-08-17</t>
        </is>
      </c>
      <c r="D1689" s="11" t="n">
        <v>23.64</v>
      </c>
      <c r="E1689" s="11" t="n">
        <v>25</v>
      </c>
      <c r="F1689" s="11">
        <f>ROUND(D1689-E1689,2)</f>
        <v/>
      </c>
      <c r="G1689" s="13">
        <f>IFERROR(ROUND(F1689/E1689,4),"")</f>
        <v/>
      </c>
      <c r="H1689" s="14">
        <f>IF(D1689=0,"NO DATA",IF(D1689&gt;E1689*1.5,"OVER",IF(D1689&gt;E1689*1.1,"HIGH",IF(D1689&lt;E1689*0.5,"LOW","OK"))))</f>
        <v/>
      </c>
    </row>
    <row r="1690" ht="22" customHeight="1">
      <c r="B1690" s="8" t="inlineStr">
        <is>
          <t>MTR-PRC-005</t>
        </is>
      </c>
      <c r="C1690" s="8" t="inlineStr">
        <is>
          <t>2024-08-18</t>
        </is>
      </c>
      <c r="D1690" s="12" t="n">
        <v>12.14</v>
      </c>
      <c r="E1690" s="12" t="n">
        <v>25</v>
      </c>
      <c r="F1690" s="12">
        <f>ROUND(D1690-E1690,2)</f>
        <v/>
      </c>
      <c r="G1690" s="15">
        <f>IFERROR(ROUND(F1690/E1690,4),"")</f>
        <v/>
      </c>
      <c r="H1690" s="16">
        <f>IF(D1690=0,"NO DATA",IF(D1690&gt;E1690*1.5,"OVER",IF(D1690&gt;E1690*1.1,"HIGH",IF(D1690&lt;E1690*0.5,"LOW","OK"))))</f>
        <v/>
      </c>
    </row>
    <row r="1691" ht="22" customHeight="1">
      <c r="B1691" s="5" t="inlineStr">
        <is>
          <t>MTR-PRC-005</t>
        </is>
      </c>
      <c r="C1691" s="5" t="inlineStr">
        <is>
          <t>2024-08-19</t>
        </is>
      </c>
      <c r="D1691" s="11" t="n">
        <v>27.31</v>
      </c>
      <c r="E1691" s="11" t="n">
        <v>25</v>
      </c>
      <c r="F1691" s="11">
        <f>ROUND(D1691-E1691,2)</f>
        <v/>
      </c>
      <c r="G1691" s="13">
        <f>IFERROR(ROUND(F1691/E1691,4),"")</f>
        <v/>
      </c>
      <c r="H1691" s="14">
        <f>IF(D1691=0,"NO DATA",IF(D1691&gt;E1691*1.5,"OVER",IF(D1691&gt;E1691*1.1,"HIGH",IF(D1691&lt;E1691*0.5,"LOW","OK"))))</f>
        <v/>
      </c>
    </row>
    <row r="1692" ht="22" customHeight="1">
      <c r="B1692" s="8" t="inlineStr">
        <is>
          <t>MTR-PRC-005</t>
        </is>
      </c>
      <c r="C1692" s="8" t="inlineStr">
        <is>
          <t>2024-08-20</t>
        </is>
      </c>
      <c r="D1692" s="12" t="n">
        <v>30.29</v>
      </c>
      <c r="E1692" s="12" t="n">
        <v>25</v>
      </c>
      <c r="F1692" s="12">
        <f>ROUND(D1692-E1692,2)</f>
        <v/>
      </c>
      <c r="G1692" s="15">
        <f>IFERROR(ROUND(F1692/E1692,4),"")</f>
        <v/>
      </c>
      <c r="H1692" s="16">
        <f>IF(D1692=0,"NO DATA",IF(D1692&gt;E1692*1.5,"OVER",IF(D1692&gt;E1692*1.1,"HIGH",IF(D1692&lt;E1692*0.5,"LOW","OK"))))</f>
        <v/>
      </c>
    </row>
    <row r="1693" ht="22" customHeight="1">
      <c r="B1693" s="5" t="inlineStr">
        <is>
          <t>MTR-PRC-005</t>
        </is>
      </c>
      <c r="C1693" s="5" t="inlineStr">
        <is>
          <t>2024-08-21</t>
        </is>
      </c>
      <c r="D1693" s="11" t="n">
        <v>24.34</v>
      </c>
      <c r="E1693" s="11" t="n">
        <v>25</v>
      </c>
      <c r="F1693" s="11">
        <f>ROUND(D1693-E1693,2)</f>
        <v/>
      </c>
      <c r="G1693" s="13">
        <f>IFERROR(ROUND(F1693/E1693,4),"")</f>
        <v/>
      </c>
      <c r="H1693" s="14">
        <f>IF(D1693=0,"NO DATA",IF(D1693&gt;E1693*1.5,"OVER",IF(D1693&gt;E1693*1.1,"HIGH",IF(D1693&lt;E1693*0.5,"LOW","OK"))))</f>
        <v/>
      </c>
    </row>
    <row r="1694" ht="22" customHeight="1">
      <c r="B1694" s="8" t="inlineStr">
        <is>
          <t>MTR-PRC-005</t>
        </is>
      </c>
      <c r="C1694" s="8" t="inlineStr">
        <is>
          <t>2024-08-22</t>
        </is>
      </c>
      <c r="D1694" s="12" t="n">
        <v>23.51</v>
      </c>
      <c r="E1694" s="12" t="n">
        <v>25</v>
      </c>
      <c r="F1694" s="12">
        <f>ROUND(D1694-E1694,2)</f>
        <v/>
      </c>
      <c r="G1694" s="15">
        <f>IFERROR(ROUND(F1694/E1694,4),"")</f>
        <v/>
      </c>
      <c r="H1694" s="16">
        <f>IF(D1694=0,"NO DATA",IF(D1694&gt;E1694*1.5,"OVER",IF(D1694&gt;E1694*1.1,"HIGH",IF(D1694&lt;E1694*0.5,"LOW","OK"))))</f>
        <v/>
      </c>
    </row>
    <row r="1695" ht="22" customHeight="1">
      <c r="B1695" s="5" t="inlineStr">
        <is>
          <t>MTR-PRC-005</t>
        </is>
      </c>
      <c r="C1695" s="5" t="inlineStr">
        <is>
          <t>2024-08-23</t>
        </is>
      </c>
      <c r="D1695" s="11" t="n">
        <v>25.12</v>
      </c>
      <c r="E1695" s="11" t="n">
        <v>25</v>
      </c>
      <c r="F1695" s="11">
        <f>ROUND(D1695-E1695,2)</f>
        <v/>
      </c>
      <c r="G1695" s="13">
        <f>IFERROR(ROUND(F1695/E1695,4),"")</f>
        <v/>
      </c>
      <c r="H1695" s="14">
        <f>IF(D1695=0,"NO DATA",IF(D1695&gt;E1695*1.5,"OVER",IF(D1695&gt;E1695*1.1,"HIGH",IF(D1695&lt;E1695*0.5,"LOW","OK"))))</f>
        <v/>
      </c>
    </row>
    <row r="1696" ht="22" customHeight="1">
      <c r="B1696" s="8" t="inlineStr">
        <is>
          <t>MTR-PRC-005</t>
        </is>
      </c>
      <c r="C1696" s="8" t="inlineStr">
        <is>
          <t>2024-08-24</t>
        </is>
      </c>
      <c r="D1696" s="12" t="n">
        <v>21.84</v>
      </c>
      <c r="E1696" s="12" t="n">
        <v>25</v>
      </c>
      <c r="F1696" s="12">
        <f>ROUND(D1696-E1696,2)</f>
        <v/>
      </c>
      <c r="G1696" s="15">
        <f>IFERROR(ROUND(F1696/E1696,4),"")</f>
        <v/>
      </c>
      <c r="H1696" s="16">
        <f>IF(D1696=0,"NO DATA",IF(D1696&gt;E1696*1.5,"OVER",IF(D1696&gt;E1696*1.1,"HIGH",IF(D1696&lt;E1696*0.5,"LOW","OK"))))</f>
        <v/>
      </c>
    </row>
    <row r="1697" ht="22" customHeight="1">
      <c r="B1697" s="5" t="inlineStr">
        <is>
          <t>MTR-PRC-005</t>
        </is>
      </c>
      <c r="C1697" s="5" t="inlineStr">
        <is>
          <t>2024-08-25</t>
        </is>
      </c>
      <c r="D1697" s="11" t="n">
        <v>14.39</v>
      </c>
      <c r="E1697" s="11" t="n">
        <v>25</v>
      </c>
      <c r="F1697" s="11">
        <f>ROUND(D1697-E1697,2)</f>
        <v/>
      </c>
      <c r="G1697" s="13">
        <f>IFERROR(ROUND(F1697/E1697,4),"")</f>
        <v/>
      </c>
      <c r="H1697" s="14">
        <f>IF(D1697=0,"NO DATA",IF(D1697&gt;E1697*1.5,"OVER",IF(D1697&gt;E1697*1.1,"HIGH",IF(D1697&lt;E1697*0.5,"LOW","OK"))))</f>
        <v/>
      </c>
    </row>
    <row r="1698" ht="22" customHeight="1">
      <c r="B1698" s="8" t="inlineStr">
        <is>
          <t>MTR-PRC-005</t>
        </is>
      </c>
      <c r="C1698" s="8" t="inlineStr">
        <is>
          <t>2024-08-26</t>
        </is>
      </c>
      <c r="D1698" s="12" t="n">
        <v>24.07</v>
      </c>
      <c r="E1698" s="12" t="n">
        <v>25</v>
      </c>
      <c r="F1698" s="12">
        <f>ROUND(D1698-E1698,2)</f>
        <v/>
      </c>
      <c r="G1698" s="15">
        <f>IFERROR(ROUND(F1698/E1698,4),"")</f>
        <v/>
      </c>
      <c r="H1698" s="16">
        <f>IF(D1698=0,"NO DATA",IF(D1698&gt;E1698*1.5,"OVER",IF(D1698&gt;E1698*1.1,"HIGH",IF(D1698&lt;E1698*0.5,"LOW","OK"))))</f>
        <v/>
      </c>
    </row>
    <row r="1699" ht="22" customHeight="1">
      <c r="B1699" s="5" t="inlineStr">
        <is>
          <t>MTR-PRC-005</t>
        </is>
      </c>
      <c r="C1699" s="5" t="inlineStr">
        <is>
          <t>2024-08-27</t>
        </is>
      </c>
      <c r="D1699" s="11" t="n">
        <v>23.49</v>
      </c>
      <c r="E1699" s="11" t="n">
        <v>25</v>
      </c>
      <c r="F1699" s="11">
        <f>ROUND(D1699-E1699,2)</f>
        <v/>
      </c>
      <c r="G1699" s="13">
        <f>IFERROR(ROUND(F1699/E1699,4),"")</f>
        <v/>
      </c>
      <c r="H1699" s="14">
        <f>IF(D1699=0,"NO DATA",IF(D1699&gt;E1699*1.5,"OVER",IF(D1699&gt;E1699*1.1,"HIGH",IF(D1699&lt;E1699*0.5,"LOW","OK"))))</f>
        <v/>
      </c>
    </row>
    <row r="1700" ht="22" customHeight="1">
      <c r="B1700" s="8" t="inlineStr">
        <is>
          <t>MTR-PRC-005</t>
        </is>
      </c>
      <c r="C1700" s="8" t="inlineStr">
        <is>
          <t>2024-08-28</t>
        </is>
      </c>
      <c r="D1700" s="12" t="n">
        <v>25.08</v>
      </c>
      <c r="E1700" s="12" t="n">
        <v>25</v>
      </c>
      <c r="F1700" s="12">
        <f>ROUND(D1700-E1700,2)</f>
        <v/>
      </c>
      <c r="G1700" s="15">
        <f>IFERROR(ROUND(F1700/E1700,4),"")</f>
        <v/>
      </c>
      <c r="H1700" s="16">
        <f>IF(D1700=0,"NO DATA",IF(D1700&gt;E1700*1.5,"OVER",IF(D1700&gt;E1700*1.1,"HIGH",IF(D1700&lt;E1700*0.5,"LOW","OK"))))</f>
        <v/>
      </c>
    </row>
    <row r="1701" ht="22" customHeight="1">
      <c r="B1701" s="5" t="inlineStr">
        <is>
          <t>MTR-PRC-005</t>
        </is>
      </c>
      <c r="C1701" s="5" t="inlineStr">
        <is>
          <t>2024-08-29</t>
        </is>
      </c>
      <c r="D1701" s="11" t="n">
        <v>26.46</v>
      </c>
      <c r="E1701" s="11" t="n">
        <v>25</v>
      </c>
      <c r="F1701" s="11">
        <f>ROUND(D1701-E1701,2)</f>
        <v/>
      </c>
      <c r="G1701" s="13">
        <f>IFERROR(ROUND(F1701/E1701,4),"")</f>
        <v/>
      </c>
      <c r="H1701" s="14">
        <f>IF(D1701=0,"NO DATA",IF(D1701&gt;E1701*1.5,"OVER",IF(D1701&gt;E1701*1.1,"HIGH",IF(D1701&lt;E1701*0.5,"LOW","OK"))))</f>
        <v/>
      </c>
    </row>
    <row r="1702" ht="22" customHeight="1">
      <c r="B1702" s="8" t="inlineStr">
        <is>
          <t>MTR-PRC-005</t>
        </is>
      </c>
      <c r="C1702" s="8" t="inlineStr">
        <is>
          <t>2024-08-30</t>
        </is>
      </c>
      <c r="D1702" s="12" t="n">
        <v>27.52</v>
      </c>
      <c r="E1702" s="12" t="n">
        <v>25</v>
      </c>
      <c r="F1702" s="12">
        <f>ROUND(D1702-E1702,2)</f>
        <v/>
      </c>
      <c r="G1702" s="15">
        <f>IFERROR(ROUND(F1702/E1702,4),"")</f>
        <v/>
      </c>
      <c r="H1702" s="16">
        <f>IF(D1702=0,"NO DATA",IF(D1702&gt;E1702*1.5,"OVER",IF(D1702&gt;E1702*1.1,"HIGH",IF(D1702&lt;E1702*0.5,"LOW","OK"))))</f>
        <v/>
      </c>
    </row>
    <row r="1703" ht="22" customHeight="1">
      <c r="B1703" s="5" t="inlineStr">
        <is>
          <t>MTR-PRC-005</t>
        </is>
      </c>
      <c r="C1703" s="5" t="inlineStr">
        <is>
          <t>2024-08-31</t>
        </is>
      </c>
      <c r="D1703" s="11" t="n">
        <v>22.86</v>
      </c>
      <c r="E1703" s="11" t="n">
        <v>25</v>
      </c>
      <c r="F1703" s="11">
        <f>ROUND(D1703-E1703,2)</f>
        <v/>
      </c>
      <c r="G1703" s="13">
        <f>IFERROR(ROUND(F1703/E1703,4),"")</f>
        <v/>
      </c>
      <c r="H1703" s="14">
        <f>IF(D1703=0,"NO DATA",IF(D1703&gt;E1703*1.5,"OVER",IF(D1703&gt;E1703*1.1,"HIGH",IF(D1703&lt;E1703*0.5,"LOW","OK"))))</f>
        <v/>
      </c>
    </row>
    <row r="1704" ht="22" customHeight="1">
      <c r="B1704" s="8" t="inlineStr">
        <is>
          <t>MTR-PRC-005</t>
        </is>
      </c>
      <c r="C1704" s="8" t="inlineStr">
        <is>
          <t>2024-09-01</t>
        </is>
      </c>
      <c r="D1704" s="12" t="n">
        <v>13.82</v>
      </c>
      <c r="E1704" s="12" t="n">
        <v>25</v>
      </c>
      <c r="F1704" s="12">
        <f>ROUND(D1704-E1704,2)</f>
        <v/>
      </c>
      <c r="G1704" s="15">
        <f>IFERROR(ROUND(F1704/E1704,4),"")</f>
        <v/>
      </c>
      <c r="H1704" s="16">
        <f>IF(D1704=0,"NO DATA",IF(D1704&gt;E1704*1.5,"OVER",IF(D1704&gt;E1704*1.1,"HIGH",IF(D1704&lt;E1704*0.5,"LOW","OK"))))</f>
        <v/>
      </c>
    </row>
    <row r="1705" ht="22" customHeight="1">
      <c r="B1705" s="5" t="inlineStr">
        <is>
          <t>MTR-PRC-005</t>
        </is>
      </c>
      <c r="C1705" s="5" t="inlineStr">
        <is>
          <t>2024-09-02</t>
        </is>
      </c>
      <c r="D1705" s="11" t="n">
        <v>26.23</v>
      </c>
      <c r="E1705" s="11" t="n">
        <v>25</v>
      </c>
      <c r="F1705" s="11">
        <f>ROUND(D1705-E1705,2)</f>
        <v/>
      </c>
      <c r="G1705" s="13">
        <f>IFERROR(ROUND(F1705/E1705,4),"")</f>
        <v/>
      </c>
      <c r="H1705" s="14">
        <f>IF(D1705=0,"NO DATA",IF(D1705&gt;E1705*1.5,"OVER",IF(D1705&gt;E1705*1.1,"HIGH",IF(D1705&lt;E1705*0.5,"LOW","OK"))))</f>
        <v/>
      </c>
    </row>
    <row r="1706" ht="22" customHeight="1">
      <c r="B1706" s="8" t="inlineStr">
        <is>
          <t>MTR-PRC-005</t>
        </is>
      </c>
      <c r="C1706" s="8" t="inlineStr">
        <is>
          <t>2024-09-03</t>
        </is>
      </c>
      <c r="D1706" s="12" t="n">
        <v>25.4</v>
      </c>
      <c r="E1706" s="12" t="n">
        <v>25</v>
      </c>
      <c r="F1706" s="12">
        <f>ROUND(D1706-E1706,2)</f>
        <v/>
      </c>
      <c r="G1706" s="15">
        <f>IFERROR(ROUND(F1706/E1706,4),"")</f>
        <v/>
      </c>
      <c r="H1706" s="16">
        <f>IF(D1706=0,"NO DATA",IF(D1706&gt;E1706*1.5,"OVER",IF(D1706&gt;E1706*1.1,"HIGH",IF(D1706&lt;E1706*0.5,"LOW","OK"))))</f>
        <v/>
      </c>
    </row>
    <row r="1707" ht="22" customHeight="1">
      <c r="B1707" s="5" t="inlineStr">
        <is>
          <t>MTR-PRC-005</t>
        </is>
      </c>
      <c r="C1707" s="5" t="inlineStr">
        <is>
          <t>2024-09-04</t>
        </is>
      </c>
      <c r="D1707" s="11" t="n">
        <v>26.77</v>
      </c>
      <c r="E1707" s="11" t="n">
        <v>25</v>
      </c>
      <c r="F1707" s="11">
        <f>ROUND(D1707-E1707,2)</f>
        <v/>
      </c>
      <c r="G1707" s="13">
        <f>IFERROR(ROUND(F1707/E1707,4),"")</f>
        <v/>
      </c>
      <c r="H1707" s="14">
        <f>IF(D1707=0,"NO DATA",IF(D1707&gt;E1707*1.5,"OVER",IF(D1707&gt;E1707*1.1,"HIGH",IF(D1707&lt;E1707*0.5,"LOW","OK"))))</f>
        <v/>
      </c>
    </row>
    <row r="1708" ht="22" customHeight="1">
      <c r="B1708" s="8" t="inlineStr">
        <is>
          <t>MTR-PRC-005</t>
        </is>
      </c>
      <c r="C1708" s="8" t="inlineStr">
        <is>
          <t>2024-09-05</t>
        </is>
      </c>
      <c r="D1708" s="12" t="n">
        <v>24.07</v>
      </c>
      <c r="E1708" s="12" t="n">
        <v>25</v>
      </c>
      <c r="F1708" s="12">
        <f>ROUND(D1708-E1708,2)</f>
        <v/>
      </c>
      <c r="G1708" s="15">
        <f>IFERROR(ROUND(F1708/E1708,4),"")</f>
        <v/>
      </c>
      <c r="H1708" s="16">
        <f>IF(D1708=0,"NO DATA",IF(D1708&gt;E1708*1.5,"OVER",IF(D1708&gt;E1708*1.1,"HIGH",IF(D1708&lt;E1708*0.5,"LOW","OK"))))</f>
        <v/>
      </c>
    </row>
    <row r="1709" ht="22" customHeight="1">
      <c r="B1709" s="5" t="inlineStr">
        <is>
          <t>MTR-PRC-005</t>
        </is>
      </c>
      <c r="C1709" s="5" t="inlineStr">
        <is>
          <t>2024-09-06</t>
        </is>
      </c>
      <c r="D1709" s="11" t="n">
        <v>27.44</v>
      </c>
      <c r="E1709" s="11" t="n">
        <v>25</v>
      </c>
      <c r="F1709" s="11">
        <f>ROUND(D1709-E1709,2)</f>
        <v/>
      </c>
      <c r="G1709" s="13">
        <f>IFERROR(ROUND(F1709/E1709,4),"")</f>
        <v/>
      </c>
      <c r="H1709" s="14">
        <f>IF(D1709=0,"NO DATA",IF(D1709&gt;E1709*1.5,"OVER",IF(D1709&gt;E1709*1.1,"HIGH",IF(D1709&lt;E1709*0.5,"LOW","OK"))))</f>
        <v/>
      </c>
    </row>
    <row r="1710" ht="22" customHeight="1">
      <c r="B1710" s="8" t="inlineStr">
        <is>
          <t>MTR-PRC-005</t>
        </is>
      </c>
      <c r="C1710" s="8" t="inlineStr">
        <is>
          <t>2024-09-07</t>
        </is>
      </c>
      <c r="D1710" s="12" t="n">
        <v>21.75</v>
      </c>
      <c r="E1710" s="12" t="n">
        <v>25</v>
      </c>
      <c r="F1710" s="12">
        <f>ROUND(D1710-E1710,2)</f>
        <v/>
      </c>
      <c r="G1710" s="15">
        <f>IFERROR(ROUND(F1710/E1710,4),"")</f>
        <v/>
      </c>
      <c r="H1710" s="16">
        <f>IF(D1710=0,"NO DATA",IF(D1710&gt;E1710*1.5,"OVER",IF(D1710&gt;E1710*1.1,"HIGH",IF(D1710&lt;E1710*0.5,"LOW","OK"))))</f>
        <v/>
      </c>
    </row>
    <row r="1711" ht="22" customHeight="1">
      <c r="B1711" s="5" t="inlineStr">
        <is>
          <t>MTR-PRC-005</t>
        </is>
      </c>
      <c r="C1711" s="5" t="inlineStr">
        <is>
          <t>2024-09-08</t>
        </is>
      </c>
      <c r="D1711" s="11" t="n">
        <v>12.85</v>
      </c>
      <c r="E1711" s="11" t="n">
        <v>25</v>
      </c>
      <c r="F1711" s="11">
        <f>ROUND(D1711-E1711,2)</f>
        <v/>
      </c>
      <c r="G1711" s="13">
        <f>IFERROR(ROUND(F1711/E1711,4),"")</f>
        <v/>
      </c>
      <c r="H1711" s="14">
        <f>IF(D1711=0,"NO DATA",IF(D1711&gt;E1711*1.5,"OVER",IF(D1711&gt;E1711*1.1,"HIGH",IF(D1711&lt;E1711*0.5,"LOW","OK"))))</f>
        <v/>
      </c>
    </row>
    <row r="1712" ht="22" customHeight="1">
      <c r="B1712" s="8" t="inlineStr">
        <is>
          <t>MTR-PRC-005</t>
        </is>
      </c>
      <c r="C1712" s="8" t="inlineStr">
        <is>
          <t>2024-09-09</t>
        </is>
      </c>
      <c r="D1712" s="12" t="n">
        <v>23.68</v>
      </c>
      <c r="E1712" s="12" t="n">
        <v>25</v>
      </c>
      <c r="F1712" s="12">
        <f>ROUND(D1712-E1712,2)</f>
        <v/>
      </c>
      <c r="G1712" s="15">
        <f>IFERROR(ROUND(F1712/E1712,4),"")</f>
        <v/>
      </c>
      <c r="H1712" s="16">
        <f>IF(D1712=0,"NO DATA",IF(D1712&gt;E1712*1.5,"OVER",IF(D1712&gt;E1712*1.1,"HIGH",IF(D1712&lt;E1712*0.5,"LOW","OK"))))</f>
        <v/>
      </c>
    </row>
    <row r="1713" ht="22" customHeight="1">
      <c r="B1713" s="5" t="inlineStr">
        <is>
          <t>MTR-PRC-005</t>
        </is>
      </c>
      <c r="C1713" s="5" t="inlineStr">
        <is>
          <t>2024-09-10</t>
        </is>
      </c>
      <c r="D1713" s="11" t="n">
        <v>27.91</v>
      </c>
      <c r="E1713" s="11" t="n">
        <v>25</v>
      </c>
      <c r="F1713" s="11">
        <f>ROUND(D1713-E1713,2)</f>
        <v/>
      </c>
      <c r="G1713" s="13">
        <f>IFERROR(ROUND(F1713/E1713,4),"")</f>
        <v/>
      </c>
      <c r="H1713" s="14">
        <f>IF(D1713=0,"NO DATA",IF(D1713&gt;E1713*1.5,"OVER",IF(D1713&gt;E1713*1.1,"HIGH",IF(D1713&lt;E1713*0.5,"LOW","OK"))))</f>
        <v/>
      </c>
    </row>
    <row r="1714" ht="22" customHeight="1">
      <c r="B1714" s="8" t="inlineStr">
        <is>
          <t>MTR-PRC-005</t>
        </is>
      </c>
      <c r="C1714" s="8" t="inlineStr">
        <is>
          <t>2024-09-11</t>
        </is>
      </c>
      <c r="D1714" s="12" t="n">
        <v>29.05</v>
      </c>
      <c r="E1714" s="12" t="n">
        <v>25</v>
      </c>
      <c r="F1714" s="12">
        <f>ROUND(D1714-E1714,2)</f>
        <v/>
      </c>
      <c r="G1714" s="15">
        <f>IFERROR(ROUND(F1714/E1714,4),"")</f>
        <v/>
      </c>
      <c r="H1714" s="16">
        <f>IF(D1714=0,"NO DATA",IF(D1714&gt;E1714*1.5,"OVER",IF(D1714&gt;E1714*1.1,"HIGH",IF(D1714&lt;E1714*0.5,"LOW","OK"))))</f>
        <v/>
      </c>
    </row>
    <row r="1715" ht="22" customHeight="1">
      <c r="B1715" s="5" t="inlineStr">
        <is>
          <t>MTR-PRC-005</t>
        </is>
      </c>
      <c r="C1715" s="5" t="inlineStr">
        <is>
          <t>2024-09-12</t>
        </is>
      </c>
      <c r="D1715" s="11" t="n">
        <v>26.85</v>
      </c>
      <c r="E1715" s="11" t="n">
        <v>25</v>
      </c>
      <c r="F1715" s="11">
        <f>ROUND(D1715-E1715,2)</f>
        <v/>
      </c>
      <c r="G1715" s="13">
        <f>IFERROR(ROUND(F1715/E1715,4),"")</f>
        <v/>
      </c>
      <c r="H1715" s="14">
        <f>IF(D1715=0,"NO DATA",IF(D1715&gt;E1715*1.5,"OVER",IF(D1715&gt;E1715*1.1,"HIGH",IF(D1715&lt;E1715*0.5,"LOW","OK"))))</f>
        <v/>
      </c>
    </row>
    <row r="1716" ht="22" customHeight="1">
      <c r="B1716" s="8" t="inlineStr">
        <is>
          <t>MTR-PRC-005</t>
        </is>
      </c>
      <c r="C1716" s="8" t="inlineStr">
        <is>
          <t>2024-09-13</t>
        </is>
      </c>
      <c r="D1716" s="12" t="n">
        <v>26.02</v>
      </c>
      <c r="E1716" s="12" t="n">
        <v>25</v>
      </c>
      <c r="F1716" s="12">
        <f>ROUND(D1716-E1716,2)</f>
        <v/>
      </c>
      <c r="G1716" s="15">
        <f>IFERROR(ROUND(F1716/E1716,4),"")</f>
        <v/>
      </c>
      <c r="H1716" s="16">
        <f>IF(D1716=0,"NO DATA",IF(D1716&gt;E1716*1.5,"OVER",IF(D1716&gt;E1716*1.1,"HIGH",IF(D1716&lt;E1716*0.5,"LOW","OK"))))</f>
        <v/>
      </c>
    </row>
    <row r="1717" ht="22" customHeight="1">
      <c r="B1717" s="5" t="inlineStr">
        <is>
          <t>MTR-PRC-005</t>
        </is>
      </c>
      <c r="C1717" s="5" t="inlineStr">
        <is>
          <t>2024-09-14</t>
        </is>
      </c>
      <c r="D1717" s="11" t="n">
        <v>18.36</v>
      </c>
      <c r="E1717" s="11" t="n">
        <v>25</v>
      </c>
      <c r="F1717" s="11">
        <f>ROUND(D1717-E1717,2)</f>
        <v/>
      </c>
      <c r="G1717" s="13">
        <f>IFERROR(ROUND(F1717/E1717,4),"")</f>
        <v/>
      </c>
      <c r="H1717" s="14">
        <f>IF(D1717=0,"NO DATA",IF(D1717&gt;E1717*1.5,"OVER",IF(D1717&gt;E1717*1.1,"HIGH",IF(D1717&lt;E1717*0.5,"LOW","OK"))))</f>
        <v/>
      </c>
    </row>
    <row r="1718" ht="22" customHeight="1">
      <c r="B1718" s="8" t="inlineStr">
        <is>
          <t>MTR-PRC-005</t>
        </is>
      </c>
      <c r="C1718" s="8" t="inlineStr">
        <is>
          <t>2024-09-15</t>
        </is>
      </c>
      <c r="D1718" s="12" t="n">
        <v>13.81</v>
      </c>
      <c r="E1718" s="12" t="n">
        <v>25</v>
      </c>
      <c r="F1718" s="12">
        <f>ROUND(D1718-E1718,2)</f>
        <v/>
      </c>
      <c r="G1718" s="15">
        <f>IFERROR(ROUND(F1718/E1718,4),"")</f>
        <v/>
      </c>
      <c r="H1718" s="16">
        <f>IF(D1718=0,"NO DATA",IF(D1718&gt;E1718*1.5,"OVER",IF(D1718&gt;E1718*1.1,"HIGH",IF(D1718&lt;E1718*0.5,"LOW","OK"))))</f>
        <v/>
      </c>
    </row>
    <row r="1719" ht="22" customHeight="1">
      <c r="B1719" s="5" t="inlineStr">
        <is>
          <t>MTR-PRC-005</t>
        </is>
      </c>
      <c r="C1719" s="5" t="inlineStr">
        <is>
          <t>2024-09-16</t>
        </is>
      </c>
      <c r="D1719" s="11" t="n">
        <v>22.66</v>
      </c>
      <c r="E1719" s="11" t="n">
        <v>25</v>
      </c>
      <c r="F1719" s="11">
        <f>ROUND(D1719-E1719,2)</f>
        <v/>
      </c>
      <c r="G1719" s="13">
        <f>IFERROR(ROUND(F1719/E1719,4),"")</f>
        <v/>
      </c>
      <c r="H1719" s="14">
        <f>IF(D1719=0,"NO DATA",IF(D1719&gt;E1719*1.5,"OVER",IF(D1719&gt;E1719*1.1,"HIGH",IF(D1719&lt;E1719*0.5,"LOW","OK"))))</f>
        <v/>
      </c>
    </row>
    <row r="1720" ht="22" customHeight="1">
      <c r="B1720" s="8" t="inlineStr">
        <is>
          <t>MTR-PRC-005</t>
        </is>
      </c>
      <c r="C1720" s="8" t="inlineStr">
        <is>
          <t>2024-09-17</t>
        </is>
      </c>
      <c r="D1720" s="12" t="n">
        <v>22.65</v>
      </c>
      <c r="E1720" s="12" t="n">
        <v>25</v>
      </c>
      <c r="F1720" s="12">
        <f>ROUND(D1720-E1720,2)</f>
        <v/>
      </c>
      <c r="G1720" s="15">
        <f>IFERROR(ROUND(F1720/E1720,4),"")</f>
        <v/>
      </c>
      <c r="H1720" s="16">
        <f>IF(D1720=0,"NO DATA",IF(D1720&gt;E1720*1.5,"OVER",IF(D1720&gt;E1720*1.1,"HIGH",IF(D1720&lt;E1720*0.5,"LOW","OK"))))</f>
        <v/>
      </c>
    </row>
    <row r="1721" ht="22" customHeight="1">
      <c r="B1721" s="5" t="inlineStr">
        <is>
          <t>MTR-PRC-005</t>
        </is>
      </c>
      <c r="C1721" s="5" t="inlineStr">
        <is>
          <t>2024-09-18</t>
        </is>
      </c>
      <c r="D1721" s="11" t="n">
        <v>23.46</v>
      </c>
      <c r="E1721" s="11" t="n">
        <v>25</v>
      </c>
      <c r="F1721" s="11">
        <f>ROUND(D1721-E1721,2)</f>
        <v/>
      </c>
      <c r="G1721" s="13">
        <f>IFERROR(ROUND(F1721/E1721,4),"")</f>
        <v/>
      </c>
      <c r="H1721" s="14">
        <f>IF(D1721=0,"NO DATA",IF(D1721&gt;E1721*1.5,"OVER",IF(D1721&gt;E1721*1.1,"HIGH",IF(D1721&lt;E1721*0.5,"LOW","OK"))))</f>
        <v/>
      </c>
    </row>
    <row r="1722" ht="22" customHeight="1">
      <c r="B1722" s="8" t="inlineStr">
        <is>
          <t>MTR-PRC-005</t>
        </is>
      </c>
      <c r="C1722" s="8" t="inlineStr">
        <is>
          <t>2024-09-19</t>
        </is>
      </c>
      <c r="D1722" s="12" t="n">
        <v>28.89</v>
      </c>
      <c r="E1722" s="12" t="n">
        <v>25</v>
      </c>
      <c r="F1722" s="12">
        <f>ROUND(D1722-E1722,2)</f>
        <v/>
      </c>
      <c r="G1722" s="15">
        <f>IFERROR(ROUND(F1722/E1722,4),"")</f>
        <v/>
      </c>
      <c r="H1722" s="16">
        <f>IF(D1722=0,"NO DATA",IF(D1722&gt;E1722*1.5,"OVER",IF(D1722&gt;E1722*1.1,"HIGH",IF(D1722&lt;E1722*0.5,"LOW","OK"))))</f>
        <v/>
      </c>
    </row>
    <row r="1723" ht="22" customHeight="1">
      <c r="B1723" s="5" t="inlineStr">
        <is>
          <t>MTR-PRC-005</t>
        </is>
      </c>
      <c r="C1723" s="5" t="inlineStr">
        <is>
          <t>2024-09-20</t>
        </is>
      </c>
      <c r="D1723" s="11" t="n">
        <v>22.12</v>
      </c>
      <c r="E1723" s="11" t="n">
        <v>25</v>
      </c>
      <c r="F1723" s="11">
        <f>ROUND(D1723-E1723,2)</f>
        <v/>
      </c>
      <c r="G1723" s="13">
        <f>IFERROR(ROUND(F1723/E1723,4),"")</f>
        <v/>
      </c>
      <c r="H1723" s="14">
        <f>IF(D1723=0,"NO DATA",IF(D1723&gt;E1723*1.5,"OVER",IF(D1723&gt;E1723*1.1,"HIGH",IF(D1723&lt;E1723*0.5,"LOW","OK"))))</f>
        <v/>
      </c>
    </row>
    <row r="1724" ht="22" customHeight="1">
      <c r="B1724" s="8" t="inlineStr">
        <is>
          <t>MTR-PRC-005</t>
        </is>
      </c>
      <c r="C1724" s="8" t="inlineStr">
        <is>
          <t>2024-09-21</t>
        </is>
      </c>
      <c r="D1724" s="12" t="n">
        <v>20.46</v>
      </c>
      <c r="E1724" s="12" t="n">
        <v>25</v>
      </c>
      <c r="F1724" s="12">
        <f>ROUND(D1724-E1724,2)</f>
        <v/>
      </c>
      <c r="G1724" s="15">
        <f>IFERROR(ROUND(F1724/E1724,4),"")</f>
        <v/>
      </c>
      <c r="H1724" s="16">
        <f>IF(D1724=0,"NO DATA",IF(D1724&gt;E1724*1.5,"OVER",IF(D1724&gt;E1724*1.1,"HIGH",IF(D1724&lt;E1724*0.5,"LOW","OK"))))</f>
        <v/>
      </c>
    </row>
    <row r="1725" ht="22" customHeight="1">
      <c r="B1725" s="5" t="inlineStr">
        <is>
          <t>MTR-PRC-005</t>
        </is>
      </c>
      <c r="C1725" s="5" t="inlineStr">
        <is>
          <t>2024-09-22</t>
        </is>
      </c>
      <c r="D1725" s="11" t="n">
        <v>13.7</v>
      </c>
      <c r="E1725" s="11" t="n">
        <v>25</v>
      </c>
      <c r="F1725" s="11">
        <f>ROUND(D1725-E1725,2)</f>
        <v/>
      </c>
      <c r="G1725" s="13">
        <f>IFERROR(ROUND(F1725/E1725,4),"")</f>
        <v/>
      </c>
      <c r="H1725" s="14">
        <f>IF(D1725=0,"NO DATA",IF(D1725&gt;E1725*1.5,"OVER",IF(D1725&gt;E1725*1.1,"HIGH",IF(D1725&lt;E1725*0.5,"LOW","OK"))))</f>
        <v/>
      </c>
    </row>
    <row r="1726" ht="22" customHeight="1">
      <c r="B1726" s="8" t="inlineStr">
        <is>
          <t>MTR-PRC-005</t>
        </is>
      </c>
      <c r="C1726" s="8" t="inlineStr">
        <is>
          <t>2024-09-23</t>
        </is>
      </c>
      <c r="D1726" s="12" t="n">
        <v>29.17</v>
      </c>
      <c r="E1726" s="12" t="n">
        <v>25</v>
      </c>
      <c r="F1726" s="12">
        <f>ROUND(D1726-E1726,2)</f>
        <v/>
      </c>
      <c r="G1726" s="15">
        <f>IFERROR(ROUND(F1726/E1726,4),"")</f>
        <v/>
      </c>
      <c r="H1726" s="16">
        <f>IF(D1726=0,"NO DATA",IF(D1726&gt;E1726*1.5,"OVER",IF(D1726&gt;E1726*1.1,"HIGH",IF(D1726&lt;E1726*0.5,"LOW","OK"))))</f>
        <v/>
      </c>
    </row>
    <row r="1727" ht="22" customHeight="1">
      <c r="B1727" s="5" t="inlineStr">
        <is>
          <t>MTR-PRC-005</t>
        </is>
      </c>
      <c r="C1727" s="5" t="inlineStr">
        <is>
          <t>2024-09-24</t>
        </is>
      </c>
      <c r="D1727" s="11" t="n">
        <v>22.08</v>
      </c>
      <c r="E1727" s="11" t="n">
        <v>25</v>
      </c>
      <c r="F1727" s="11">
        <f>ROUND(D1727-E1727,2)</f>
        <v/>
      </c>
      <c r="G1727" s="13">
        <f>IFERROR(ROUND(F1727/E1727,4),"")</f>
        <v/>
      </c>
      <c r="H1727" s="14">
        <f>IF(D1727=0,"NO DATA",IF(D1727&gt;E1727*1.5,"OVER",IF(D1727&gt;E1727*1.1,"HIGH",IF(D1727&lt;E1727*0.5,"LOW","OK"))))</f>
        <v/>
      </c>
    </row>
    <row r="1728" ht="22" customHeight="1">
      <c r="B1728" s="8" t="inlineStr">
        <is>
          <t>MTR-PRC-005</t>
        </is>
      </c>
      <c r="C1728" s="8" t="inlineStr">
        <is>
          <t>2024-09-25</t>
        </is>
      </c>
      <c r="D1728" s="12" t="n">
        <v>27.98</v>
      </c>
      <c r="E1728" s="12" t="n">
        <v>25</v>
      </c>
      <c r="F1728" s="12">
        <f>ROUND(D1728-E1728,2)</f>
        <v/>
      </c>
      <c r="G1728" s="15">
        <f>IFERROR(ROUND(F1728/E1728,4),"")</f>
        <v/>
      </c>
      <c r="H1728" s="16">
        <f>IF(D1728=0,"NO DATA",IF(D1728&gt;E1728*1.5,"OVER",IF(D1728&gt;E1728*1.1,"HIGH",IF(D1728&lt;E1728*0.5,"LOW","OK"))))</f>
        <v/>
      </c>
    </row>
    <row r="1729" ht="22" customHeight="1">
      <c r="B1729" s="5" t="inlineStr">
        <is>
          <t>MTR-PRC-005</t>
        </is>
      </c>
      <c r="C1729" s="5" t="inlineStr">
        <is>
          <t>2024-09-26</t>
        </is>
      </c>
      <c r="D1729" s="11" t="n">
        <v>22.42</v>
      </c>
      <c r="E1729" s="11" t="n">
        <v>25</v>
      </c>
      <c r="F1729" s="11">
        <f>ROUND(D1729-E1729,2)</f>
        <v/>
      </c>
      <c r="G1729" s="13">
        <f>IFERROR(ROUND(F1729/E1729,4),"")</f>
        <v/>
      </c>
      <c r="H1729" s="14">
        <f>IF(D1729=0,"NO DATA",IF(D1729&gt;E1729*1.5,"OVER",IF(D1729&gt;E1729*1.1,"HIGH",IF(D1729&lt;E1729*0.5,"LOW","OK"))))</f>
        <v/>
      </c>
    </row>
    <row r="1730" ht="22" customHeight="1">
      <c r="B1730" s="8" t="inlineStr">
        <is>
          <t>MTR-PRC-005</t>
        </is>
      </c>
      <c r="C1730" s="8" t="inlineStr">
        <is>
          <t>2024-09-27</t>
        </is>
      </c>
      <c r="D1730" s="12" t="n">
        <v>22.33</v>
      </c>
      <c r="E1730" s="12" t="n">
        <v>25</v>
      </c>
      <c r="F1730" s="12">
        <f>ROUND(D1730-E1730,2)</f>
        <v/>
      </c>
      <c r="G1730" s="15">
        <f>IFERROR(ROUND(F1730/E1730,4),"")</f>
        <v/>
      </c>
      <c r="H1730" s="16">
        <f>IF(D1730=0,"NO DATA",IF(D1730&gt;E1730*1.5,"OVER",IF(D1730&gt;E1730*1.1,"HIGH",IF(D1730&lt;E1730*0.5,"LOW","OK"))))</f>
        <v/>
      </c>
    </row>
    <row r="1731" ht="22" customHeight="1">
      <c r="B1731" s="5" t="inlineStr">
        <is>
          <t>MTR-PRC-005</t>
        </is>
      </c>
      <c r="C1731" s="5" t="inlineStr">
        <is>
          <t>2024-09-28</t>
        </is>
      </c>
      <c r="D1731" s="11" t="n">
        <v>19.21</v>
      </c>
      <c r="E1731" s="11" t="n">
        <v>25</v>
      </c>
      <c r="F1731" s="11">
        <f>ROUND(D1731-E1731,2)</f>
        <v/>
      </c>
      <c r="G1731" s="13">
        <f>IFERROR(ROUND(F1731/E1731,4),"")</f>
        <v/>
      </c>
      <c r="H1731" s="14">
        <f>IF(D1731=0,"NO DATA",IF(D1731&gt;E1731*1.5,"OVER",IF(D1731&gt;E1731*1.1,"HIGH",IF(D1731&lt;E1731*0.5,"LOW","OK"))))</f>
        <v/>
      </c>
    </row>
    <row r="1732" ht="22" customHeight="1">
      <c r="B1732" s="8" t="inlineStr">
        <is>
          <t>MTR-PRC-005</t>
        </is>
      </c>
      <c r="C1732" s="8" t="inlineStr">
        <is>
          <t>2024-09-29</t>
        </is>
      </c>
      <c r="D1732" s="12" t="n">
        <v>15.51</v>
      </c>
      <c r="E1732" s="12" t="n">
        <v>25</v>
      </c>
      <c r="F1732" s="12">
        <f>ROUND(D1732-E1732,2)</f>
        <v/>
      </c>
      <c r="G1732" s="15">
        <f>IFERROR(ROUND(F1732/E1732,4),"")</f>
        <v/>
      </c>
      <c r="H1732" s="16">
        <f>IF(D1732=0,"NO DATA",IF(D1732&gt;E1732*1.5,"OVER",IF(D1732&gt;E1732*1.1,"HIGH",IF(D1732&lt;E1732*0.5,"LOW","OK"))))</f>
        <v/>
      </c>
    </row>
    <row r="1733" ht="22" customHeight="1">
      <c r="B1733" s="5" t="inlineStr">
        <is>
          <t>MTR-PRC-005</t>
        </is>
      </c>
      <c r="C1733" s="5" t="inlineStr">
        <is>
          <t>2024-09-30</t>
        </is>
      </c>
      <c r="D1733" s="11" t="n">
        <v>28.08</v>
      </c>
      <c r="E1733" s="11" t="n">
        <v>25</v>
      </c>
      <c r="F1733" s="11">
        <f>ROUND(D1733-E1733,2)</f>
        <v/>
      </c>
      <c r="G1733" s="13">
        <f>IFERROR(ROUND(F1733/E1733,4),"")</f>
        <v/>
      </c>
      <c r="H1733" s="14">
        <f>IF(D1733=0,"NO DATA",IF(D1733&gt;E1733*1.5,"OVER",IF(D1733&gt;E1733*1.1,"HIGH",IF(D1733&lt;E1733*0.5,"LOW","OK"))))</f>
        <v/>
      </c>
    </row>
    <row r="1734" ht="22" customHeight="1">
      <c r="B1734" s="8" t="inlineStr">
        <is>
          <t>MTR-PRC-005</t>
        </is>
      </c>
      <c r="C1734" s="8" t="inlineStr">
        <is>
          <t>2024-10-01</t>
        </is>
      </c>
      <c r="D1734" s="12" t="n">
        <v>22.54</v>
      </c>
      <c r="E1734" s="12" t="n">
        <v>25</v>
      </c>
      <c r="F1734" s="12">
        <f>ROUND(D1734-E1734,2)</f>
        <v/>
      </c>
      <c r="G1734" s="15">
        <f>IFERROR(ROUND(F1734/E1734,4),"")</f>
        <v/>
      </c>
      <c r="H1734" s="16">
        <f>IF(D1734=0,"NO DATA",IF(D1734&gt;E1734*1.5,"OVER",IF(D1734&gt;E1734*1.1,"HIGH",IF(D1734&lt;E1734*0.5,"LOW","OK"))))</f>
        <v/>
      </c>
    </row>
    <row r="1735" ht="22" customHeight="1">
      <c r="B1735" s="5" t="inlineStr">
        <is>
          <t>MTR-PRC-005</t>
        </is>
      </c>
      <c r="C1735" s="5" t="inlineStr">
        <is>
          <t>2024-10-02</t>
        </is>
      </c>
      <c r="D1735" s="11" t="n">
        <v>26.9</v>
      </c>
      <c r="E1735" s="11" t="n">
        <v>25</v>
      </c>
      <c r="F1735" s="11">
        <f>ROUND(D1735-E1735,2)</f>
        <v/>
      </c>
      <c r="G1735" s="13">
        <f>IFERROR(ROUND(F1735/E1735,4),"")</f>
        <v/>
      </c>
      <c r="H1735" s="14">
        <f>IF(D1735=0,"NO DATA",IF(D1735&gt;E1735*1.5,"OVER",IF(D1735&gt;E1735*1.1,"HIGH",IF(D1735&lt;E1735*0.5,"LOW","OK"))))</f>
        <v/>
      </c>
    </row>
    <row r="1736" ht="22" customHeight="1">
      <c r="B1736" s="8" t="inlineStr">
        <is>
          <t>MTR-PRC-005</t>
        </is>
      </c>
      <c r="C1736" s="8" t="inlineStr">
        <is>
          <t>2024-10-03</t>
        </is>
      </c>
      <c r="D1736" s="12" t="n">
        <v>28.18</v>
      </c>
      <c r="E1736" s="12" t="n">
        <v>25</v>
      </c>
      <c r="F1736" s="12">
        <f>ROUND(D1736-E1736,2)</f>
        <v/>
      </c>
      <c r="G1736" s="15">
        <f>IFERROR(ROUND(F1736/E1736,4),"")</f>
        <v/>
      </c>
      <c r="H1736" s="16">
        <f>IF(D1736=0,"NO DATA",IF(D1736&gt;E1736*1.5,"OVER",IF(D1736&gt;E1736*1.1,"HIGH",IF(D1736&lt;E1736*0.5,"LOW","OK"))))</f>
        <v/>
      </c>
    </row>
    <row r="1737" ht="22" customHeight="1">
      <c r="B1737" s="5" t="inlineStr">
        <is>
          <t>MTR-PRC-005</t>
        </is>
      </c>
      <c r="C1737" s="5" t="inlineStr">
        <is>
          <t>2024-10-04</t>
        </is>
      </c>
      <c r="D1737" s="11" t="n">
        <v>25.87</v>
      </c>
      <c r="E1737" s="11" t="n">
        <v>25</v>
      </c>
      <c r="F1737" s="11">
        <f>ROUND(D1737-E1737,2)</f>
        <v/>
      </c>
      <c r="G1737" s="13">
        <f>IFERROR(ROUND(F1737/E1737,4),"")</f>
        <v/>
      </c>
      <c r="H1737" s="14">
        <f>IF(D1737=0,"NO DATA",IF(D1737&gt;E1737*1.5,"OVER",IF(D1737&gt;E1737*1.1,"HIGH",IF(D1737&lt;E1737*0.5,"LOW","OK"))))</f>
        <v/>
      </c>
    </row>
    <row r="1738" ht="22" customHeight="1">
      <c r="B1738" s="8" t="inlineStr">
        <is>
          <t>MTR-PRC-005</t>
        </is>
      </c>
      <c r="C1738" s="8" t="inlineStr">
        <is>
          <t>2024-10-05</t>
        </is>
      </c>
      <c r="D1738" s="12" t="n">
        <v>18.99</v>
      </c>
      <c r="E1738" s="12" t="n">
        <v>25</v>
      </c>
      <c r="F1738" s="12">
        <f>ROUND(D1738-E1738,2)</f>
        <v/>
      </c>
      <c r="G1738" s="15">
        <f>IFERROR(ROUND(F1738/E1738,4),"")</f>
        <v/>
      </c>
      <c r="H1738" s="16">
        <f>IF(D1738=0,"NO DATA",IF(D1738&gt;E1738*1.5,"OVER",IF(D1738&gt;E1738*1.1,"HIGH",IF(D1738&lt;E1738*0.5,"LOW","OK"))))</f>
        <v/>
      </c>
    </row>
    <row r="1739" ht="22" customHeight="1">
      <c r="B1739" s="5" t="inlineStr">
        <is>
          <t>MTR-PRC-005</t>
        </is>
      </c>
      <c r="C1739" s="5" t="inlineStr">
        <is>
          <t>2024-10-06</t>
        </is>
      </c>
      <c r="D1739" s="11" t="n">
        <v>13.33</v>
      </c>
      <c r="E1739" s="11" t="n">
        <v>25</v>
      </c>
      <c r="F1739" s="11">
        <f>ROUND(D1739-E1739,2)</f>
        <v/>
      </c>
      <c r="G1739" s="13">
        <f>IFERROR(ROUND(F1739/E1739,4),"")</f>
        <v/>
      </c>
      <c r="H1739" s="14">
        <f>IF(D1739=0,"NO DATA",IF(D1739&gt;E1739*1.5,"OVER",IF(D1739&gt;E1739*1.1,"HIGH",IF(D1739&lt;E1739*0.5,"LOW","OK"))))</f>
        <v/>
      </c>
    </row>
    <row r="1740" ht="22" customHeight="1">
      <c r="B1740" s="8" t="inlineStr">
        <is>
          <t>MTR-PRC-005</t>
        </is>
      </c>
      <c r="C1740" s="8" t="inlineStr">
        <is>
          <t>2024-10-07</t>
        </is>
      </c>
      <c r="D1740" s="12" t="n">
        <v>23.03</v>
      </c>
      <c r="E1740" s="12" t="n">
        <v>25</v>
      </c>
      <c r="F1740" s="12">
        <f>ROUND(D1740-E1740,2)</f>
        <v/>
      </c>
      <c r="G1740" s="15">
        <f>IFERROR(ROUND(F1740/E1740,4),"")</f>
        <v/>
      </c>
      <c r="H1740" s="16">
        <f>IF(D1740=0,"NO DATA",IF(D1740&gt;E1740*1.5,"OVER",IF(D1740&gt;E1740*1.1,"HIGH",IF(D1740&lt;E1740*0.5,"LOW","OK"))))</f>
        <v/>
      </c>
    </row>
    <row r="1741" ht="22" customHeight="1">
      <c r="B1741" s="5" t="inlineStr">
        <is>
          <t>MTR-PRC-005</t>
        </is>
      </c>
      <c r="C1741" s="5" t="inlineStr">
        <is>
          <t>2024-10-08</t>
        </is>
      </c>
      <c r="D1741" s="11" t="n">
        <v>21.64</v>
      </c>
      <c r="E1741" s="11" t="n">
        <v>25</v>
      </c>
      <c r="F1741" s="11">
        <f>ROUND(D1741-E1741,2)</f>
        <v/>
      </c>
      <c r="G1741" s="13">
        <f>IFERROR(ROUND(F1741/E1741,4),"")</f>
        <v/>
      </c>
      <c r="H1741" s="14">
        <f>IF(D1741=0,"NO DATA",IF(D1741&gt;E1741*1.5,"OVER",IF(D1741&gt;E1741*1.1,"HIGH",IF(D1741&lt;E1741*0.5,"LOW","OK"))))</f>
        <v/>
      </c>
    </row>
    <row r="1742" ht="22" customHeight="1">
      <c r="B1742" s="8" t="inlineStr">
        <is>
          <t>MTR-PRC-005</t>
        </is>
      </c>
      <c r="C1742" s="8" t="inlineStr">
        <is>
          <t>2024-10-09</t>
        </is>
      </c>
      <c r="D1742" s="12" t="n">
        <v>27.67</v>
      </c>
      <c r="E1742" s="12" t="n">
        <v>25</v>
      </c>
      <c r="F1742" s="12">
        <f>ROUND(D1742-E1742,2)</f>
        <v/>
      </c>
      <c r="G1742" s="15">
        <f>IFERROR(ROUND(F1742/E1742,4),"")</f>
        <v/>
      </c>
      <c r="H1742" s="16">
        <f>IF(D1742=0,"NO DATA",IF(D1742&gt;E1742*1.5,"OVER",IF(D1742&gt;E1742*1.1,"HIGH",IF(D1742&lt;E1742*0.5,"LOW","OK"))))</f>
        <v/>
      </c>
    </row>
    <row r="1743" ht="22" customHeight="1">
      <c r="B1743" s="5" t="inlineStr">
        <is>
          <t>MTR-PRC-005</t>
        </is>
      </c>
      <c r="C1743" s="5" t="inlineStr">
        <is>
          <t>2024-10-10</t>
        </is>
      </c>
      <c r="D1743" s="11" t="n">
        <v>21.57</v>
      </c>
      <c r="E1743" s="11" t="n">
        <v>25</v>
      </c>
      <c r="F1743" s="11">
        <f>ROUND(D1743-E1743,2)</f>
        <v/>
      </c>
      <c r="G1743" s="13">
        <f>IFERROR(ROUND(F1743/E1743,4),"")</f>
        <v/>
      </c>
      <c r="H1743" s="14">
        <f>IF(D1743=0,"NO DATA",IF(D1743&gt;E1743*1.5,"OVER",IF(D1743&gt;E1743*1.1,"HIGH",IF(D1743&lt;E1743*0.5,"LOW","OK"))))</f>
        <v/>
      </c>
    </row>
    <row r="1744" ht="22" customHeight="1">
      <c r="B1744" s="8" t="inlineStr">
        <is>
          <t>MTR-PRC-005</t>
        </is>
      </c>
      <c r="C1744" s="8" t="inlineStr">
        <is>
          <t>2024-10-11</t>
        </is>
      </c>
      <c r="D1744" s="12" t="n">
        <v>24.67</v>
      </c>
      <c r="E1744" s="12" t="n">
        <v>25</v>
      </c>
      <c r="F1744" s="12">
        <f>ROUND(D1744-E1744,2)</f>
        <v/>
      </c>
      <c r="G1744" s="15">
        <f>IFERROR(ROUND(F1744/E1744,4),"")</f>
        <v/>
      </c>
      <c r="H1744" s="16">
        <f>IF(D1744=0,"NO DATA",IF(D1744&gt;E1744*1.5,"OVER",IF(D1744&gt;E1744*1.1,"HIGH",IF(D1744&lt;E1744*0.5,"LOW","OK"))))</f>
        <v/>
      </c>
    </row>
    <row r="1745" ht="22" customHeight="1">
      <c r="B1745" s="5" t="inlineStr">
        <is>
          <t>MTR-PRC-005</t>
        </is>
      </c>
      <c r="C1745" s="5" t="inlineStr">
        <is>
          <t>2024-10-12</t>
        </is>
      </c>
      <c r="D1745" s="11" t="n">
        <v>17.54</v>
      </c>
      <c r="E1745" s="11" t="n">
        <v>25</v>
      </c>
      <c r="F1745" s="11">
        <f>ROUND(D1745-E1745,2)</f>
        <v/>
      </c>
      <c r="G1745" s="13">
        <f>IFERROR(ROUND(F1745/E1745,4),"")</f>
        <v/>
      </c>
      <c r="H1745" s="14">
        <f>IF(D1745=0,"NO DATA",IF(D1745&gt;E1745*1.5,"OVER",IF(D1745&gt;E1745*1.1,"HIGH",IF(D1745&lt;E1745*0.5,"LOW","OK"))))</f>
        <v/>
      </c>
    </row>
    <row r="1746" ht="22" customHeight="1">
      <c r="B1746" s="8" t="inlineStr">
        <is>
          <t>MTR-PRC-005</t>
        </is>
      </c>
      <c r="C1746" s="8" t="inlineStr">
        <is>
          <t>2024-10-13</t>
        </is>
      </c>
      <c r="D1746" s="12" t="n">
        <v>12</v>
      </c>
      <c r="E1746" s="12" t="n">
        <v>25</v>
      </c>
      <c r="F1746" s="12">
        <f>ROUND(D1746-E1746,2)</f>
        <v/>
      </c>
      <c r="G1746" s="15">
        <f>IFERROR(ROUND(F1746/E1746,4),"")</f>
        <v/>
      </c>
      <c r="H1746" s="16">
        <f>IF(D1746=0,"NO DATA",IF(D1746&gt;E1746*1.5,"OVER",IF(D1746&gt;E1746*1.1,"HIGH",IF(D1746&lt;E1746*0.5,"LOW","OK"))))</f>
        <v/>
      </c>
    </row>
    <row r="1747" ht="22" customHeight="1">
      <c r="B1747" s="5" t="inlineStr">
        <is>
          <t>MTR-PRC-005</t>
        </is>
      </c>
      <c r="C1747" s="5" t="inlineStr">
        <is>
          <t>2024-10-14</t>
        </is>
      </c>
      <c r="D1747" s="11" t="n">
        <v>25.2</v>
      </c>
      <c r="E1747" s="11" t="n">
        <v>25</v>
      </c>
      <c r="F1747" s="11">
        <f>ROUND(D1747-E1747,2)</f>
        <v/>
      </c>
      <c r="G1747" s="13">
        <f>IFERROR(ROUND(F1747/E1747,4),"")</f>
        <v/>
      </c>
      <c r="H1747" s="14">
        <f>IF(D1747=0,"NO DATA",IF(D1747&gt;E1747*1.5,"OVER",IF(D1747&gt;E1747*1.1,"HIGH",IF(D1747&lt;E1747*0.5,"LOW","OK"))))</f>
        <v/>
      </c>
    </row>
    <row r="1748" ht="22" customHeight="1">
      <c r="B1748" s="8" t="inlineStr">
        <is>
          <t>MTR-PRC-005</t>
        </is>
      </c>
      <c r="C1748" s="8" t="inlineStr">
        <is>
          <t>2024-10-15</t>
        </is>
      </c>
      <c r="D1748" s="12" t="n">
        <v>28.95</v>
      </c>
      <c r="E1748" s="12" t="n">
        <v>25</v>
      </c>
      <c r="F1748" s="12">
        <f>ROUND(D1748-E1748,2)</f>
        <v/>
      </c>
      <c r="G1748" s="15">
        <f>IFERROR(ROUND(F1748/E1748,4),"")</f>
        <v/>
      </c>
      <c r="H1748" s="16">
        <f>IF(D1748=0,"NO DATA",IF(D1748&gt;E1748*1.5,"OVER",IF(D1748&gt;E1748*1.1,"HIGH",IF(D1748&lt;E1748*0.5,"LOW","OK"))))</f>
        <v/>
      </c>
    </row>
    <row r="1749" ht="22" customHeight="1">
      <c r="B1749" s="5" t="inlineStr">
        <is>
          <t>MTR-PRC-005</t>
        </is>
      </c>
      <c r="C1749" s="5" t="inlineStr">
        <is>
          <t>2024-10-16</t>
        </is>
      </c>
      <c r="D1749" s="11" t="n">
        <v>24.08</v>
      </c>
      <c r="E1749" s="11" t="n">
        <v>25</v>
      </c>
      <c r="F1749" s="11">
        <f>ROUND(D1749-E1749,2)</f>
        <v/>
      </c>
      <c r="G1749" s="13">
        <f>IFERROR(ROUND(F1749/E1749,4),"")</f>
        <v/>
      </c>
      <c r="H1749" s="14">
        <f>IF(D1749=0,"NO DATA",IF(D1749&gt;E1749*1.5,"OVER",IF(D1749&gt;E1749*1.1,"HIGH",IF(D1749&lt;E1749*0.5,"LOW","OK"))))</f>
        <v/>
      </c>
    </row>
    <row r="1750" ht="22" customHeight="1">
      <c r="B1750" s="8" t="inlineStr">
        <is>
          <t>MTR-PRC-005</t>
        </is>
      </c>
      <c r="C1750" s="8" t="inlineStr">
        <is>
          <t>2024-10-17</t>
        </is>
      </c>
      <c r="D1750" s="12" t="n">
        <v>25.66</v>
      </c>
      <c r="E1750" s="12" t="n">
        <v>25</v>
      </c>
      <c r="F1750" s="12">
        <f>ROUND(D1750-E1750,2)</f>
        <v/>
      </c>
      <c r="G1750" s="15">
        <f>IFERROR(ROUND(F1750/E1750,4),"")</f>
        <v/>
      </c>
      <c r="H1750" s="16">
        <f>IF(D1750=0,"NO DATA",IF(D1750&gt;E1750*1.5,"OVER",IF(D1750&gt;E1750*1.1,"HIGH",IF(D1750&lt;E1750*0.5,"LOW","OK"))))</f>
        <v/>
      </c>
    </row>
    <row r="1751" ht="22" customHeight="1">
      <c r="B1751" s="5" t="inlineStr">
        <is>
          <t>MTR-PRC-005</t>
        </is>
      </c>
      <c r="C1751" s="5" t="inlineStr">
        <is>
          <t>2024-10-18</t>
        </is>
      </c>
      <c r="D1751" s="11" t="n">
        <v>25.01</v>
      </c>
      <c r="E1751" s="11" t="n">
        <v>25</v>
      </c>
      <c r="F1751" s="11">
        <f>ROUND(D1751-E1751,2)</f>
        <v/>
      </c>
      <c r="G1751" s="13">
        <f>IFERROR(ROUND(F1751/E1751,4),"")</f>
        <v/>
      </c>
      <c r="H1751" s="14">
        <f>IF(D1751=0,"NO DATA",IF(D1751&gt;E1751*1.5,"OVER",IF(D1751&gt;E1751*1.1,"HIGH",IF(D1751&lt;E1751*0.5,"LOW","OK"))))</f>
        <v/>
      </c>
    </row>
    <row r="1752" ht="22" customHeight="1">
      <c r="B1752" s="8" t="inlineStr">
        <is>
          <t>MTR-PRC-005</t>
        </is>
      </c>
      <c r="C1752" s="8" t="inlineStr">
        <is>
          <t>2024-10-19</t>
        </is>
      </c>
      <c r="D1752" s="12" t="n">
        <v>22.06</v>
      </c>
      <c r="E1752" s="12" t="n">
        <v>25</v>
      </c>
      <c r="F1752" s="12">
        <f>ROUND(D1752-E1752,2)</f>
        <v/>
      </c>
      <c r="G1752" s="15">
        <f>IFERROR(ROUND(F1752/E1752,4),"")</f>
        <v/>
      </c>
      <c r="H1752" s="16">
        <f>IF(D1752=0,"NO DATA",IF(D1752&gt;E1752*1.5,"OVER",IF(D1752&gt;E1752*1.1,"HIGH",IF(D1752&lt;E1752*0.5,"LOW","OK"))))</f>
        <v/>
      </c>
    </row>
    <row r="1753" ht="22" customHeight="1">
      <c r="B1753" s="5" t="inlineStr">
        <is>
          <t>MTR-PRC-005</t>
        </is>
      </c>
      <c r="C1753" s="5" t="inlineStr">
        <is>
          <t>2024-10-20</t>
        </is>
      </c>
      <c r="D1753" s="11" t="n">
        <v>14.11</v>
      </c>
      <c r="E1753" s="11" t="n">
        <v>25</v>
      </c>
      <c r="F1753" s="11">
        <f>ROUND(D1753-E1753,2)</f>
        <v/>
      </c>
      <c r="G1753" s="13">
        <f>IFERROR(ROUND(F1753/E1753,4),"")</f>
        <v/>
      </c>
      <c r="H1753" s="14">
        <f>IF(D1753=0,"NO DATA",IF(D1753&gt;E1753*1.5,"OVER",IF(D1753&gt;E1753*1.1,"HIGH",IF(D1753&lt;E1753*0.5,"LOW","OK"))))</f>
        <v/>
      </c>
    </row>
    <row r="1754" ht="22" customHeight="1">
      <c r="B1754" s="8" t="inlineStr">
        <is>
          <t>MTR-PRC-005</t>
        </is>
      </c>
      <c r="C1754" s="8" t="inlineStr">
        <is>
          <t>2024-10-21</t>
        </is>
      </c>
      <c r="D1754" s="12" t="n">
        <v>26.43</v>
      </c>
      <c r="E1754" s="12" t="n">
        <v>25</v>
      </c>
      <c r="F1754" s="12">
        <f>ROUND(D1754-E1754,2)</f>
        <v/>
      </c>
      <c r="G1754" s="15">
        <f>IFERROR(ROUND(F1754/E1754,4),"")</f>
        <v/>
      </c>
      <c r="H1754" s="16">
        <f>IF(D1754=0,"NO DATA",IF(D1754&gt;E1754*1.5,"OVER",IF(D1754&gt;E1754*1.1,"HIGH",IF(D1754&lt;E1754*0.5,"LOW","OK"))))</f>
        <v/>
      </c>
    </row>
    <row r="1755" ht="22" customHeight="1">
      <c r="B1755" s="5" t="inlineStr">
        <is>
          <t>MTR-PRC-005</t>
        </is>
      </c>
      <c r="C1755" s="5" t="inlineStr">
        <is>
          <t>2024-10-22</t>
        </is>
      </c>
      <c r="D1755" s="11" t="n">
        <v>21.65</v>
      </c>
      <c r="E1755" s="11" t="n">
        <v>25</v>
      </c>
      <c r="F1755" s="11">
        <f>ROUND(D1755-E1755,2)</f>
        <v/>
      </c>
      <c r="G1755" s="13">
        <f>IFERROR(ROUND(F1755/E1755,4),"")</f>
        <v/>
      </c>
      <c r="H1755" s="14">
        <f>IF(D1755=0,"NO DATA",IF(D1755&gt;E1755*1.5,"OVER",IF(D1755&gt;E1755*1.1,"HIGH",IF(D1755&lt;E1755*0.5,"LOW","OK"))))</f>
        <v/>
      </c>
    </row>
    <row r="1756" ht="22" customHeight="1">
      <c r="B1756" s="8" t="inlineStr">
        <is>
          <t>MTR-PRC-005</t>
        </is>
      </c>
      <c r="C1756" s="8" t="inlineStr">
        <is>
          <t>2024-10-23</t>
        </is>
      </c>
      <c r="D1756" s="12" t="n">
        <v>28.82</v>
      </c>
      <c r="E1756" s="12" t="n">
        <v>25</v>
      </c>
      <c r="F1756" s="12">
        <f>ROUND(D1756-E1756,2)</f>
        <v/>
      </c>
      <c r="G1756" s="15">
        <f>IFERROR(ROUND(F1756/E1756,4),"")</f>
        <v/>
      </c>
      <c r="H1756" s="16">
        <f>IF(D1756=0,"NO DATA",IF(D1756&gt;E1756*1.5,"OVER",IF(D1756&gt;E1756*1.1,"HIGH",IF(D1756&lt;E1756*0.5,"LOW","OK"))))</f>
        <v/>
      </c>
    </row>
    <row r="1757" ht="22" customHeight="1">
      <c r="B1757" s="5" t="inlineStr">
        <is>
          <t>MTR-PRC-005</t>
        </is>
      </c>
      <c r="C1757" s="5" t="inlineStr">
        <is>
          <t>2024-10-24</t>
        </is>
      </c>
      <c r="D1757" s="11" t="n">
        <v>21.91</v>
      </c>
      <c r="E1757" s="11" t="n">
        <v>25</v>
      </c>
      <c r="F1757" s="11">
        <f>ROUND(D1757-E1757,2)</f>
        <v/>
      </c>
      <c r="G1757" s="13">
        <f>IFERROR(ROUND(F1757/E1757,4),"")</f>
        <v/>
      </c>
      <c r="H1757" s="14">
        <f>IF(D1757=0,"NO DATA",IF(D1757&gt;E1757*1.5,"OVER",IF(D1757&gt;E1757*1.1,"HIGH",IF(D1757&lt;E1757*0.5,"LOW","OK"))))</f>
        <v/>
      </c>
    </row>
    <row r="1758" ht="22" customHeight="1">
      <c r="B1758" s="8" t="inlineStr">
        <is>
          <t>MTR-PRC-005</t>
        </is>
      </c>
      <c r="C1758" s="8" t="inlineStr">
        <is>
          <t>2024-10-25</t>
        </is>
      </c>
      <c r="D1758" s="12" t="n">
        <v>24.06</v>
      </c>
      <c r="E1758" s="12" t="n">
        <v>25</v>
      </c>
      <c r="F1758" s="12">
        <f>ROUND(D1758-E1758,2)</f>
        <v/>
      </c>
      <c r="G1758" s="15">
        <f>IFERROR(ROUND(F1758/E1758,4),"")</f>
        <v/>
      </c>
      <c r="H1758" s="16">
        <f>IF(D1758=0,"NO DATA",IF(D1758&gt;E1758*1.5,"OVER",IF(D1758&gt;E1758*1.1,"HIGH",IF(D1758&lt;E1758*0.5,"LOW","OK"))))</f>
        <v/>
      </c>
    </row>
    <row r="1759" ht="22" customHeight="1">
      <c r="B1759" s="5" t="inlineStr">
        <is>
          <t>MTR-PRC-005</t>
        </is>
      </c>
      <c r="C1759" s="5" t="inlineStr">
        <is>
          <t>2024-10-26</t>
        </is>
      </c>
      <c r="D1759" s="11" t="n">
        <v>19.13</v>
      </c>
      <c r="E1759" s="11" t="n">
        <v>25</v>
      </c>
      <c r="F1759" s="11">
        <f>ROUND(D1759-E1759,2)</f>
        <v/>
      </c>
      <c r="G1759" s="13">
        <f>IFERROR(ROUND(F1759/E1759,4),"")</f>
        <v/>
      </c>
      <c r="H1759" s="14">
        <f>IF(D1759=0,"NO DATA",IF(D1759&gt;E1759*1.5,"OVER",IF(D1759&gt;E1759*1.1,"HIGH",IF(D1759&lt;E1759*0.5,"LOW","OK"))))</f>
        <v/>
      </c>
    </row>
    <row r="1760" ht="22" customHeight="1">
      <c r="B1760" s="8" t="inlineStr">
        <is>
          <t>MTR-PRC-005</t>
        </is>
      </c>
      <c r="C1760" s="8" t="inlineStr">
        <is>
          <t>2024-10-27</t>
        </is>
      </c>
      <c r="D1760" s="12" t="n">
        <v>12.55</v>
      </c>
      <c r="E1760" s="12" t="n">
        <v>25</v>
      </c>
      <c r="F1760" s="12">
        <f>ROUND(D1760-E1760,2)</f>
        <v/>
      </c>
      <c r="G1760" s="15">
        <f>IFERROR(ROUND(F1760/E1760,4),"")</f>
        <v/>
      </c>
      <c r="H1760" s="16">
        <f>IF(D1760=0,"NO DATA",IF(D1760&gt;E1760*1.5,"OVER",IF(D1760&gt;E1760*1.1,"HIGH",IF(D1760&lt;E1760*0.5,"LOW","OK"))))</f>
        <v/>
      </c>
    </row>
    <row r="1761" ht="22" customHeight="1">
      <c r="B1761" s="5" t="inlineStr">
        <is>
          <t>MTR-PRC-005</t>
        </is>
      </c>
      <c r="C1761" s="5" t="inlineStr">
        <is>
          <t>2024-10-28</t>
        </is>
      </c>
      <c r="D1761" s="11" t="n">
        <v>24.49</v>
      </c>
      <c r="E1761" s="11" t="n">
        <v>25</v>
      </c>
      <c r="F1761" s="11">
        <f>ROUND(D1761-E1761,2)</f>
        <v/>
      </c>
      <c r="G1761" s="13">
        <f>IFERROR(ROUND(F1761/E1761,4),"")</f>
        <v/>
      </c>
      <c r="H1761" s="14">
        <f>IF(D1761=0,"NO DATA",IF(D1761&gt;E1761*1.5,"OVER",IF(D1761&gt;E1761*1.1,"HIGH",IF(D1761&lt;E1761*0.5,"LOW","OK"))))</f>
        <v/>
      </c>
    </row>
    <row r="1762" ht="22" customHeight="1">
      <c r="B1762" s="8" t="inlineStr">
        <is>
          <t>MTR-PRC-005</t>
        </is>
      </c>
      <c r="C1762" s="8" t="inlineStr">
        <is>
          <t>2024-10-29</t>
        </is>
      </c>
      <c r="D1762" s="12" t="n">
        <v>22.56</v>
      </c>
      <c r="E1762" s="12" t="n">
        <v>25</v>
      </c>
      <c r="F1762" s="12">
        <f>ROUND(D1762-E1762,2)</f>
        <v/>
      </c>
      <c r="G1762" s="15">
        <f>IFERROR(ROUND(F1762/E1762,4),"")</f>
        <v/>
      </c>
      <c r="H1762" s="16">
        <f>IF(D1762=0,"NO DATA",IF(D1762&gt;E1762*1.5,"OVER",IF(D1762&gt;E1762*1.1,"HIGH",IF(D1762&lt;E1762*0.5,"LOW","OK"))))</f>
        <v/>
      </c>
    </row>
    <row r="1763" ht="22" customHeight="1">
      <c r="B1763" s="5" t="inlineStr">
        <is>
          <t>MTR-PRC-005</t>
        </is>
      </c>
      <c r="C1763" s="5" t="inlineStr">
        <is>
          <t>2024-10-30</t>
        </is>
      </c>
      <c r="D1763" s="11" t="n">
        <v>23.61</v>
      </c>
      <c r="E1763" s="11" t="n">
        <v>25</v>
      </c>
      <c r="F1763" s="11">
        <f>ROUND(D1763-E1763,2)</f>
        <v/>
      </c>
      <c r="G1763" s="13">
        <f>IFERROR(ROUND(F1763/E1763,4),"")</f>
        <v/>
      </c>
      <c r="H1763" s="14">
        <f>IF(D1763=0,"NO DATA",IF(D1763&gt;E1763*1.5,"OVER",IF(D1763&gt;E1763*1.1,"HIGH",IF(D1763&lt;E1763*0.5,"LOW","OK"))))</f>
        <v/>
      </c>
    </row>
    <row r="1764" ht="22" customHeight="1">
      <c r="B1764" s="8" t="inlineStr">
        <is>
          <t>MTR-PRC-005</t>
        </is>
      </c>
      <c r="C1764" s="8" t="inlineStr">
        <is>
          <t>2024-10-31</t>
        </is>
      </c>
      <c r="D1764" s="12" t="n">
        <v>24.2</v>
      </c>
      <c r="E1764" s="12" t="n">
        <v>25</v>
      </c>
      <c r="F1764" s="12">
        <f>ROUND(D1764-E1764,2)</f>
        <v/>
      </c>
      <c r="G1764" s="15">
        <f>IFERROR(ROUND(F1764/E1764,4),"")</f>
        <v/>
      </c>
      <c r="H1764" s="16">
        <f>IF(D1764=0,"NO DATA",IF(D1764&gt;E1764*1.5,"OVER",IF(D1764&gt;E1764*1.1,"HIGH",IF(D1764&lt;E1764*0.5,"LOW","OK"))))</f>
        <v/>
      </c>
    </row>
    <row r="1765" ht="22" customHeight="1">
      <c r="B1765" s="5" t="inlineStr">
        <is>
          <t>MTR-PRC-005</t>
        </is>
      </c>
      <c r="C1765" s="5" t="inlineStr">
        <is>
          <t>2024-11-01</t>
        </is>
      </c>
      <c r="D1765" s="11" t="n">
        <v>25.72</v>
      </c>
      <c r="E1765" s="11" t="n">
        <v>25</v>
      </c>
      <c r="F1765" s="11">
        <f>ROUND(D1765-E1765,2)</f>
        <v/>
      </c>
      <c r="G1765" s="13">
        <f>IFERROR(ROUND(F1765/E1765,4),"")</f>
        <v/>
      </c>
      <c r="H1765" s="14">
        <f>IF(D1765=0,"NO DATA",IF(D1765&gt;E1765*1.5,"OVER",IF(D1765&gt;E1765*1.1,"HIGH",IF(D1765&lt;E1765*0.5,"LOW","OK"))))</f>
        <v/>
      </c>
    </row>
    <row r="1766" ht="22" customHeight="1">
      <c r="B1766" s="8" t="inlineStr">
        <is>
          <t>MTR-PRC-005</t>
        </is>
      </c>
      <c r="C1766" s="8" t="inlineStr">
        <is>
          <t>2024-11-02</t>
        </is>
      </c>
      <c r="D1766" s="12" t="n">
        <v>20.93</v>
      </c>
      <c r="E1766" s="12" t="n">
        <v>25</v>
      </c>
      <c r="F1766" s="12">
        <f>ROUND(D1766-E1766,2)</f>
        <v/>
      </c>
      <c r="G1766" s="15">
        <f>IFERROR(ROUND(F1766/E1766,4),"")</f>
        <v/>
      </c>
      <c r="H1766" s="16">
        <f>IF(D1766=0,"NO DATA",IF(D1766&gt;E1766*1.5,"OVER",IF(D1766&gt;E1766*1.1,"HIGH",IF(D1766&lt;E1766*0.5,"LOW","OK"))))</f>
        <v/>
      </c>
    </row>
    <row r="1767" ht="22" customHeight="1">
      <c r="B1767" s="5" t="inlineStr">
        <is>
          <t>MTR-PRC-005</t>
        </is>
      </c>
      <c r="C1767" s="5" t="inlineStr">
        <is>
          <t>2024-11-03</t>
        </is>
      </c>
      <c r="D1767" s="11" t="n">
        <v>13.51</v>
      </c>
      <c r="E1767" s="11" t="n">
        <v>25</v>
      </c>
      <c r="F1767" s="11">
        <f>ROUND(D1767-E1767,2)</f>
        <v/>
      </c>
      <c r="G1767" s="13">
        <f>IFERROR(ROUND(F1767/E1767,4),"")</f>
        <v/>
      </c>
      <c r="H1767" s="14">
        <f>IF(D1767=0,"NO DATA",IF(D1767&gt;E1767*1.5,"OVER",IF(D1767&gt;E1767*1.1,"HIGH",IF(D1767&lt;E1767*0.5,"LOW","OK"))))</f>
        <v/>
      </c>
    </row>
    <row r="1768" ht="22" customHeight="1">
      <c r="B1768" s="8" t="inlineStr">
        <is>
          <t>MTR-PRC-005</t>
        </is>
      </c>
      <c r="C1768" s="8" t="inlineStr">
        <is>
          <t>2024-11-04</t>
        </is>
      </c>
      <c r="D1768" s="12" t="n">
        <v>24.01</v>
      </c>
      <c r="E1768" s="12" t="n">
        <v>25</v>
      </c>
      <c r="F1768" s="12">
        <f>ROUND(D1768-E1768,2)</f>
        <v/>
      </c>
      <c r="G1768" s="15">
        <f>IFERROR(ROUND(F1768/E1768,4),"")</f>
        <v/>
      </c>
      <c r="H1768" s="16">
        <f>IF(D1768=0,"NO DATA",IF(D1768&gt;E1768*1.5,"OVER",IF(D1768&gt;E1768*1.1,"HIGH",IF(D1768&lt;E1768*0.5,"LOW","OK"))))</f>
        <v/>
      </c>
    </row>
    <row r="1769" ht="22" customHeight="1">
      <c r="B1769" s="5" t="inlineStr">
        <is>
          <t>MTR-PRC-005</t>
        </is>
      </c>
      <c r="C1769" s="5" t="inlineStr">
        <is>
          <t>2024-11-05</t>
        </is>
      </c>
      <c r="D1769" s="11" t="n">
        <v>27.11</v>
      </c>
      <c r="E1769" s="11" t="n">
        <v>25</v>
      </c>
      <c r="F1769" s="11">
        <f>ROUND(D1769-E1769,2)</f>
        <v/>
      </c>
      <c r="G1769" s="13">
        <f>IFERROR(ROUND(F1769/E1769,4),"")</f>
        <v/>
      </c>
      <c r="H1769" s="14">
        <f>IF(D1769=0,"NO DATA",IF(D1769&gt;E1769*1.5,"OVER",IF(D1769&gt;E1769*1.1,"HIGH",IF(D1769&lt;E1769*0.5,"LOW","OK"))))</f>
        <v/>
      </c>
    </row>
    <row r="1770" ht="22" customHeight="1">
      <c r="B1770" s="8" t="inlineStr">
        <is>
          <t>MTR-PRC-005</t>
        </is>
      </c>
      <c r="C1770" s="8" t="inlineStr">
        <is>
          <t>2024-11-06</t>
        </is>
      </c>
      <c r="D1770" s="12" t="n">
        <v>25.09</v>
      </c>
      <c r="E1770" s="12" t="n">
        <v>25</v>
      </c>
      <c r="F1770" s="12">
        <f>ROUND(D1770-E1770,2)</f>
        <v/>
      </c>
      <c r="G1770" s="15">
        <f>IFERROR(ROUND(F1770/E1770,4),"")</f>
        <v/>
      </c>
      <c r="H1770" s="16">
        <f>IF(D1770=0,"NO DATA",IF(D1770&gt;E1770*1.5,"OVER",IF(D1770&gt;E1770*1.1,"HIGH",IF(D1770&lt;E1770*0.5,"LOW","OK"))))</f>
        <v/>
      </c>
    </row>
    <row r="1771" ht="22" customHeight="1">
      <c r="B1771" s="5" t="inlineStr">
        <is>
          <t>MTR-PRC-005</t>
        </is>
      </c>
      <c r="C1771" s="5" t="inlineStr">
        <is>
          <t>2024-11-07</t>
        </is>
      </c>
      <c r="D1771" s="11" t="n">
        <v>25.02</v>
      </c>
      <c r="E1771" s="11" t="n">
        <v>25</v>
      </c>
      <c r="F1771" s="11">
        <f>ROUND(D1771-E1771,2)</f>
        <v/>
      </c>
      <c r="G1771" s="13">
        <f>IFERROR(ROUND(F1771/E1771,4),"")</f>
        <v/>
      </c>
      <c r="H1771" s="14">
        <f>IF(D1771=0,"NO DATA",IF(D1771&gt;E1771*1.5,"OVER",IF(D1771&gt;E1771*1.1,"HIGH",IF(D1771&lt;E1771*0.5,"LOW","OK"))))</f>
        <v/>
      </c>
    </row>
    <row r="1772" ht="22" customHeight="1">
      <c r="B1772" s="8" t="inlineStr">
        <is>
          <t>MTR-PRC-005</t>
        </is>
      </c>
      <c r="C1772" s="8" t="inlineStr">
        <is>
          <t>2024-11-08</t>
        </is>
      </c>
      <c r="D1772" s="12" t="n">
        <v>25.89</v>
      </c>
      <c r="E1772" s="12" t="n">
        <v>25</v>
      </c>
      <c r="F1772" s="12">
        <f>ROUND(D1772-E1772,2)</f>
        <v/>
      </c>
      <c r="G1772" s="15">
        <f>IFERROR(ROUND(F1772/E1772,4),"")</f>
        <v/>
      </c>
      <c r="H1772" s="16">
        <f>IF(D1772=0,"NO DATA",IF(D1772&gt;E1772*1.5,"OVER",IF(D1772&gt;E1772*1.1,"HIGH",IF(D1772&lt;E1772*0.5,"LOW","OK"))))</f>
        <v/>
      </c>
    </row>
    <row r="1773" ht="22" customHeight="1">
      <c r="B1773" s="5" t="inlineStr">
        <is>
          <t>MTR-PRC-005</t>
        </is>
      </c>
      <c r="C1773" s="5" t="inlineStr">
        <is>
          <t>2024-11-09</t>
        </is>
      </c>
      <c r="D1773" s="11" t="n">
        <v>17.43</v>
      </c>
      <c r="E1773" s="11" t="n">
        <v>25</v>
      </c>
      <c r="F1773" s="11">
        <f>ROUND(D1773-E1773,2)</f>
        <v/>
      </c>
      <c r="G1773" s="13">
        <f>IFERROR(ROUND(F1773/E1773,4),"")</f>
        <v/>
      </c>
      <c r="H1773" s="14">
        <f>IF(D1773=0,"NO DATA",IF(D1773&gt;E1773*1.5,"OVER",IF(D1773&gt;E1773*1.1,"HIGH",IF(D1773&lt;E1773*0.5,"LOW","OK"))))</f>
        <v/>
      </c>
    </row>
    <row r="1774" ht="22" customHeight="1">
      <c r="B1774" s="8" t="inlineStr">
        <is>
          <t>MTR-PRC-005</t>
        </is>
      </c>
      <c r="C1774" s="8" t="inlineStr">
        <is>
          <t>2024-11-10</t>
        </is>
      </c>
      <c r="D1774" s="12" t="n">
        <v>14.42</v>
      </c>
      <c r="E1774" s="12" t="n">
        <v>25</v>
      </c>
      <c r="F1774" s="12">
        <f>ROUND(D1774-E1774,2)</f>
        <v/>
      </c>
      <c r="G1774" s="15">
        <f>IFERROR(ROUND(F1774/E1774,4),"")</f>
        <v/>
      </c>
      <c r="H1774" s="16">
        <f>IF(D1774=0,"NO DATA",IF(D1774&gt;E1774*1.5,"OVER",IF(D1774&gt;E1774*1.1,"HIGH",IF(D1774&lt;E1774*0.5,"LOW","OK"))))</f>
        <v/>
      </c>
    </row>
    <row r="1775" ht="22" customHeight="1">
      <c r="B1775" s="5" t="inlineStr">
        <is>
          <t>MTR-PRC-005</t>
        </is>
      </c>
      <c r="C1775" s="5" t="inlineStr">
        <is>
          <t>2024-11-11</t>
        </is>
      </c>
      <c r="D1775" s="11" t="n">
        <v>26.55</v>
      </c>
      <c r="E1775" s="11" t="n">
        <v>25</v>
      </c>
      <c r="F1775" s="11">
        <f>ROUND(D1775-E1775,2)</f>
        <v/>
      </c>
      <c r="G1775" s="13">
        <f>IFERROR(ROUND(F1775/E1775,4),"")</f>
        <v/>
      </c>
      <c r="H1775" s="14">
        <f>IF(D1775=0,"NO DATA",IF(D1775&gt;E1775*1.5,"OVER",IF(D1775&gt;E1775*1.1,"HIGH",IF(D1775&lt;E1775*0.5,"LOW","OK"))))</f>
        <v/>
      </c>
    </row>
    <row r="1776" ht="22" customHeight="1">
      <c r="B1776" s="8" t="inlineStr">
        <is>
          <t>MTR-PRC-005</t>
        </is>
      </c>
      <c r="C1776" s="8" t="inlineStr">
        <is>
          <t>2024-11-12</t>
        </is>
      </c>
      <c r="D1776" s="12" t="n">
        <v>22.28</v>
      </c>
      <c r="E1776" s="12" t="n">
        <v>25</v>
      </c>
      <c r="F1776" s="12">
        <f>ROUND(D1776-E1776,2)</f>
        <v/>
      </c>
      <c r="G1776" s="15">
        <f>IFERROR(ROUND(F1776/E1776,4),"")</f>
        <v/>
      </c>
      <c r="H1776" s="16">
        <f>IF(D1776=0,"NO DATA",IF(D1776&gt;E1776*1.5,"OVER",IF(D1776&gt;E1776*1.1,"HIGH",IF(D1776&lt;E1776*0.5,"LOW","OK"))))</f>
        <v/>
      </c>
    </row>
    <row r="1777" ht="22" customHeight="1">
      <c r="B1777" s="5" t="inlineStr">
        <is>
          <t>MTR-PRC-005</t>
        </is>
      </c>
      <c r="C1777" s="5" t="inlineStr">
        <is>
          <t>2024-11-13</t>
        </is>
      </c>
      <c r="D1777" s="11" t="n">
        <v>25.12</v>
      </c>
      <c r="E1777" s="11" t="n">
        <v>25</v>
      </c>
      <c r="F1777" s="11">
        <f>ROUND(D1777-E1777,2)</f>
        <v/>
      </c>
      <c r="G1777" s="13">
        <f>IFERROR(ROUND(F1777/E1777,4),"")</f>
        <v/>
      </c>
      <c r="H1777" s="14">
        <f>IF(D1777=0,"NO DATA",IF(D1777&gt;E1777*1.5,"OVER",IF(D1777&gt;E1777*1.1,"HIGH",IF(D1777&lt;E1777*0.5,"LOW","OK"))))</f>
        <v/>
      </c>
    </row>
    <row r="1778" ht="22" customHeight="1">
      <c r="B1778" s="8" t="inlineStr">
        <is>
          <t>MTR-PRC-005</t>
        </is>
      </c>
      <c r="C1778" s="8" t="inlineStr">
        <is>
          <t>2024-11-14</t>
        </is>
      </c>
      <c r="D1778" s="12" t="n">
        <v>27.11</v>
      </c>
      <c r="E1778" s="12" t="n">
        <v>25</v>
      </c>
      <c r="F1778" s="12">
        <f>ROUND(D1778-E1778,2)</f>
        <v/>
      </c>
      <c r="G1778" s="15">
        <f>IFERROR(ROUND(F1778/E1778,4),"")</f>
        <v/>
      </c>
      <c r="H1778" s="16">
        <f>IF(D1778=0,"NO DATA",IF(D1778&gt;E1778*1.5,"OVER",IF(D1778&gt;E1778*1.1,"HIGH",IF(D1778&lt;E1778*0.5,"LOW","OK"))))</f>
        <v/>
      </c>
    </row>
    <row r="1779" ht="22" customHeight="1">
      <c r="B1779" s="5" t="inlineStr">
        <is>
          <t>MTR-PRC-005</t>
        </is>
      </c>
      <c r="C1779" s="5" t="inlineStr">
        <is>
          <t>2024-11-15</t>
        </is>
      </c>
      <c r="D1779" s="11" t="n">
        <v>26.7</v>
      </c>
      <c r="E1779" s="11" t="n">
        <v>25</v>
      </c>
      <c r="F1779" s="11">
        <f>ROUND(D1779-E1779,2)</f>
        <v/>
      </c>
      <c r="G1779" s="13">
        <f>IFERROR(ROUND(F1779/E1779,4),"")</f>
        <v/>
      </c>
      <c r="H1779" s="14">
        <f>IF(D1779=0,"NO DATA",IF(D1779&gt;E1779*1.5,"OVER",IF(D1779&gt;E1779*1.1,"HIGH",IF(D1779&lt;E1779*0.5,"LOW","OK"))))</f>
        <v/>
      </c>
    </row>
    <row r="1780" ht="22" customHeight="1">
      <c r="B1780" s="8" t="inlineStr">
        <is>
          <t>MTR-PRC-005</t>
        </is>
      </c>
      <c r="C1780" s="8" t="inlineStr">
        <is>
          <t>2024-11-16</t>
        </is>
      </c>
      <c r="D1780" s="12" t="n">
        <v>19.62</v>
      </c>
      <c r="E1780" s="12" t="n">
        <v>25</v>
      </c>
      <c r="F1780" s="12">
        <f>ROUND(D1780-E1780,2)</f>
        <v/>
      </c>
      <c r="G1780" s="15">
        <f>IFERROR(ROUND(F1780/E1780,4),"")</f>
        <v/>
      </c>
      <c r="H1780" s="16">
        <f>IF(D1780=0,"NO DATA",IF(D1780&gt;E1780*1.5,"OVER",IF(D1780&gt;E1780*1.1,"HIGH",IF(D1780&lt;E1780*0.5,"LOW","OK"))))</f>
        <v/>
      </c>
    </row>
    <row r="1781" ht="22" customHeight="1">
      <c r="B1781" s="5" t="inlineStr">
        <is>
          <t>MTR-PRC-005</t>
        </is>
      </c>
      <c r="C1781" s="5" t="inlineStr">
        <is>
          <t>2024-11-17</t>
        </is>
      </c>
      <c r="D1781" s="11" t="n">
        <v>13.25</v>
      </c>
      <c r="E1781" s="11" t="n">
        <v>25</v>
      </c>
      <c r="F1781" s="11">
        <f>ROUND(D1781-E1781,2)</f>
        <v/>
      </c>
      <c r="G1781" s="13">
        <f>IFERROR(ROUND(F1781/E1781,4),"")</f>
        <v/>
      </c>
      <c r="H1781" s="14">
        <f>IF(D1781=0,"NO DATA",IF(D1781&gt;E1781*1.5,"OVER",IF(D1781&gt;E1781*1.1,"HIGH",IF(D1781&lt;E1781*0.5,"LOW","OK"))))</f>
        <v/>
      </c>
    </row>
    <row r="1782" ht="22" customHeight="1">
      <c r="B1782" s="8" t="inlineStr">
        <is>
          <t>MTR-PRC-005</t>
        </is>
      </c>
      <c r="C1782" s="8" t="inlineStr">
        <is>
          <t>2024-11-18</t>
        </is>
      </c>
      <c r="D1782" s="12" t="n">
        <v>23.01</v>
      </c>
      <c r="E1782" s="12" t="n">
        <v>25</v>
      </c>
      <c r="F1782" s="12">
        <f>ROUND(D1782-E1782,2)</f>
        <v/>
      </c>
      <c r="G1782" s="15">
        <f>IFERROR(ROUND(F1782/E1782,4),"")</f>
        <v/>
      </c>
      <c r="H1782" s="16">
        <f>IF(D1782=0,"NO DATA",IF(D1782&gt;E1782*1.5,"OVER",IF(D1782&gt;E1782*1.1,"HIGH",IF(D1782&lt;E1782*0.5,"LOW","OK"))))</f>
        <v/>
      </c>
    </row>
    <row r="1783" ht="22" customHeight="1">
      <c r="B1783" s="5" t="inlineStr">
        <is>
          <t>MTR-PRC-005</t>
        </is>
      </c>
      <c r="C1783" s="5" t="inlineStr">
        <is>
          <t>2024-11-19</t>
        </is>
      </c>
      <c r="D1783" s="11" t="n">
        <v>28.14</v>
      </c>
      <c r="E1783" s="11" t="n">
        <v>25</v>
      </c>
      <c r="F1783" s="11">
        <f>ROUND(D1783-E1783,2)</f>
        <v/>
      </c>
      <c r="G1783" s="13">
        <f>IFERROR(ROUND(F1783/E1783,4),"")</f>
        <v/>
      </c>
      <c r="H1783" s="14">
        <f>IF(D1783=0,"NO DATA",IF(D1783&gt;E1783*1.5,"OVER",IF(D1783&gt;E1783*1.1,"HIGH",IF(D1783&lt;E1783*0.5,"LOW","OK"))))</f>
        <v/>
      </c>
    </row>
    <row r="1784" ht="22" customHeight="1">
      <c r="B1784" s="8" t="inlineStr">
        <is>
          <t>MTR-PRC-005</t>
        </is>
      </c>
      <c r="C1784" s="8" t="inlineStr">
        <is>
          <t>2024-11-20</t>
        </is>
      </c>
      <c r="D1784" s="12" t="n">
        <v>25.85</v>
      </c>
      <c r="E1784" s="12" t="n">
        <v>25</v>
      </c>
      <c r="F1784" s="12">
        <f>ROUND(D1784-E1784,2)</f>
        <v/>
      </c>
      <c r="G1784" s="15">
        <f>IFERROR(ROUND(F1784/E1784,4),"")</f>
        <v/>
      </c>
      <c r="H1784" s="16">
        <f>IF(D1784=0,"NO DATA",IF(D1784&gt;E1784*1.5,"OVER",IF(D1784&gt;E1784*1.1,"HIGH",IF(D1784&lt;E1784*0.5,"LOW","OK"))))</f>
        <v/>
      </c>
    </row>
    <row r="1785" ht="22" customHeight="1">
      <c r="B1785" s="5" t="inlineStr">
        <is>
          <t>MTR-PRC-005</t>
        </is>
      </c>
      <c r="C1785" s="5" t="inlineStr">
        <is>
          <t>2024-11-21</t>
        </is>
      </c>
      <c r="D1785" s="11" t="n">
        <v>21.75</v>
      </c>
      <c r="E1785" s="11" t="n">
        <v>25</v>
      </c>
      <c r="F1785" s="11">
        <f>ROUND(D1785-E1785,2)</f>
        <v/>
      </c>
      <c r="G1785" s="13">
        <f>IFERROR(ROUND(F1785/E1785,4),"")</f>
        <v/>
      </c>
      <c r="H1785" s="14">
        <f>IF(D1785=0,"NO DATA",IF(D1785&gt;E1785*1.5,"OVER",IF(D1785&gt;E1785*1.1,"HIGH",IF(D1785&lt;E1785*0.5,"LOW","OK"))))</f>
        <v/>
      </c>
    </row>
    <row r="1786" ht="22" customHeight="1">
      <c r="B1786" s="8" t="inlineStr">
        <is>
          <t>MTR-PRC-005</t>
        </is>
      </c>
      <c r="C1786" s="8" t="inlineStr">
        <is>
          <t>2024-11-22</t>
        </is>
      </c>
      <c r="D1786" s="12" t="n">
        <v>27.21</v>
      </c>
      <c r="E1786" s="12" t="n">
        <v>25</v>
      </c>
      <c r="F1786" s="12">
        <f>ROUND(D1786-E1786,2)</f>
        <v/>
      </c>
      <c r="G1786" s="15">
        <f>IFERROR(ROUND(F1786/E1786,4),"")</f>
        <v/>
      </c>
      <c r="H1786" s="16">
        <f>IF(D1786=0,"NO DATA",IF(D1786&gt;E1786*1.5,"OVER",IF(D1786&gt;E1786*1.1,"HIGH",IF(D1786&lt;E1786*0.5,"LOW","OK"))))</f>
        <v/>
      </c>
    </row>
    <row r="1787" ht="22" customHeight="1">
      <c r="B1787" s="5" t="inlineStr">
        <is>
          <t>MTR-PRC-005</t>
        </is>
      </c>
      <c r="C1787" s="5" t="inlineStr">
        <is>
          <t>2024-11-23</t>
        </is>
      </c>
      <c r="D1787" s="11" t="n">
        <v>17.27</v>
      </c>
      <c r="E1787" s="11" t="n">
        <v>25</v>
      </c>
      <c r="F1787" s="11">
        <f>ROUND(D1787-E1787,2)</f>
        <v/>
      </c>
      <c r="G1787" s="13">
        <f>IFERROR(ROUND(F1787/E1787,4),"")</f>
        <v/>
      </c>
      <c r="H1787" s="14">
        <f>IF(D1787=0,"NO DATA",IF(D1787&gt;E1787*1.5,"OVER",IF(D1787&gt;E1787*1.1,"HIGH",IF(D1787&lt;E1787*0.5,"LOW","OK"))))</f>
        <v/>
      </c>
    </row>
    <row r="1788" ht="22" customHeight="1">
      <c r="B1788" s="8" t="inlineStr">
        <is>
          <t>MTR-PRC-005</t>
        </is>
      </c>
      <c r="C1788" s="8" t="inlineStr">
        <is>
          <t>2024-11-24</t>
        </is>
      </c>
      <c r="D1788" s="12" t="n">
        <v>14.34</v>
      </c>
      <c r="E1788" s="12" t="n">
        <v>25</v>
      </c>
      <c r="F1788" s="12">
        <f>ROUND(D1788-E1788,2)</f>
        <v/>
      </c>
      <c r="G1788" s="15">
        <f>IFERROR(ROUND(F1788/E1788,4),"")</f>
        <v/>
      </c>
      <c r="H1788" s="16">
        <f>IF(D1788=0,"NO DATA",IF(D1788&gt;E1788*1.5,"OVER",IF(D1788&gt;E1788*1.1,"HIGH",IF(D1788&lt;E1788*0.5,"LOW","OK"))))</f>
        <v/>
      </c>
    </row>
    <row r="1789" ht="22" customHeight="1">
      <c r="B1789" s="5" t="inlineStr">
        <is>
          <t>MTR-PRC-005</t>
        </is>
      </c>
      <c r="C1789" s="5" t="inlineStr">
        <is>
          <t>2024-11-25</t>
        </is>
      </c>
      <c r="D1789" s="11" t="n">
        <v>24.13</v>
      </c>
      <c r="E1789" s="11" t="n">
        <v>25</v>
      </c>
      <c r="F1789" s="11">
        <f>ROUND(D1789-E1789,2)</f>
        <v/>
      </c>
      <c r="G1789" s="13">
        <f>IFERROR(ROUND(F1789/E1789,4),"")</f>
        <v/>
      </c>
      <c r="H1789" s="14">
        <f>IF(D1789=0,"NO DATA",IF(D1789&gt;E1789*1.5,"OVER",IF(D1789&gt;E1789*1.1,"HIGH",IF(D1789&lt;E1789*0.5,"LOW","OK"))))</f>
        <v/>
      </c>
    </row>
    <row r="1790" ht="22" customHeight="1">
      <c r="B1790" s="8" t="inlineStr">
        <is>
          <t>MTR-PRC-005</t>
        </is>
      </c>
      <c r="C1790" s="8" t="inlineStr">
        <is>
          <t>2024-11-26</t>
        </is>
      </c>
      <c r="D1790" s="12" t="n">
        <v>23.96</v>
      </c>
      <c r="E1790" s="12" t="n">
        <v>25</v>
      </c>
      <c r="F1790" s="12">
        <f>ROUND(D1790-E1790,2)</f>
        <v/>
      </c>
      <c r="G1790" s="15">
        <f>IFERROR(ROUND(F1790/E1790,4),"")</f>
        <v/>
      </c>
      <c r="H1790" s="16">
        <f>IF(D1790=0,"NO DATA",IF(D1790&gt;E1790*1.5,"OVER",IF(D1790&gt;E1790*1.1,"HIGH",IF(D1790&lt;E1790*0.5,"LOW","OK"))))</f>
        <v/>
      </c>
    </row>
    <row r="1791" ht="22" customHeight="1">
      <c r="B1791" s="5" t="inlineStr">
        <is>
          <t>MTR-PRC-005</t>
        </is>
      </c>
      <c r="C1791" s="5" t="inlineStr">
        <is>
          <t>2024-11-27</t>
        </is>
      </c>
      <c r="D1791" s="11" t="n">
        <v>20.84</v>
      </c>
      <c r="E1791" s="11" t="n">
        <v>25</v>
      </c>
      <c r="F1791" s="11">
        <f>ROUND(D1791-E1791,2)</f>
        <v/>
      </c>
      <c r="G1791" s="13">
        <f>IFERROR(ROUND(F1791/E1791,4),"")</f>
        <v/>
      </c>
      <c r="H1791" s="14">
        <f>IF(D1791=0,"NO DATA",IF(D1791&gt;E1791*1.5,"OVER",IF(D1791&gt;E1791*1.1,"HIGH",IF(D1791&lt;E1791*0.5,"LOW","OK"))))</f>
        <v/>
      </c>
    </row>
    <row r="1792" ht="22" customHeight="1">
      <c r="B1792" s="8" t="inlineStr">
        <is>
          <t>MTR-PRC-005</t>
        </is>
      </c>
      <c r="C1792" s="8" t="inlineStr">
        <is>
          <t>2024-11-28</t>
        </is>
      </c>
      <c r="D1792" s="12" t="n">
        <v>23</v>
      </c>
      <c r="E1792" s="12" t="n">
        <v>25</v>
      </c>
      <c r="F1792" s="12">
        <f>ROUND(D1792-E1792,2)</f>
        <v/>
      </c>
      <c r="G1792" s="15">
        <f>IFERROR(ROUND(F1792/E1792,4),"")</f>
        <v/>
      </c>
      <c r="H1792" s="16">
        <f>IF(D1792=0,"NO DATA",IF(D1792&gt;E1792*1.5,"OVER",IF(D1792&gt;E1792*1.1,"HIGH",IF(D1792&lt;E1792*0.5,"LOW","OK"))))</f>
        <v/>
      </c>
    </row>
    <row r="1793" ht="22" customHeight="1">
      <c r="B1793" s="5" t="inlineStr">
        <is>
          <t>MTR-PRC-005</t>
        </is>
      </c>
      <c r="C1793" s="5" t="inlineStr">
        <is>
          <t>2024-11-29</t>
        </is>
      </c>
      <c r="D1793" s="11" t="n">
        <v>23.45</v>
      </c>
      <c r="E1793" s="11" t="n">
        <v>25</v>
      </c>
      <c r="F1793" s="11">
        <f>ROUND(D1793-E1793,2)</f>
        <v/>
      </c>
      <c r="G1793" s="13">
        <f>IFERROR(ROUND(F1793/E1793,4),"")</f>
        <v/>
      </c>
      <c r="H1793" s="14">
        <f>IF(D1793=0,"NO DATA",IF(D1793&gt;E1793*1.5,"OVER",IF(D1793&gt;E1793*1.1,"HIGH",IF(D1793&lt;E1793*0.5,"LOW","OK"))))</f>
        <v/>
      </c>
    </row>
    <row r="1794" ht="22" customHeight="1">
      <c r="B1794" s="8" t="inlineStr">
        <is>
          <t>MTR-PRC-005</t>
        </is>
      </c>
      <c r="C1794" s="8" t="inlineStr">
        <is>
          <t>2024-11-30</t>
        </is>
      </c>
      <c r="D1794" s="12" t="n">
        <v>17.58</v>
      </c>
      <c r="E1794" s="12" t="n">
        <v>25</v>
      </c>
      <c r="F1794" s="12">
        <f>ROUND(D1794-E1794,2)</f>
        <v/>
      </c>
      <c r="G1794" s="15">
        <f>IFERROR(ROUND(F1794/E1794,4),"")</f>
        <v/>
      </c>
      <c r="H1794" s="16">
        <f>IF(D1794=0,"NO DATA",IF(D1794&gt;E1794*1.5,"OVER",IF(D1794&gt;E1794*1.1,"HIGH",IF(D1794&lt;E1794*0.5,"LOW","OK"))))</f>
        <v/>
      </c>
    </row>
    <row r="1795" ht="22" customHeight="1">
      <c r="B1795" s="5" t="inlineStr">
        <is>
          <t>MTR-PRC-005</t>
        </is>
      </c>
      <c r="C1795" s="5" t="inlineStr">
        <is>
          <t>2024-12-01</t>
        </is>
      </c>
      <c r="D1795" s="11" t="n">
        <v>11</v>
      </c>
      <c r="E1795" s="11" t="n">
        <v>25</v>
      </c>
      <c r="F1795" s="11">
        <f>ROUND(D1795-E1795,2)</f>
        <v/>
      </c>
      <c r="G1795" s="13">
        <f>IFERROR(ROUND(F1795/E1795,4),"")</f>
        <v/>
      </c>
      <c r="H1795" s="14">
        <f>IF(D1795=0,"NO DATA",IF(D1795&gt;E1795*1.5,"OVER",IF(D1795&gt;E1795*1.1,"HIGH",IF(D1795&lt;E1795*0.5,"LOW","OK"))))</f>
        <v/>
      </c>
    </row>
    <row r="1796" ht="22" customHeight="1">
      <c r="B1796" s="8" t="inlineStr">
        <is>
          <t>MTR-PRC-005</t>
        </is>
      </c>
      <c r="C1796" s="8" t="inlineStr">
        <is>
          <t>2024-12-02</t>
        </is>
      </c>
      <c r="D1796" s="12" t="n">
        <v>24.72</v>
      </c>
      <c r="E1796" s="12" t="n">
        <v>25</v>
      </c>
      <c r="F1796" s="12">
        <f>ROUND(D1796-E1796,2)</f>
        <v/>
      </c>
      <c r="G1796" s="15">
        <f>IFERROR(ROUND(F1796/E1796,4),"")</f>
        <v/>
      </c>
      <c r="H1796" s="16">
        <f>IF(D1796=0,"NO DATA",IF(D1796&gt;E1796*1.5,"OVER",IF(D1796&gt;E1796*1.1,"HIGH",IF(D1796&lt;E1796*0.5,"LOW","OK"))))</f>
        <v/>
      </c>
    </row>
    <row r="1797" ht="22" customHeight="1">
      <c r="B1797" s="5" t="inlineStr">
        <is>
          <t>MTR-PRC-005</t>
        </is>
      </c>
      <c r="C1797" s="5" t="inlineStr">
        <is>
          <t>2024-12-03</t>
        </is>
      </c>
      <c r="D1797" s="11" t="n">
        <v>21.06</v>
      </c>
      <c r="E1797" s="11" t="n">
        <v>25</v>
      </c>
      <c r="F1797" s="11">
        <f>ROUND(D1797-E1797,2)</f>
        <v/>
      </c>
      <c r="G1797" s="13">
        <f>IFERROR(ROUND(F1797/E1797,4),"")</f>
        <v/>
      </c>
      <c r="H1797" s="14">
        <f>IF(D1797=0,"NO DATA",IF(D1797&gt;E1797*1.5,"OVER",IF(D1797&gt;E1797*1.1,"HIGH",IF(D1797&lt;E1797*0.5,"LOW","OK"))))</f>
        <v/>
      </c>
    </row>
    <row r="1798" ht="22" customHeight="1">
      <c r="B1798" s="8" t="inlineStr">
        <is>
          <t>MTR-PRC-005</t>
        </is>
      </c>
      <c r="C1798" s="8" t="inlineStr">
        <is>
          <t>2024-12-04</t>
        </is>
      </c>
      <c r="D1798" s="12" t="n">
        <v>21.37</v>
      </c>
      <c r="E1798" s="12" t="n">
        <v>25</v>
      </c>
      <c r="F1798" s="12">
        <f>ROUND(D1798-E1798,2)</f>
        <v/>
      </c>
      <c r="G1798" s="15">
        <f>IFERROR(ROUND(F1798/E1798,4),"")</f>
        <v/>
      </c>
      <c r="H1798" s="16">
        <f>IF(D1798=0,"NO DATA",IF(D1798&gt;E1798*1.5,"OVER",IF(D1798&gt;E1798*1.1,"HIGH",IF(D1798&lt;E1798*0.5,"LOW","OK"))))</f>
        <v/>
      </c>
    </row>
    <row r="1799" ht="22" customHeight="1">
      <c r="B1799" s="5" t="inlineStr">
        <is>
          <t>MTR-PRC-005</t>
        </is>
      </c>
      <c r="C1799" s="5" t="inlineStr">
        <is>
          <t>2024-12-05</t>
        </is>
      </c>
      <c r="D1799" s="11" t="n">
        <v>25</v>
      </c>
      <c r="E1799" s="11" t="n">
        <v>25</v>
      </c>
      <c r="F1799" s="11">
        <f>ROUND(D1799-E1799,2)</f>
        <v/>
      </c>
      <c r="G1799" s="13">
        <f>IFERROR(ROUND(F1799/E1799,4),"")</f>
        <v/>
      </c>
      <c r="H1799" s="14">
        <f>IF(D1799=0,"NO DATA",IF(D1799&gt;E1799*1.5,"OVER",IF(D1799&gt;E1799*1.1,"HIGH",IF(D1799&lt;E1799*0.5,"LOW","OK"))))</f>
        <v/>
      </c>
    </row>
    <row r="1800" ht="22" customHeight="1">
      <c r="B1800" s="8" t="inlineStr">
        <is>
          <t>MTR-PRC-005</t>
        </is>
      </c>
      <c r="C1800" s="8" t="inlineStr">
        <is>
          <t>2024-12-06</t>
        </is>
      </c>
      <c r="D1800" s="12" t="n">
        <v>22.11</v>
      </c>
      <c r="E1800" s="12" t="n">
        <v>25</v>
      </c>
      <c r="F1800" s="12">
        <f>ROUND(D1800-E1800,2)</f>
        <v/>
      </c>
      <c r="G1800" s="15">
        <f>IFERROR(ROUND(F1800/E1800,4),"")</f>
        <v/>
      </c>
      <c r="H1800" s="16">
        <f>IF(D1800=0,"NO DATA",IF(D1800&gt;E1800*1.5,"OVER",IF(D1800&gt;E1800*1.1,"HIGH",IF(D1800&lt;E1800*0.5,"LOW","OK"))))</f>
        <v/>
      </c>
    </row>
    <row r="1801" ht="22" customHeight="1">
      <c r="B1801" s="5" t="inlineStr">
        <is>
          <t>MTR-PRC-005</t>
        </is>
      </c>
      <c r="C1801" s="5" t="inlineStr">
        <is>
          <t>2024-12-07</t>
        </is>
      </c>
      <c r="D1801" s="11" t="n">
        <v>16.43</v>
      </c>
      <c r="E1801" s="11" t="n">
        <v>25</v>
      </c>
      <c r="F1801" s="11">
        <f>ROUND(D1801-E1801,2)</f>
        <v/>
      </c>
      <c r="G1801" s="13">
        <f>IFERROR(ROUND(F1801/E1801,4),"")</f>
        <v/>
      </c>
      <c r="H1801" s="14">
        <f>IF(D1801=0,"NO DATA",IF(D1801&gt;E1801*1.5,"OVER",IF(D1801&gt;E1801*1.1,"HIGH",IF(D1801&lt;E1801*0.5,"LOW","OK"))))</f>
        <v/>
      </c>
    </row>
    <row r="1802" ht="22" customHeight="1">
      <c r="B1802" s="8" t="inlineStr">
        <is>
          <t>MTR-PRC-005</t>
        </is>
      </c>
      <c r="C1802" s="8" t="inlineStr">
        <is>
          <t>2024-12-08</t>
        </is>
      </c>
      <c r="D1802" s="12" t="n">
        <v>11.28</v>
      </c>
      <c r="E1802" s="12" t="n">
        <v>25</v>
      </c>
      <c r="F1802" s="12">
        <f>ROUND(D1802-E1802,2)</f>
        <v/>
      </c>
      <c r="G1802" s="15">
        <f>IFERROR(ROUND(F1802/E1802,4),"")</f>
        <v/>
      </c>
      <c r="H1802" s="16">
        <f>IF(D1802=0,"NO DATA",IF(D1802&gt;E1802*1.5,"OVER",IF(D1802&gt;E1802*1.1,"HIGH",IF(D1802&lt;E1802*0.5,"LOW","OK"))))</f>
        <v/>
      </c>
    </row>
    <row r="1803" ht="22" customHeight="1">
      <c r="B1803" s="5" t="inlineStr">
        <is>
          <t>MTR-PRC-005</t>
        </is>
      </c>
      <c r="C1803" s="5" t="inlineStr">
        <is>
          <t>2024-12-09</t>
        </is>
      </c>
      <c r="D1803" s="11" t="n">
        <v>21.03</v>
      </c>
      <c r="E1803" s="11" t="n">
        <v>25</v>
      </c>
      <c r="F1803" s="11">
        <f>ROUND(D1803-E1803,2)</f>
        <v/>
      </c>
      <c r="G1803" s="13">
        <f>IFERROR(ROUND(F1803/E1803,4),"")</f>
        <v/>
      </c>
      <c r="H1803" s="14">
        <f>IF(D1803=0,"NO DATA",IF(D1803&gt;E1803*1.5,"OVER",IF(D1803&gt;E1803*1.1,"HIGH",IF(D1803&lt;E1803*0.5,"LOW","OK"))))</f>
        <v/>
      </c>
    </row>
    <row r="1804" ht="22" customHeight="1">
      <c r="B1804" s="8" t="inlineStr">
        <is>
          <t>MTR-PRC-005</t>
        </is>
      </c>
      <c r="C1804" s="8" t="inlineStr">
        <is>
          <t>2024-12-10</t>
        </is>
      </c>
      <c r="D1804" s="12" t="n">
        <v>24.59</v>
      </c>
      <c r="E1804" s="12" t="n">
        <v>25</v>
      </c>
      <c r="F1804" s="12">
        <f>ROUND(D1804-E1804,2)</f>
        <v/>
      </c>
      <c r="G1804" s="15">
        <f>IFERROR(ROUND(F1804/E1804,4),"")</f>
        <v/>
      </c>
      <c r="H1804" s="16">
        <f>IF(D1804=0,"NO DATA",IF(D1804&gt;E1804*1.5,"OVER",IF(D1804&gt;E1804*1.1,"HIGH",IF(D1804&lt;E1804*0.5,"LOW","OK"))))</f>
        <v/>
      </c>
    </row>
    <row r="1805" ht="22" customHeight="1">
      <c r="B1805" s="5" t="inlineStr">
        <is>
          <t>MTR-PRC-005</t>
        </is>
      </c>
      <c r="C1805" s="5" t="inlineStr">
        <is>
          <t>2024-12-11</t>
        </is>
      </c>
      <c r="D1805" s="11" t="n">
        <v>22.09</v>
      </c>
      <c r="E1805" s="11" t="n">
        <v>25</v>
      </c>
      <c r="F1805" s="11">
        <f>ROUND(D1805-E1805,2)</f>
        <v/>
      </c>
      <c r="G1805" s="13">
        <f>IFERROR(ROUND(F1805/E1805,4),"")</f>
        <v/>
      </c>
      <c r="H1805" s="14">
        <f>IF(D1805=0,"NO DATA",IF(D1805&gt;E1805*1.5,"OVER",IF(D1805&gt;E1805*1.1,"HIGH",IF(D1805&lt;E1805*0.5,"LOW","OK"))))</f>
        <v/>
      </c>
    </row>
    <row r="1806" ht="22" customHeight="1">
      <c r="B1806" s="8" t="inlineStr">
        <is>
          <t>MTR-PRC-005</t>
        </is>
      </c>
      <c r="C1806" s="8" t="inlineStr">
        <is>
          <t>2024-12-12</t>
        </is>
      </c>
      <c r="D1806" s="12" t="n">
        <v>23.96</v>
      </c>
      <c r="E1806" s="12" t="n">
        <v>25</v>
      </c>
      <c r="F1806" s="12">
        <f>ROUND(D1806-E1806,2)</f>
        <v/>
      </c>
      <c r="G1806" s="15">
        <f>IFERROR(ROUND(F1806/E1806,4),"")</f>
        <v/>
      </c>
      <c r="H1806" s="16">
        <f>IF(D1806=0,"NO DATA",IF(D1806&gt;E1806*1.5,"OVER",IF(D1806&gt;E1806*1.1,"HIGH",IF(D1806&lt;E1806*0.5,"LOW","OK"))))</f>
        <v/>
      </c>
    </row>
    <row r="1807" ht="22" customHeight="1">
      <c r="B1807" s="5" t="inlineStr">
        <is>
          <t>MTR-PRC-005</t>
        </is>
      </c>
      <c r="C1807" s="5" t="inlineStr">
        <is>
          <t>2024-12-13</t>
        </is>
      </c>
      <c r="D1807" s="11" t="n">
        <v>26.59</v>
      </c>
      <c r="E1807" s="11" t="n">
        <v>25</v>
      </c>
      <c r="F1807" s="11">
        <f>ROUND(D1807-E1807,2)</f>
        <v/>
      </c>
      <c r="G1807" s="13">
        <f>IFERROR(ROUND(F1807/E1807,4),"")</f>
        <v/>
      </c>
      <c r="H1807" s="14">
        <f>IF(D1807=0,"NO DATA",IF(D1807&gt;E1807*1.5,"OVER",IF(D1807&gt;E1807*1.1,"HIGH",IF(D1807&lt;E1807*0.5,"LOW","OK"))))</f>
        <v/>
      </c>
    </row>
    <row r="1808" ht="22" customHeight="1">
      <c r="B1808" s="8" t="inlineStr">
        <is>
          <t>MTR-PRC-005</t>
        </is>
      </c>
      <c r="C1808" s="8" t="inlineStr">
        <is>
          <t>2024-12-14</t>
        </is>
      </c>
      <c r="D1808" s="12" t="n">
        <v>17.76</v>
      </c>
      <c r="E1808" s="12" t="n">
        <v>25</v>
      </c>
      <c r="F1808" s="12">
        <f>ROUND(D1808-E1808,2)</f>
        <v/>
      </c>
      <c r="G1808" s="15">
        <f>IFERROR(ROUND(F1808/E1808,4),"")</f>
        <v/>
      </c>
      <c r="H1808" s="16">
        <f>IF(D1808=0,"NO DATA",IF(D1808&gt;E1808*1.5,"OVER",IF(D1808&gt;E1808*1.1,"HIGH",IF(D1808&lt;E1808*0.5,"LOW","OK"))))</f>
        <v/>
      </c>
    </row>
    <row r="1809" ht="22" customHeight="1">
      <c r="B1809" s="5" t="inlineStr">
        <is>
          <t>MTR-PRC-005</t>
        </is>
      </c>
      <c r="C1809" s="5" t="inlineStr">
        <is>
          <t>2024-12-15</t>
        </is>
      </c>
      <c r="D1809" s="11" t="n">
        <v>10.92</v>
      </c>
      <c r="E1809" s="11" t="n">
        <v>25</v>
      </c>
      <c r="F1809" s="11">
        <f>ROUND(D1809-E1809,2)</f>
        <v/>
      </c>
      <c r="G1809" s="13">
        <f>IFERROR(ROUND(F1809/E1809,4),"")</f>
        <v/>
      </c>
      <c r="H1809" s="14">
        <f>IF(D1809=0,"NO DATA",IF(D1809&gt;E1809*1.5,"OVER",IF(D1809&gt;E1809*1.1,"HIGH",IF(D1809&lt;E1809*0.5,"LOW","OK"))))</f>
        <v/>
      </c>
    </row>
    <row r="1810" ht="22" customHeight="1">
      <c r="B1810" s="8" t="inlineStr">
        <is>
          <t>MTR-PRC-005</t>
        </is>
      </c>
      <c r="C1810" s="8" t="inlineStr">
        <is>
          <t>2024-12-16</t>
        </is>
      </c>
      <c r="D1810" s="12" t="n">
        <v>26.12</v>
      </c>
      <c r="E1810" s="12" t="n">
        <v>25</v>
      </c>
      <c r="F1810" s="12">
        <f>ROUND(D1810-E1810,2)</f>
        <v/>
      </c>
      <c r="G1810" s="15">
        <f>IFERROR(ROUND(F1810/E1810,4),"")</f>
        <v/>
      </c>
      <c r="H1810" s="16">
        <f>IF(D1810=0,"NO DATA",IF(D1810&gt;E1810*1.5,"OVER",IF(D1810&gt;E1810*1.1,"HIGH",IF(D1810&lt;E1810*0.5,"LOW","OK"))))</f>
        <v/>
      </c>
    </row>
    <row r="1811" ht="22" customHeight="1">
      <c r="B1811" s="5" t="inlineStr">
        <is>
          <t>MTR-PRC-005</t>
        </is>
      </c>
      <c r="C1811" s="5" t="inlineStr">
        <is>
          <t>2024-12-17</t>
        </is>
      </c>
      <c r="D1811" s="11" t="n">
        <v>26.05</v>
      </c>
      <c r="E1811" s="11" t="n">
        <v>25</v>
      </c>
      <c r="F1811" s="11">
        <f>ROUND(D1811-E1811,2)</f>
        <v/>
      </c>
      <c r="G1811" s="13">
        <f>IFERROR(ROUND(F1811/E1811,4),"")</f>
        <v/>
      </c>
      <c r="H1811" s="14">
        <f>IF(D1811=0,"NO DATA",IF(D1811&gt;E1811*1.5,"OVER",IF(D1811&gt;E1811*1.1,"HIGH",IF(D1811&lt;E1811*0.5,"LOW","OK"))))</f>
        <v/>
      </c>
    </row>
    <row r="1812" ht="22" customHeight="1">
      <c r="B1812" s="8" t="inlineStr">
        <is>
          <t>MTR-PRC-005</t>
        </is>
      </c>
      <c r="C1812" s="8" t="inlineStr">
        <is>
          <t>2024-12-18</t>
        </is>
      </c>
      <c r="D1812" s="12" t="n">
        <v>20.24</v>
      </c>
      <c r="E1812" s="12" t="n">
        <v>25</v>
      </c>
      <c r="F1812" s="12">
        <f>ROUND(D1812-E1812,2)</f>
        <v/>
      </c>
      <c r="G1812" s="15">
        <f>IFERROR(ROUND(F1812/E1812,4),"")</f>
        <v/>
      </c>
      <c r="H1812" s="16">
        <f>IF(D1812=0,"NO DATA",IF(D1812&gt;E1812*1.5,"OVER",IF(D1812&gt;E1812*1.1,"HIGH",IF(D1812&lt;E1812*0.5,"LOW","OK"))))</f>
        <v/>
      </c>
    </row>
    <row r="1813" ht="22" customHeight="1">
      <c r="B1813" s="5" t="inlineStr">
        <is>
          <t>MTR-PRC-005</t>
        </is>
      </c>
      <c r="C1813" s="5" t="inlineStr">
        <is>
          <t>2024-12-19</t>
        </is>
      </c>
      <c r="D1813" s="11" t="n">
        <v>25.52</v>
      </c>
      <c r="E1813" s="11" t="n">
        <v>25</v>
      </c>
      <c r="F1813" s="11">
        <f>ROUND(D1813-E1813,2)</f>
        <v/>
      </c>
      <c r="G1813" s="13">
        <f>IFERROR(ROUND(F1813/E1813,4),"")</f>
        <v/>
      </c>
      <c r="H1813" s="14">
        <f>IF(D1813=0,"NO DATA",IF(D1813&gt;E1813*1.5,"OVER",IF(D1813&gt;E1813*1.1,"HIGH",IF(D1813&lt;E1813*0.5,"LOW","OK"))))</f>
        <v/>
      </c>
    </row>
    <row r="1814" ht="22" customHeight="1">
      <c r="B1814" s="8" t="inlineStr">
        <is>
          <t>MTR-PRC-005</t>
        </is>
      </c>
      <c r="C1814" s="8" t="inlineStr">
        <is>
          <t>2024-12-20</t>
        </is>
      </c>
      <c r="D1814" s="12" t="n">
        <v>25.63</v>
      </c>
      <c r="E1814" s="12" t="n">
        <v>25</v>
      </c>
      <c r="F1814" s="12">
        <f>ROUND(D1814-E1814,2)</f>
        <v/>
      </c>
      <c r="G1814" s="15">
        <f>IFERROR(ROUND(F1814/E1814,4),"")</f>
        <v/>
      </c>
      <c r="H1814" s="16">
        <f>IF(D1814=0,"NO DATA",IF(D1814&gt;E1814*1.5,"OVER",IF(D1814&gt;E1814*1.1,"HIGH",IF(D1814&lt;E1814*0.5,"LOW","OK"))))</f>
        <v/>
      </c>
    </row>
    <row r="1815" ht="22" customHeight="1">
      <c r="B1815" s="5" t="inlineStr">
        <is>
          <t>MTR-PRC-005</t>
        </is>
      </c>
      <c r="C1815" s="5" t="inlineStr">
        <is>
          <t>2024-12-21</t>
        </is>
      </c>
      <c r="D1815" s="11" t="n">
        <v>19.44</v>
      </c>
      <c r="E1815" s="11" t="n">
        <v>25</v>
      </c>
      <c r="F1815" s="11">
        <f>ROUND(D1815-E1815,2)</f>
        <v/>
      </c>
      <c r="G1815" s="13">
        <f>IFERROR(ROUND(F1815/E1815,4),"")</f>
        <v/>
      </c>
      <c r="H1815" s="14">
        <f>IF(D1815=0,"NO DATA",IF(D1815&gt;E1815*1.5,"OVER",IF(D1815&gt;E1815*1.1,"HIGH",IF(D1815&lt;E1815*0.5,"LOW","OK"))))</f>
        <v/>
      </c>
    </row>
    <row r="1816" ht="22" customHeight="1">
      <c r="B1816" s="8" t="inlineStr">
        <is>
          <t>MTR-PRC-005</t>
        </is>
      </c>
      <c r="C1816" s="8" t="inlineStr">
        <is>
          <t>2024-12-22</t>
        </is>
      </c>
      <c r="D1816" s="12" t="n">
        <v>10.98</v>
      </c>
      <c r="E1816" s="12" t="n">
        <v>25</v>
      </c>
      <c r="F1816" s="12">
        <f>ROUND(D1816-E1816,2)</f>
        <v/>
      </c>
      <c r="G1816" s="15">
        <f>IFERROR(ROUND(F1816/E1816,4),"")</f>
        <v/>
      </c>
      <c r="H1816" s="16">
        <f>IF(D1816=0,"NO DATA",IF(D1816&gt;E1816*1.5,"OVER",IF(D1816&gt;E1816*1.1,"HIGH",IF(D1816&lt;E1816*0.5,"LOW","OK"))))</f>
        <v/>
      </c>
    </row>
    <row r="1817" ht="22" customHeight="1">
      <c r="B1817" s="5" t="inlineStr">
        <is>
          <t>MTR-PRC-005</t>
        </is>
      </c>
      <c r="C1817" s="5" t="inlineStr">
        <is>
          <t>2024-12-23</t>
        </is>
      </c>
      <c r="D1817" s="11" t="n">
        <v>27.15</v>
      </c>
      <c r="E1817" s="11" t="n">
        <v>25</v>
      </c>
      <c r="F1817" s="11">
        <f>ROUND(D1817-E1817,2)</f>
        <v/>
      </c>
      <c r="G1817" s="13">
        <f>IFERROR(ROUND(F1817/E1817,4),"")</f>
        <v/>
      </c>
      <c r="H1817" s="14">
        <f>IF(D1817=0,"NO DATA",IF(D1817&gt;E1817*1.5,"OVER",IF(D1817&gt;E1817*1.1,"HIGH",IF(D1817&lt;E1817*0.5,"LOW","OK"))))</f>
        <v/>
      </c>
    </row>
    <row r="1818" ht="22" customHeight="1">
      <c r="B1818" s="8" t="inlineStr">
        <is>
          <t>MTR-PRC-005</t>
        </is>
      </c>
      <c r="C1818" s="8" t="inlineStr">
        <is>
          <t>2024-12-24</t>
        </is>
      </c>
      <c r="D1818" s="12" t="n">
        <v>25.31</v>
      </c>
      <c r="E1818" s="12" t="n">
        <v>25</v>
      </c>
      <c r="F1818" s="12">
        <f>ROUND(D1818-E1818,2)</f>
        <v/>
      </c>
      <c r="G1818" s="15">
        <f>IFERROR(ROUND(F1818/E1818,4),"")</f>
        <v/>
      </c>
      <c r="H1818" s="16">
        <f>IF(D1818=0,"NO DATA",IF(D1818&gt;E1818*1.5,"OVER",IF(D1818&gt;E1818*1.1,"HIGH",IF(D1818&lt;E1818*0.5,"LOW","OK"))))</f>
        <v/>
      </c>
    </row>
    <row r="1819" ht="22" customHeight="1">
      <c r="B1819" s="5" t="inlineStr">
        <is>
          <t>MTR-PRC-005</t>
        </is>
      </c>
      <c r="C1819" s="5" t="inlineStr">
        <is>
          <t>2024-12-25</t>
        </is>
      </c>
      <c r="D1819" s="11" t="n">
        <v>27.18</v>
      </c>
      <c r="E1819" s="11" t="n">
        <v>25</v>
      </c>
      <c r="F1819" s="11">
        <f>ROUND(D1819-E1819,2)</f>
        <v/>
      </c>
      <c r="G1819" s="13">
        <f>IFERROR(ROUND(F1819/E1819,4),"")</f>
        <v/>
      </c>
      <c r="H1819" s="14">
        <f>IF(D1819=0,"NO DATA",IF(D1819&gt;E1819*1.5,"OVER",IF(D1819&gt;E1819*1.1,"HIGH",IF(D1819&lt;E1819*0.5,"LOW","OK"))))</f>
        <v/>
      </c>
    </row>
    <row r="1820" ht="22" customHeight="1">
      <c r="B1820" s="8" t="inlineStr">
        <is>
          <t>MTR-PRC-005</t>
        </is>
      </c>
      <c r="C1820" s="8" t="inlineStr">
        <is>
          <t>2024-12-26</t>
        </is>
      </c>
      <c r="D1820" s="12" t="n">
        <v>25.29</v>
      </c>
      <c r="E1820" s="12" t="n">
        <v>25</v>
      </c>
      <c r="F1820" s="12">
        <f>ROUND(D1820-E1820,2)</f>
        <v/>
      </c>
      <c r="G1820" s="15">
        <f>IFERROR(ROUND(F1820/E1820,4),"")</f>
        <v/>
      </c>
      <c r="H1820" s="16">
        <f>IF(D1820=0,"NO DATA",IF(D1820&gt;E1820*1.5,"OVER",IF(D1820&gt;E1820*1.1,"HIGH",IF(D1820&lt;E1820*0.5,"LOW","OK"))))</f>
        <v/>
      </c>
    </row>
    <row r="1821" ht="22" customHeight="1">
      <c r="B1821" s="5" t="inlineStr">
        <is>
          <t>MTR-PRC-005</t>
        </is>
      </c>
      <c r="C1821" s="5" t="inlineStr">
        <is>
          <t>2024-12-27</t>
        </is>
      </c>
      <c r="D1821" s="11" t="n">
        <v>20.63</v>
      </c>
      <c r="E1821" s="11" t="n">
        <v>25</v>
      </c>
      <c r="F1821" s="11">
        <f>ROUND(D1821-E1821,2)</f>
        <v/>
      </c>
      <c r="G1821" s="13">
        <f>IFERROR(ROUND(F1821/E1821,4),"")</f>
        <v/>
      </c>
      <c r="H1821" s="14">
        <f>IF(D1821=0,"NO DATA",IF(D1821&gt;E1821*1.5,"OVER",IF(D1821&gt;E1821*1.1,"HIGH",IF(D1821&lt;E1821*0.5,"LOW","OK"))))</f>
        <v/>
      </c>
    </row>
    <row r="1822" ht="22" customHeight="1">
      <c r="B1822" s="8" t="inlineStr">
        <is>
          <t>MTR-PRC-005</t>
        </is>
      </c>
      <c r="C1822" s="8" t="inlineStr">
        <is>
          <t>2024-12-28</t>
        </is>
      </c>
      <c r="D1822" s="12" t="n">
        <v>16.56</v>
      </c>
      <c r="E1822" s="12" t="n">
        <v>25</v>
      </c>
      <c r="F1822" s="12">
        <f>ROUND(D1822-E1822,2)</f>
        <v/>
      </c>
      <c r="G1822" s="15">
        <f>IFERROR(ROUND(F1822/E1822,4),"")</f>
        <v/>
      </c>
      <c r="H1822" s="16">
        <f>IF(D1822=0,"NO DATA",IF(D1822&gt;E1822*1.5,"OVER",IF(D1822&gt;E1822*1.1,"HIGH",IF(D1822&lt;E1822*0.5,"LOW","OK"))))</f>
        <v/>
      </c>
    </row>
    <row r="1823" ht="22" customHeight="1">
      <c r="B1823" s="5" t="inlineStr">
        <is>
          <t>MTR-PRC-005</t>
        </is>
      </c>
      <c r="C1823" s="5" t="inlineStr">
        <is>
          <t>2024-12-29</t>
        </is>
      </c>
      <c r="D1823" s="11" t="n">
        <v>11.67</v>
      </c>
      <c r="E1823" s="11" t="n">
        <v>25</v>
      </c>
      <c r="F1823" s="11">
        <f>ROUND(D1823-E1823,2)</f>
        <v/>
      </c>
      <c r="G1823" s="13">
        <f>IFERROR(ROUND(F1823/E1823,4),"")</f>
        <v/>
      </c>
      <c r="H1823" s="14">
        <f>IF(D1823=0,"NO DATA",IF(D1823&gt;E1823*1.5,"OVER",IF(D1823&gt;E1823*1.1,"HIGH",IF(D1823&lt;E1823*0.5,"LOW","OK"))))</f>
        <v/>
      </c>
    </row>
    <row r="1824" ht="22" customHeight="1">
      <c r="B1824" s="8" t="inlineStr">
        <is>
          <t>MTR-PRC-005</t>
        </is>
      </c>
      <c r="C1824" s="8" t="inlineStr">
        <is>
          <t>2024-12-30</t>
        </is>
      </c>
      <c r="D1824" s="12" t="n">
        <v>26.43</v>
      </c>
      <c r="E1824" s="12" t="n">
        <v>25</v>
      </c>
      <c r="F1824" s="12">
        <f>ROUND(D1824-E1824,2)</f>
        <v/>
      </c>
      <c r="G1824" s="15">
        <f>IFERROR(ROUND(F1824/E1824,4),"")</f>
        <v/>
      </c>
      <c r="H1824" s="16">
        <f>IF(D1824=0,"NO DATA",IF(D1824&gt;E1824*1.5,"OVER",IF(D1824&gt;E1824*1.1,"HIGH",IF(D1824&lt;E1824*0.5,"LOW","OK"))))</f>
        <v/>
      </c>
    </row>
    <row r="1825" ht="22" customHeight="1">
      <c r="B1825" s="5" t="inlineStr">
        <is>
          <t>MTR-PRC-005</t>
        </is>
      </c>
      <c r="C1825" s="5" t="inlineStr">
        <is>
          <t>2024-12-31</t>
        </is>
      </c>
      <c r="D1825" s="11" t="n">
        <v>27.11</v>
      </c>
      <c r="E1825" s="11" t="n">
        <v>25</v>
      </c>
      <c r="F1825" s="11">
        <f>ROUND(D1825-E1825,2)</f>
        <v/>
      </c>
      <c r="G1825" s="13">
        <f>IFERROR(ROUND(F1825/E1825,4),"")</f>
        <v/>
      </c>
      <c r="H1825" s="14">
        <f>IF(D1825=0,"NO DATA",IF(D1825&gt;E1825*1.5,"OVER",IF(D1825&gt;E1825*1.1,"HIGH",IF(D1825&lt;E1825*0.5,"LOW","OK"))))</f>
        <v/>
      </c>
    </row>
    <row r="1826" ht="22" customHeight="1">
      <c r="B1826" s="8" t="inlineStr">
        <is>
          <t>MTR-WSH-002</t>
        </is>
      </c>
      <c r="C1826" s="8" t="inlineStr">
        <is>
          <t>2024-01-02</t>
        </is>
      </c>
      <c r="D1826" s="12" t="n">
        <v>27.04</v>
      </c>
      <c r="E1826" s="12" t="n">
        <v>30</v>
      </c>
      <c r="F1826" s="12">
        <f>ROUND(D1826-E1826,2)</f>
        <v/>
      </c>
      <c r="G1826" s="15">
        <f>IFERROR(ROUND(F1826/E1826,4),"")</f>
        <v/>
      </c>
      <c r="H1826" s="16">
        <f>IF(D1826=0,"NO DATA",IF(D1826&gt;E1826*1.5,"OVER",IF(D1826&gt;E1826*1.1,"HIGH",IF(D1826&lt;E1826*0.5,"LOW","OK"))))</f>
        <v/>
      </c>
    </row>
    <row r="1827" ht="22" customHeight="1">
      <c r="B1827" s="5" t="inlineStr">
        <is>
          <t>MTR-WSH-002</t>
        </is>
      </c>
      <c r="C1827" s="5" t="inlineStr">
        <is>
          <t>2024-01-03</t>
        </is>
      </c>
      <c r="D1827" s="11" t="n">
        <v>31.68</v>
      </c>
      <c r="E1827" s="11" t="n">
        <v>30</v>
      </c>
      <c r="F1827" s="11">
        <f>ROUND(D1827-E1827,2)</f>
        <v/>
      </c>
      <c r="G1827" s="13">
        <f>IFERROR(ROUND(F1827/E1827,4),"")</f>
        <v/>
      </c>
      <c r="H1827" s="14">
        <f>IF(D1827=0,"NO DATA",IF(D1827&gt;E1827*1.5,"OVER",IF(D1827&gt;E1827*1.1,"HIGH",IF(D1827&lt;E1827*0.5,"LOW","OK"))))</f>
        <v/>
      </c>
    </row>
    <row r="1828" ht="22" customHeight="1">
      <c r="B1828" s="8" t="inlineStr">
        <is>
          <t>MTR-WSH-002</t>
        </is>
      </c>
      <c r="C1828" s="8" t="inlineStr">
        <is>
          <t>2024-01-04</t>
        </is>
      </c>
      <c r="D1828" s="12" t="n">
        <v>30.31</v>
      </c>
      <c r="E1828" s="12" t="n">
        <v>30</v>
      </c>
      <c r="F1828" s="12">
        <f>ROUND(D1828-E1828,2)</f>
        <v/>
      </c>
      <c r="G1828" s="15">
        <f>IFERROR(ROUND(F1828/E1828,4),"")</f>
        <v/>
      </c>
      <c r="H1828" s="16">
        <f>IF(D1828=0,"NO DATA",IF(D1828&gt;E1828*1.5,"OVER",IF(D1828&gt;E1828*1.1,"HIGH",IF(D1828&lt;E1828*0.5,"LOW","OK"))))</f>
        <v/>
      </c>
    </row>
    <row r="1829" ht="22" customHeight="1">
      <c r="B1829" s="5" t="inlineStr">
        <is>
          <t>MTR-WSH-002</t>
        </is>
      </c>
      <c r="C1829" s="5" t="inlineStr">
        <is>
          <t>2024-01-05</t>
        </is>
      </c>
      <c r="D1829" s="11" t="n">
        <v>30.08</v>
      </c>
      <c r="E1829" s="11" t="n">
        <v>30</v>
      </c>
      <c r="F1829" s="11">
        <f>ROUND(D1829-E1829,2)</f>
        <v/>
      </c>
      <c r="G1829" s="13">
        <f>IFERROR(ROUND(F1829/E1829,4),"")</f>
        <v/>
      </c>
      <c r="H1829" s="14">
        <f>IF(D1829=0,"NO DATA",IF(D1829&gt;E1829*1.5,"OVER",IF(D1829&gt;E1829*1.1,"HIGH",IF(D1829&lt;E1829*0.5,"LOW","OK"))))</f>
        <v/>
      </c>
    </row>
    <row r="1830" ht="22" customHeight="1">
      <c r="B1830" s="8" t="inlineStr">
        <is>
          <t>MTR-WSH-002</t>
        </is>
      </c>
      <c r="C1830" s="8" t="inlineStr">
        <is>
          <t>2024-01-06</t>
        </is>
      </c>
      <c r="D1830" s="12" t="n">
        <v>26.19</v>
      </c>
      <c r="E1830" s="12" t="n">
        <v>30</v>
      </c>
      <c r="F1830" s="12">
        <f>ROUND(D1830-E1830,2)</f>
        <v/>
      </c>
      <c r="G1830" s="15">
        <f>IFERROR(ROUND(F1830/E1830,4),"")</f>
        <v/>
      </c>
      <c r="H1830" s="16">
        <f>IF(D1830=0,"NO DATA",IF(D1830&gt;E1830*1.5,"OVER",IF(D1830&gt;E1830*1.1,"HIGH",IF(D1830&lt;E1830*0.5,"LOW","OK"))))</f>
        <v/>
      </c>
    </row>
    <row r="1831" ht="22" customHeight="1">
      <c r="B1831" s="5" t="inlineStr">
        <is>
          <t>MTR-WSH-002</t>
        </is>
      </c>
      <c r="C1831" s="5" t="inlineStr">
        <is>
          <t>2024-01-07</t>
        </is>
      </c>
      <c r="D1831" s="11" t="n">
        <v>14.22</v>
      </c>
      <c r="E1831" s="11" t="n">
        <v>30</v>
      </c>
      <c r="F1831" s="11">
        <f>ROUND(D1831-E1831,2)</f>
        <v/>
      </c>
      <c r="G1831" s="13">
        <f>IFERROR(ROUND(F1831/E1831,4),"")</f>
        <v/>
      </c>
      <c r="H1831" s="14">
        <f>IF(D1831=0,"NO DATA",IF(D1831&gt;E1831*1.5,"OVER",IF(D1831&gt;E1831*1.1,"HIGH",IF(D1831&lt;E1831*0.5,"LOW","OK"))))</f>
        <v/>
      </c>
    </row>
    <row r="1832" ht="22" customHeight="1">
      <c r="B1832" s="8" t="inlineStr">
        <is>
          <t>MTR-WSH-002</t>
        </is>
      </c>
      <c r="C1832" s="8" t="inlineStr">
        <is>
          <t>2024-01-08</t>
        </is>
      </c>
      <c r="D1832" s="12" t="n">
        <v>27.35</v>
      </c>
      <c r="E1832" s="12" t="n">
        <v>30</v>
      </c>
      <c r="F1832" s="12">
        <f>ROUND(D1832-E1832,2)</f>
        <v/>
      </c>
      <c r="G1832" s="15">
        <f>IFERROR(ROUND(F1832/E1832,4),"")</f>
        <v/>
      </c>
      <c r="H1832" s="16">
        <f>IF(D1832=0,"NO DATA",IF(D1832&gt;E1832*1.5,"OVER",IF(D1832&gt;E1832*1.1,"HIGH",IF(D1832&lt;E1832*0.5,"LOW","OK"))))</f>
        <v/>
      </c>
    </row>
    <row r="1833" ht="22" customHeight="1">
      <c r="B1833" s="5" t="inlineStr">
        <is>
          <t>MTR-WSH-002</t>
        </is>
      </c>
      <c r="C1833" s="5" t="inlineStr">
        <is>
          <t>2024-01-09</t>
        </is>
      </c>
      <c r="D1833" s="11" t="n">
        <v>26.22</v>
      </c>
      <c r="E1833" s="11" t="n">
        <v>30</v>
      </c>
      <c r="F1833" s="11">
        <f>ROUND(D1833-E1833,2)</f>
        <v/>
      </c>
      <c r="G1833" s="13">
        <f>IFERROR(ROUND(F1833/E1833,4),"")</f>
        <v/>
      </c>
      <c r="H1833" s="14">
        <f>IF(D1833=0,"NO DATA",IF(D1833&gt;E1833*1.5,"OVER",IF(D1833&gt;E1833*1.1,"HIGH",IF(D1833&lt;E1833*0.5,"LOW","OK"))))</f>
        <v/>
      </c>
    </row>
    <row r="1834" ht="22" customHeight="1">
      <c r="B1834" s="8" t="inlineStr">
        <is>
          <t>MTR-WSH-002</t>
        </is>
      </c>
      <c r="C1834" s="8" t="inlineStr">
        <is>
          <t>2024-01-10</t>
        </is>
      </c>
      <c r="D1834" s="12" t="n">
        <v>31.66</v>
      </c>
      <c r="E1834" s="12" t="n">
        <v>30</v>
      </c>
      <c r="F1834" s="12">
        <f>ROUND(D1834-E1834,2)</f>
        <v/>
      </c>
      <c r="G1834" s="15">
        <f>IFERROR(ROUND(F1834/E1834,4),"")</f>
        <v/>
      </c>
      <c r="H1834" s="16">
        <f>IF(D1834=0,"NO DATA",IF(D1834&gt;E1834*1.5,"OVER",IF(D1834&gt;E1834*1.1,"HIGH",IF(D1834&lt;E1834*0.5,"LOW","OK"))))</f>
        <v/>
      </c>
    </row>
    <row r="1835" ht="22" customHeight="1">
      <c r="B1835" s="5" t="inlineStr">
        <is>
          <t>MTR-WSH-002</t>
        </is>
      </c>
      <c r="C1835" s="5" t="inlineStr">
        <is>
          <t>2024-01-11</t>
        </is>
      </c>
      <c r="D1835" s="11" t="n">
        <v>32.58</v>
      </c>
      <c r="E1835" s="11" t="n">
        <v>30</v>
      </c>
      <c r="F1835" s="11">
        <f>ROUND(D1835-E1835,2)</f>
        <v/>
      </c>
      <c r="G1835" s="13">
        <f>IFERROR(ROUND(F1835/E1835,4),"")</f>
        <v/>
      </c>
      <c r="H1835" s="14">
        <f>IF(D1835=0,"NO DATA",IF(D1835&gt;E1835*1.5,"OVER",IF(D1835&gt;E1835*1.1,"HIGH",IF(D1835&lt;E1835*0.5,"LOW","OK"))))</f>
        <v/>
      </c>
    </row>
    <row r="1836" ht="22" customHeight="1">
      <c r="B1836" s="8" t="inlineStr">
        <is>
          <t>MTR-WSH-002</t>
        </is>
      </c>
      <c r="C1836" s="8" t="inlineStr">
        <is>
          <t>2024-01-12</t>
        </is>
      </c>
      <c r="D1836" s="12" t="n">
        <v>25.02</v>
      </c>
      <c r="E1836" s="12" t="n">
        <v>30</v>
      </c>
      <c r="F1836" s="12">
        <f>ROUND(D1836-E1836,2)</f>
        <v/>
      </c>
      <c r="G1836" s="15">
        <f>IFERROR(ROUND(F1836/E1836,4),"")</f>
        <v/>
      </c>
      <c r="H1836" s="16">
        <f>IF(D1836=0,"NO DATA",IF(D1836&gt;E1836*1.5,"OVER",IF(D1836&gt;E1836*1.1,"HIGH",IF(D1836&lt;E1836*0.5,"LOW","OK"))))</f>
        <v/>
      </c>
    </row>
    <row r="1837" ht="22" customHeight="1">
      <c r="B1837" s="5" t="inlineStr">
        <is>
          <t>MTR-WSH-002</t>
        </is>
      </c>
      <c r="C1837" s="5" t="inlineStr">
        <is>
          <t>2024-01-13</t>
        </is>
      </c>
      <c r="D1837" s="11" t="n">
        <v>24.58</v>
      </c>
      <c r="E1837" s="11" t="n">
        <v>30</v>
      </c>
      <c r="F1837" s="11">
        <f>ROUND(D1837-E1837,2)</f>
        <v/>
      </c>
      <c r="G1837" s="13">
        <f>IFERROR(ROUND(F1837/E1837,4),"")</f>
        <v/>
      </c>
      <c r="H1837" s="14">
        <f>IF(D1837=0,"NO DATA",IF(D1837&gt;E1837*1.5,"OVER",IF(D1837&gt;E1837*1.1,"HIGH",IF(D1837&lt;E1837*0.5,"LOW","OK"))))</f>
        <v/>
      </c>
    </row>
    <row r="1838" ht="22" customHeight="1">
      <c r="B1838" s="8" t="inlineStr">
        <is>
          <t>MTR-WSH-002</t>
        </is>
      </c>
      <c r="C1838" s="8" t="inlineStr">
        <is>
          <t>2024-01-14</t>
        </is>
      </c>
      <c r="D1838" s="12" t="n">
        <v>17.15</v>
      </c>
      <c r="E1838" s="12" t="n">
        <v>30</v>
      </c>
      <c r="F1838" s="12">
        <f>ROUND(D1838-E1838,2)</f>
        <v/>
      </c>
      <c r="G1838" s="15">
        <f>IFERROR(ROUND(F1838/E1838,4),"")</f>
        <v/>
      </c>
      <c r="H1838" s="16">
        <f>IF(D1838=0,"NO DATA",IF(D1838&gt;E1838*1.5,"OVER",IF(D1838&gt;E1838*1.1,"HIGH",IF(D1838&lt;E1838*0.5,"LOW","OK"))))</f>
        <v/>
      </c>
    </row>
    <row r="1839" ht="22" customHeight="1">
      <c r="B1839" s="5" t="inlineStr">
        <is>
          <t>MTR-WSH-002</t>
        </is>
      </c>
      <c r="C1839" s="5" t="inlineStr">
        <is>
          <t>2024-01-15</t>
        </is>
      </c>
      <c r="D1839" s="11" t="n">
        <v>30.81</v>
      </c>
      <c r="E1839" s="11" t="n">
        <v>30</v>
      </c>
      <c r="F1839" s="11">
        <f>ROUND(D1839-E1839,2)</f>
        <v/>
      </c>
      <c r="G1839" s="13">
        <f>IFERROR(ROUND(F1839/E1839,4),"")</f>
        <v/>
      </c>
      <c r="H1839" s="14">
        <f>IF(D1839=0,"NO DATA",IF(D1839&gt;E1839*1.5,"OVER",IF(D1839&gt;E1839*1.1,"HIGH",IF(D1839&lt;E1839*0.5,"LOW","OK"))))</f>
        <v/>
      </c>
    </row>
    <row r="1840" ht="22" customHeight="1">
      <c r="B1840" s="8" t="inlineStr">
        <is>
          <t>MTR-WSH-002</t>
        </is>
      </c>
      <c r="C1840" s="8" t="inlineStr">
        <is>
          <t>2024-01-16</t>
        </is>
      </c>
      <c r="D1840" s="12" t="n">
        <v>28.51</v>
      </c>
      <c r="E1840" s="12" t="n">
        <v>30</v>
      </c>
      <c r="F1840" s="12">
        <f>ROUND(D1840-E1840,2)</f>
        <v/>
      </c>
      <c r="G1840" s="15">
        <f>IFERROR(ROUND(F1840/E1840,4),"")</f>
        <v/>
      </c>
      <c r="H1840" s="16">
        <f>IF(D1840=0,"NO DATA",IF(D1840&gt;E1840*1.5,"OVER",IF(D1840&gt;E1840*1.1,"HIGH",IF(D1840&lt;E1840*0.5,"LOW","OK"))))</f>
        <v/>
      </c>
    </row>
    <row r="1841" ht="22" customHeight="1">
      <c r="B1841" s="5" t="inlineStr">
        <is>
          <t>MTR-WSH-002</t>
        </is>
      </c>
      <c r="C1841" s="5" t="inlineStr">
        <is>
          <t>2024-01-17</t>
        </is>
      </c>
      <c r="D1841" s="11" t="n">
        <v>30.18</v>
      </c>
      <c r="E1841" s="11" t="n">
        <v>30</v>
      </c>
      <c r="F1841" s="11">
        <f>ROUND(D1841-E1841,2)</f>
        <v/>
      </c>
      <c r="G1841" s="13">
        <f>IFERROR(ROUND(F1841/E1841,4),"")</f>
        <v/>
      </c>
      <c r="H1841" s="14">
        <f>IF(D1841=0,"NO DATA",IF(D1841&gt;E1841*1.5,"OVER",IF(D1841&gt;E1841*1.1,"HIGH",IF(D1841&lt;E1841*0.5,"LOW","OK"))))</f>
        <v/>
      </c>
    </row>
    <row r="1842" ht="22" customHeight="1">
      <c r="B1842" s="8" t="inlineStr">
        <is>
          <t>MTR-WSH-002</t>
        </is>
      </c>
      <c r="C1842" s="8" t="inlineStr">
        <is>
          <t>2024-01-18</t>
        </is>
      </c>
      <c r="D1842" s="12" t="n">
        <v>26.88</v>
      </c>
      <c r="E1842" s="12" t="n">
        <v>30</v>
      </c>
      <c r="F1842" s="12">
        <f>ROUND(D1842-E1842,2)</f>
        <v/>
      </c>
      <c r="G1842" s="15">
        <f>IFERROR(ROUND(F1842/E1842,4),"")</f>
        <v/>
      </c>
      <c r="H1842" s="16">
        <f>IF(D1842=0,"NO DATA",IF(D1842&gt;E1842*1.5,"OVER",IF(D1842&gt;E1842*1.1,"HIGH",IF(D1842&lt;E1842*0.5,"LOW","OK"))))</f>
        <v/>
      </c>
    </row>
    <row r="1843" ht="22" customHeight="1">
      <c r="B1843" s="5" t="inlineStr">
        <is>
          <t>MTR-WSH-002</t>
        </is>
      </c>
      <c r="C1843" s="5" t="inlineStr">
        <is>
          <t>2024-01-19</t>
        </is>
      </c>
      <c r="D1843" s="11" t="n">
        <v>28.73</v>
      </c>
      <c r="E1843" s="11" t="n">
        <v>30</v>
      </c>
      <c r="F1843" s="11">
        <f>ROUND(D1843-E1843,2)</f>
        <v/>
      </c>
      <c r="G1843" s="13">
        <f>IFERROR(ROUND(F1843/E1843,4),"")</f>
        <v/>
      </c>
      <c r="H1843" s="14">
        <f>IF(D1843=0,"NO DATA",IF(D1843&gt;E1843*1.5,"OVER",IF(D1843&gt;E1843*1.1,"HIGH",IF(D1843&lt;E1843*0.5,"LOW","OK"))))</f>
        <v/>
      </c>
    </row>
    <row r="1844" ht="22" customHeight="1">
      <c r="B1844" s="8" t="inlineStr">
        <is>
          <t>MTR-WSH-002</t>
        </is>
      </c>
      <c r="C1844" s="8" t="inlineStr">
        <is>
          <t>2024-01-20</t>
        </is>
      </c>
      <c r="D1844" s="12" t="n">
        <v>24.06</v>
      </c>
      <c r="E1844" s="12" t="n">
        <v>30</v>
      </c>
      <c r="F1844" s="12">
        <f>ROUND(D1844-E1844,2)</f>
        <v/>
      </c>
      <c r="G1844" s="15">
        <f>IFERROR(ROUND(F1844/E1844,4),"")</f>
        <v/>
      </c>
      <c r="H1844" s="16">
        <f>IF(D1844=0,"NO DATA",IF(D1844&gt;E1844*1.5,"OVER",IF(D1844&gt;E1844*1.1,"HIGH",IF(D1844&lt;E1844*0.5,"LOW","OK"))))</f>
        <v/>
      </c>
    </row>
    <row r="1845" ht="22" customHeight="1">
      <c r="B1845" s="5" t="inlineStr">
        <is>
          <t>MTR-WSH-002</t>
        </is>
      </c>
      <c r="C1845" s="5" t="inlineStr">
        <is>
          <t>2024-01-21</t>
        </is>
      </c>
      <c r="D1845" s="11" t="n">
        <v>17.57</v>
      </c>
      <c r="E1845" s="11" t="n">
        <v>30</v>
      </c>
      <c r="F1845" s="11">
        <f>ROUND(D1845-E1845,2)</f>
        <v/>
      </c>
      <c r="G1845" s="13">
        <f>IFERROR(ROUND(F1845/E1845,4),"")</f>
        <v/>
      </c>
      <c r="H1845" s="14">
        <f>IF(D1845=0,"NO DATA",IF(D1845&gt;E1845*1.5,"OVER",IF(D1845&gt;E1845*1.1,"HIGH",IF(D1845&lt;E1845*0.5,"LOW","OK"))))</f>
        <v/>
      </c>
    </row>
    <row r="1846" ht="22" customHeight="1">
      <c r="B1846" s="8" t="inlineStr">
        <is>
          <t>MTR-WSH-002</t>
        </is>
      </c>
      <c r="C1846" s="8" t="inlineStr">
        <is>
          <t>2024-01-22</t>
        </is>
      </c>
      <c r="D1846" s="12" t="n">
        <v>27.51</v>
      </c>
      <c r="E1846" s="12" t="n">
        <v>30</v>
      </c>
      <c r="F1846" s="12">
        <f>ROUND(D1846-E1846,2)</f>
        <v/>
      </c>
      <c r="G1846" s="15">
        <f>IFERROR(ROUND(F1846/E1846,4),"")</f>
        <v/>
      </c>
      <c r="H1846" s="16">
        <f>IF(D1846=0,"NO DATA",IF(D1846&gt;E1846*1.5,"OVER",IF(D1846&gt;E1846*1.1,"HIGH",IF(D1846&lt;E1846*0.5,"LOW","OK"))))</f>
        <v/>
      </c>
    </row>
    <row r="1847" ht="22" customHeight="1">
      <c r="B1847" s="5" t="inlineStr">
        <is>
          <t>MTR-WSH-002</t>
        </is>
      </c>
      <c r="C1847" s="5" t="inlineStr">
        <is>
          <t>2024-01-23</t>
        </is>
      </c>
      <c r="D1847" s="11" t="n">
        <v>25.53</v>
      </c>
      <c r="E1847" s="11" t="n">
        <v>30</v>
      </c>
      <c r="F1847" s="11">
        <f>ROUND(D1847-E1847,2)</f>
        <v/>
      </c>
      <c r="G1847" s="13">
        <f>IFERROR(ROUND(F1847/E1847,4),"")</f>
        <v/>
      </c>
      <c r="H1847" s="14">
        <f>IF(D1847=0,"NO DATA",IF(D1847&gt;E1847*1.5,"OVER",IF(D1847&gt;E1847*1.1,"HIGH",IF(D1847&lt;E1847*0.5,"LOW","OK"))))</f>
        <v/>
      </c>
    </row>
    <row r="1848" ht="22" customHeight="1">
      <c r="B1848" s="8" t="inlineStr">
        <is>
          <t>MTR-WSH-002</t>
        </is>
      </c>
      <c r="C1848" s="8" t="inlineStr">
        <is>
          <t>2024-01-24</t>
        </is>
      </c>
      <c r="D1848" s="12" t="n">
        <v>30.95</v>
      </c>
      <c r="E1848" s="12" t="n">
        <v>30</v>
      </c>
      <c r="F1848" s="12">
        <f>ROUND(D1848-E1848,2)</f>
        <v/>
      </c>
      <c r="G1848" s="15">
        <f>IFERROR(ROUND(F1848/E1848,4),"")</f>
        <v/>
      </c>
      <c r="H1848" s="16">
        <f>IF(D1848=0,"NO DATA",IF(D1848&gt;E1848*1.5,"OVER",IF(D1848&gt;E1848*1.1,"HIGH",IF(D1848&lt;E1848*0.5,"LOW","OK"))))</f>
        <v/>
      </c>
    </row>
    <row r="1849" ht="22" customHeight="1">
      <c r="B1849" s="5" t="inlineStr">
        <is>
          <t>MTR-WSH-002</t>
        </is>
      </c>
      <c r="C1849" s="5" t="inlineStr">
        <is>
          <t>2024-01-25</t>
        </is>
      </c>
      <c r="D1849" s="11" t="n">
        <v>33.23</v>
      </c>
      <c r="E1849" s="11" t="n">
        <v>30</v>
      </c>
      <c r="F1849" s="11">
        <f>ROUND(D1849-E1849,2)</f>
        <v/>
      </c>
      <c r="G1849" s="13">
        <f>IFERROR(ROUND(F1849/E1849,4),"")</f>
        <v/>
      </c>
      <c r="H1849" s="14">
        <f>IF(D1849=0,"NO DATA",IF(D1849&gt;E1849*1.5,"OVER",IF(D1849&gt;E1849*1.1,"HIGH",IF(D1849&lt;E1849*0.5,"LOW","OK"))))</f>
        <v/>
      </c>
    </row>
    <row r="1850" ht="22" customHeight="1">
      <c r="B1850" s="8" t="inlineStr">
        <is>
          <t>MTR-WSH-002</t>
        </is>
      </c>
      <c r="C1850" s="8" t="inlineStr">
        <is>
          <t>2024-01-26</t>
        </is>
      </c>
      <c r="D1850" s="12" t="n">
        <v>25.07</v>
      </c>
      <c r="E1850" s="12" t="n">
        <v>30</v>
      </c>
      <c r="F1850" s="12">
        <f>ROUND(D1850-E1850,2)</f>
        <v/>
      </c>
      <c r="G1850" s="15">
        <f>IFERROR(ROUND(F1850/E1850,4),"")</f>
        <v/>
      </c>
      <c r="H1850" s="16">
        <f>IF(D1850=0,"NO DATA",IF(D1850&gt;E1850*1.5,"OVER",IF(D1850&gt;E1850*1.1,"HIGH",IF(D1850&lt;E1850*0.5,"LOW","OK"))))</f>
        <v/>
      </c>
    </row>
    <row r="1851" ht="22" customHeight="1">
      <c r="B1851" s="5" t="inlineStr">
        <is>
          <t>MTR-WSH-002</t>
        </is>
      </c>
      <c r="C1851" s="5" t="inlineStr">
        <is>
          <t>2024-01-27</t>
        </is>
      </c>
      <c r="D1851" s="11" t="n">
        <v>22.26</v>
      </c>
      <c r="E1851" s="11" t="n">
        <v>30</v>
      </c>
      <c r="F1851" s="11">
        <f>ROUND(D1851-E1851,2)</f>
        <v/>
      </c>
      <c r="G1851" s="13">
        <f>IFERROR(ROUND(F1851/E1851,4),"")</f>
        <v/>
      </c>
      <c r="H1851" s="14">
        <f>IF(D1851=0,"NO DATA",IF(D1851&gt;E1851*1.5,"OVER",IF(D1851&gt;E1851*1.1,"HIGH",IF(D1851&lt;E1851*0.5,"LOW","OK"))))</f>
        <v/>
      </c>
    </row>
    <row r="1852" ht="22" customHeight="1">
      <c r="B1852" s="8" t="inlineStr">
        <is>
          <t>MTR-WSH-002</t>
        </is>
      </c>
      <c r="C1852" s="8" t="inlineStr">
        <is>
          <t>2024-01-28</t>
        </is>
      </c>
      <c r="D1852" s="12" t="n">
        <v>17.43</v>
      </c>
      <c r="E1852" s="12" t="n">
        <v>30</v>
      </c>
      <c r="F1852" s="12">
        <f>ROUND(D1852-E1852,2)</f>
        <v/>
      </c>
      <c r="G1852" s="15">
        <f>IFERROR(ROUND(F1852/E1852,4),"")</f>
        <v/>
      </c>
      <c r="H1852" s="16">
        <f>IF(D1852=0,"NO DATA",IF(D1852&gt;E1852*1.5,"OVER",IF(D1852&gt;E1852*1.1,"HIGH",IF(D1852&lt;E1852*0.5,"LOW","OK"))))</f>
        <v/>
      </c>
    </row>
    <row r="1853" ht="22" customHeight="1">
      <c r="B1853" s="5" t="inlineStr">
        <is>
          <t>MTR-WSH-002</t>
        </is>
      </c>
      <c r="C1853" s="5" t="inlineStr">
        <is>
          <t>2024-01-29</t>
        </is>
      </c>
      <c r="D1853" s="11" t="n">
        <v>32.51</v>
      </c>
      <c r="E1853" s="11" t="n">
        <v>30</v>
      </c>
      <c r="F1853" s="11">
        <f>ROUND(D1853-E1853,2)</f>
        <v/>
      </c>
      <c r="G1853" s="13">
        <f>IFERROR(ROUND(F1853/E1853,4),"")</f>
        <v/>
      </c>
      <c r="H1853" s="14">
        <f>IF(D1853=0,"NO DATA",IF(D1853&gt;E1853*1.5,"OVER",IF(D1853&gt;E1853*1.1,"HIGH",IF(D1853&lt;E1853*0.5,"LOW","OK"))))</f>
        <v/>
      </c>
    </row>
    <row r="1854" ht="22" customHeight="1">
      <c r="B1854" s="8" t="inlineStr">
        <is>
          <t>MTR-WSH-002</t>
        </is>
      </c>
      <c r="C1854" s="8" t="inlineStr">
        <is>
          <t>2024-01-30</t>
        </is>
      </c>
      <c r="D1854" s="12" t="n">
        <v>26.42</v>
      </c>
      <c r="E1854" s="12" t="n">
        <v>30</v>
      </c>
      <c r="F1854" s="12">
        <f>ROUND(D1854-E1854,2)</f>
        <v/>
      </c>
      <c r="G1854" s="15">
        <f>IFERROR(ROUND(F1854/E1854,4),"")</f>
        <v/>
      </c>
      <c r="H1854" s="16">
        <f>IF(D1854=0,"NO DATA",IF(D1854&gt;E1854*1.5,"OVER",IF(D1854&gt;E1854*1.1,"HIGH",IF(D1854&lt;E1854*0.5,"LOW","OK"))))</f>
        <v/>
      </c>
    </row>
    <row r="1855" ht="22" customHeight="1">
      <c r="B1855" s="5" t="inlineStr">
        <is>
          <t>MTR-WSH-002</t>
        </is>
      </c>
      <c r="C1855" s="5" t="inlineStr">
        <is>
          <t>2024-01-31</t>
        </is>
      </c>
      <c r="D1855" s="11" t="n">
        <v>30.13</v>
      </c>
      <c r="E1855" s="11" t="n">
        <v>30</v>
      </c>
      <c r="F1855" s="11">
        <f>ROUND(D1855-E1855,2)</f>
        <v/>
      </c>
      <c r="G1855" s="13">
        <f>IFERROR(ROUND(F1855/E1855,4),"")</f>
        <v/>
      </c>
      <c r="H1855" s="14">
        <f>IF(D1855=0,"NO DATA",IF(D1855&gt;E1855*1.5,"OVER",IF(D1855&gt;E1855*1.1,"HIGH",IF(D1855&lt;E1855*0.5,"LOW","OK"))))</f>
        <v/>
      </c>
    </row>
    <row r="1856" ht="22" customHeight="1">
      <c r="B1856" s="8" t="inlineStr">
        <is>
          <t>MTR-WSH-002</t>
        </is>
      </c>
      <c r="C1856" s="8" t="inlineStr">
        <is>
          <t>2024-02-01</t>
        </is>
      </c>
      <c r="D1856" s="12" t="n">
        <v>33.77</v>
      </c>
      <c r="E1856" s="12" t="n">
        <v>30</v>
      </c>
      <c r="F1856" s="12">
        <f>ROUND(D1856-E1856,2)</f>
        <v/>
      </c>
      <c r="G1856" s="15">
        <f>IFERROR(ROUND(F1856/E1856,4),"")</f>
        <v/>
      </c>
      <c r="H1856" s="16">
        <f>IF(D1856=0,"NO DATA",IF(D1856&gt;E1856*1.5,"OVER",IF(D1856&gt;E1856*1.1,"HIGH",IF(D1856&lt;E1856*0.5,"LOW","OK"))))</f>
        <v/>
      </c>
    </row>
    <row r="1857" ht="22" customHeight="1">
      <c r="B1857" s="5" t="inlineStr">
        <is>
          <t>MTR-WSH-002</t>
        </is>
      </c>
      <c r="C1857" s="5" t="inlineStr">
        <is>
          <t>2024-02-02</t>
        </is>
      </c>
      <c r="D1857" s="11" t="n">
        <v>32.85</v>
      </c>
      <c r="E1857" s="11" t="n">
        <v>30</v>
      </c>
      <c r="F1857" s="11">
        <f>ROUND(D1857-E1857,2)</f>
        <v/>
      </c>
      <c r="G1857" s="13">
        <f>IFERROR(ROUND(F1857/E1857,4),"")</f>
        <v/>
      </c>
      <c r="H1857" s="14">
        <f>IF(D1857=0,"NO DATA",IF(D1857&gt;E1857*1.5,"OVER",IF(D1857&gt;E1857*1.1,"HIGH",IF(D1857&lt;E1857*0.5,"LOW","OK"))))</f>
        <v/>
      </c>
    </row>
    <row r="1858" ht="22" customHeight="1">
      <c r="B1858" s="8" t="inlineStr">
        <is>
          <t>MTR-WSH-002</t>
        </is>
      </c>
      <c r="C1858" s="8" t="inlineStr">
        <is>
          <t>2024-02-03</t>
        </is>
      </c>
      <c r="D1858" s="12" t="n">
        <v>22.3</v>
      </c>
      <c r="E1858" s="12" t="n">
        <v>30</v>
      </c>
      <c r="F1858" s="12">
        <f>ROUND(D1858-E1858,2)</f>
        <v/>
      </c>
      <c r="G1858" s="15">
        <f>IFERROR(ROUND(F1858/E1858,4),"")</f>
        <v/>
      </c>
      <c r="H1858" s="16">
        <f>IF(D1858=0,"NO DATA",IF(D1858&gt;E1858*1.5,"OVER",IF(D1858&gt;E1858*1.1,"HIGH",IF(D1858&lt;E1858*0.5,"LOW","OK"))))</f>
        <v/>
      </c>
    </row>
    <row r="1859" ht="22" customHeight="1">
      <c r="B1859" s="5" t="inlineStr">
        <is>
          <t>MTR-WSH-002</t>
        </is>
      </c>
      <c r="C1859" s="5" t="inlineStr">
        <is>
          <t>2024-02-04</t>
        </is>
      </c>
      <c r="D1859" s="11" t="n">
        <v>15.15</v>
      </c>
      <c r="E1859" s="11" t="n">
        <v>30</v>
      </c>
      <c r="F1859" s="11">
        <f>ROUND(D1859-E1859,2)</f>
        <v/>
      </c>
      <c r="G1859" s="13">
        <f>IFERROR(ROUND(F1859/E1859,4),"")</f>
        <v/>
      </c>
      <c r="H1859" s="14">
        <f>IF(D1859=0,"NO DATA",IF(D1859&gt;E1859*1.5,"OVER",IF(D1859&gt;E1859*1.1,"HIGH",IF(D1859&lt;E1859*0.5,"LOW","OK"))))</f>
        <v/>
      </c>
    </row>
    <row r="1860" ht="22" customHeight="1">
      <c r="B1860" s="8" t="inlineStr">
        <is>
          <t>MTR-WSH-002</t>
        </is>
      </c>
      <c r="C1860" s="8" t="inlineStr">
        <is>
          <t>2024-02-05</t>
        </is>
      </c>
      <c r="D1860" s="12" t="n">
        <v>29.69</v>
      </c>
      <c r="E1860" s="12" t="n">
        <v>30</v>
      </c>
      <c r="F1860" s="12">
        <f>ROUND(D1860-E1860,2)</f>
        <v/>
      </c>
      <c r="G1860" s="15">
        <f>IFERROR(ROUND(F1860/E1860,4),"")</f>
        <v/>
      </c>
      <c r="H1860" s="16">
        <f>IF(D1860=0,"NO DATA",IF(D1860&gt;E1860*1.5,"OVER",IF(D1860&gt;E1860*1.1,"HIGH",IF(D1860&lt;E1860*0.5,"LOW","OK"))))</f>
        <v/>
      </c>
    </row>
    <row r="1861" ht="22" customHeight="1">
      <c r="B1861" s="5" t="inlineStr">
        <is>
          <t>MTR-WSH-002</t>
        </is>
      </c>
      <c r="C1861" s="5" t="inlineStr">
        <is>
          <t>2024-02-06</t>
        </is>
      </c>
      <c r="D1861" s="11" t="n">
        <v>30.46</v>
      </c>
      <c r="E1861" s="11" t="n">
        <v>30</v>
      </c>
      <c r="F1861" s="11">
        <f>ROUND(D1861-E1861,2)</f>
        <v/>
      </c>
      <c r="G1861" s="13">
        <f>IFERROR(ROUND(F1861/E1861,4),"")</f>
        <v/>
      </c>
      <c r="H1861" s="14">
        <f>IF(D1861=0,"NO DATA",IF(D1861&gt;E1861*1.5,"OVER",IF(D1861&gt;E1861*1.1,"HIGH",IF(D1861&lt;E1861*0.5,"LOW","OK"))))</f>
        <v/>
      </c>
    </row>
    <row r="1862" ht="22" customHeight="1">
      <c r="B1862" s="8" t="inlineStr">
        <is>
          <t>MTR-WSH-002</t>
        </is>
      </c>
      <c r="C1862" s="8" t="inlineStr">
        <is>
          <t>2024-02-07</t>
        </is>
      </c>
      <c r="D1862" s="12" t="n">
        <v>33.44</v>
      </c>
      <c r="E1862" s="12" t="n">
        <v>30</v>
      </c>
      <c r="F1862" s="12">
        <f>ROUND(D1862-E1862,2)</f>
        <v/>
      </c>
      <c r="G1862" s="15">
        <f>IFERROR(ROUND(F1862/E1862,4),"")</f>
        <v/>
      </c>
      <c r="H1862" s="16">
        <f>IF(D1862=0,"NO DATA",IF(D1862&gt;E1862*1.5,"OVER",IF(D1862&gt;E1862*1.1,"HIGH",IF(D1862&lt;E1862*0.5,"LOW","OK"))))</f>
        <v/>
      </c>
    </row>
    <row r="1863" ht="22" customHeight="1">
      <c r="B1863" s="5" t="inlineStr">
        <is>
          <t>MTR-WSH-002</t>
        </is>
      </c>
      <c r="C1863" s="5" t="inlineStr">
        <is>
          <t>2024-02-08</t>
        </is>
      </c>
      <c r="D1863" s="11" t="n">
        <v>34.28</v>
      </c>
      <c r="E1863" s="11" t="n">
        <v>30</v>
      </c>
      <c r="F1863" s="11">
        <f>ROUND(D1863-E1863,2)</f>
        <v/>
      </c>
      <c r="G1863" s="13">
        <f>IFERROR(ROUND(F1863/E1863,4),"")</f>
        <v/>
      </c>
      <c r="H1863" s="14">
        <f>IF(D1863=0,"NO DATA",IF(D1863&gt;E1863*1.5,"OVER",IF(D1863&gt;E1863*1.1,"HIGH",IF(D1863&lt;E1863*0.5,"LOW","OK"))))</f>
        <v/>
      </c>
    </row>
    <row r="1864" ht="22" customHeight="1">
      <c r="B1864" s="8" t="inlineStr">
        <is>
          <t>MTR-WSH-002</t>
        </is>
      </c>
      <c r="C1864" s="8" t="inlineStr">
        <is>
          <t>2024-02-09</t>
        </is>
      </c>
      <c r="D1864" s="12" t="n">
        <v>31.25</v>
      </c>
      <c r="E1864" s="12" t="n">
        <v>30</v>
      </c>
      <c r="F1864" s="12">
        <f>ROUND(D1864-E1864,2)</f>
        <v/>
      </c>
      <c r="G1864" s="15">
        <f>IFERROR(ROUND(F1864/E1864,4),"")</f>
        <v/>
      </c>
      <c r="H1864" s="16">
        <f>IF(D1864=0,"NO DATA",IF(D1864&gt;E1864*1.5,"OVER",IF(D1864&gt;E1864*1.1,"HIGH",IF(D1864&lt;E1864*0.5,"LOW","OK"))))</f>
        <v/>
      </c>
    </row>
    <row r="1865" ht="22" customHeight="1">
      <c r="B1865" s="5" t="inlineStr">
        <is>
          <t>MTR-WSH-002</t>
        </is>
      </c>
      <c r="C1865" s="5" t="inlineStr">
        <is>
          <t>2024-02-10</t>
        </is>
      </c>
      <c r="D1865" s="11" t="n">
        <v>25.49</v>
      </c>
      <c r="E1865" s="11" t="n">
        <v>30</v>
      </c>
      <c r="F1865" s="11">
        <f>ROUND(D1865-E1865,2)</f>
        <v/>
      </c>
      <c r="G1865" s="13">
        <f>IFERROR(ROUND(F1865/E1865,4),"")</f>
        <v/>
      </c>
      <c r="H1865" s="14">
        <f>IF(D1865=0,"NO DATA",IF(D1865&gt;E1865*1.5,"OVER",IF(D1865&gt;E1865*1.1,"HIGH",IF(D1865&lt;E1865*0.5,"LOW","OK"))))</f>
        <v/>
      </c>
    </row>
    <row r="1866" ht="22" customHeight="1">
      <c r="B1866" s="8" t="inlineStr">
        <is>
          <t>MTR-WSH-002</t>
        </is>
      </c>
      <c r="C1866" s="8" t="inlineStr">
        <is>
          <t>2024-02-11</t>
        </is>
      </c>
      <c r="D1866" s="12" t="n">
        <v>17.53</v>
      </c>
      <c r="E1866" s="12" t="n">
        <v>30</v>
      </c>
      <c r="F1866" s="12">
        <f>ROUND(D1866-E1866,2)</f>
        <v/>
      </c>
      <c r="G1866" s="15">
        <f>IFERROR(ROUND(F1866/E1866,4),"")</f>
        <v/>
      </c>
      <c r="H1866" s="16">
        <f>IF(D1866=0,"NO DATA",IF(D1866&gt;E1866*1.5,"OVER",IF(D1866&gt;E1866*1.1,"HIGH",IF(D1866&lt;E1866*0.5,"LOW","OK"))))</f>
        <v/>
      </c>
    </row>
    <row r="1867" ht="22" customHeight="1">
      <c r="B1867" s="5" t="inlineStr">
        <is>
          <t>MTR-WSH-002</t>
        </is>
      </c>
      <c r="C1867" s="5" t="inlineStr">
        <is>
          <t>2024-02-12</t>
        </is>
      </c>
      <c r="D1867" s="11" t="n">
        <v>33.85</v>
      </c>
      <c r="E1867" s="11" t="n">
        <v>30</v>
      </c>
      <c r="F1867" s="11">
        <f>ROUND(D1867-E1867,2)</f>
        <v/>
      </c>
      <c r="G1867" s="13">
        <f>IFERROR(ROUND(F1867/E1867,4),"")</f>
        <v/>
      </c>
      <c r="H1867" s="14">
        <f>IF(D1867=0,"NO DATA",IF(D1867&gt;E1867*1.5,"OVER",IF(D1867&gt;E1867*1.1,"HIGH",IF(D1867&lt;E1867*0.5,"LOW","OK"))))</f>
        <v/>
      </c>
    </row>
    <row r="1868" ht="22" customHeight="1">
      <c r="B1868" s="8" t="inlineStr">
        <is>
          <t>MTR-WSH-002</t>
        </is>
      </c>
      <c r="C1868" s="8" t="inlineStr">
        <is>
          <t>2024-02-13</t>
        </is>
      </c>
      <c r="D1868" s="12" t="n">
        <v>31.8</v>
      </c>
      <c r="E1868" s="12" t="n">
        <v>30</v>
      </c>
      <c r="F1868" s="12">
        <f>ROUND(D1868-E1868,2)</f>
        <v/>
      </c>
      <c r="G1868" s="15">
        <f>IFERROR(ROUND(F1868/E1868,4),"")</f>
        <v/>
      </c>
      <c r="H1868" s="16">
        <f>IF(D1868=0,"NO DATA",IF(D1868&gt;E1868*1.5,"OVER",IF(D1868&gt;E1868*1.1,"HIGH",IF(D1868&lt;E1868*0.5,"LOW","OK"))))</f>
        <v/>
      </c>
    </row>
    <row r="1869" ht="22" customHeight="1">
      <c r="B1869" s="5" t="inlineStr">
        <is>
          <t>MTR-WSH-002</t>
        </is>
      </c>
      <c r="C1869" s="5" t="inlineStr">
        <is>
          <t>2024-02-14</t>
        </is>
      </c>
      <c r="D1869" s="11" t="n">
        <v>32.5</v>
      </c>
      <c r="E1869" s="11" t="n">
        <v>30</v>
      </c>
      <c r="F1869" s="11">
        <f>ROUND(D1869-E1869,2)</f>
        <v/>
      </c>
      <c r="G1869" s="13">
        <f>IFERROR(ROUND(F1869/E1869,4),"")</f>
        <v/>
      </c>
      <c r="H1869" s="14">
        <f>IF(D1869=0,"NO DATA",IF(D1869&gt;E1869*1.5,"OVER",IF(D1869&gt;E1869*1.1,"HIGH",IF(D1869&lt;E1869*0.5,"LOW","OK"))))</f>
        <v/>
      </c>
    </row>
    <row r="1870" ht="22" customHeight="1">
      <c r="B1870" s="8" t="inlineStr">
        <is>
          <t>MTR-WSH-002</t>
        </is>
      </c>
      <c r="C1870" s="8" t="inlineStr">
        <is>
          <t>2024-02-15</t>
        </is>
      </c>
      <c r="D1870" s="12" t="n">
        <v>32.22</v>
      </c>
      <c r="E1870" s="12" t="n">
        <v>30</v>
      </c>
      <c r="F1870" s="12">
        <f>ROUND(D1870-E1870,2)</f>
        <v/>
      </c>
      <c r="G1870" s="15">
        <f>IFERROR(ROUND(F1870/E1870,4),"")</f>
        <v/>
      </c>
      <c r="H1870" s="16">
        <f>IF(D1870=0,"NO DATA",IF(D1870&gt;E1870*1.5,"OVER",IF(D1870&gt;E1870*1.1,"HIGH",IF(D1870&lt;E1870*0.5,"LOW","OK"))))</f>
        <v/>
      </c>
    </row>
    <row r="1871" ht="22" customHeight="1">
      <c r="B1871" s="5" t="inlineStr">
        <is>
          <t>MTR-WSH-002</t>
        </is>
      </c>
      <c r="C1871" s="5" t="inlineStr">
        <is>
          <t>2024-02-16</t>
        </is>
      </c>
      <c r="D1871" s="11" t="n">
        <v>29.51</v>
      </c>
      <c r="E1871" s="11" t="n">
        <v>30</v>
      </c>
      <c r="F1871" s="11">
        <f>ROUND(D1871-E1871,2)</f>
        <v/>
      </c>
      <c r="G1871" s="13">
        <f>IFERROR(ROUND(F1871/E1871,4),"")</f>
        <v/>
      </c>
      <c r="H1871" s="14">
        <f>IF(D1871=0,"NO DATA",IF(D1871&gt;E1871*1.5,"OVER",IF(D1871&gt;E1871*1.1,"HIGH",IF(D1871&lt;E1871*0.5,"LOW","OK"))))</f>
        <v/>
      </c>
    </row>
    <row r="1872" ht="22" customHeight="1">
      <c r="B1872" s="8" t="inlineStr">
        <is>
          <t>MTR-WSH-002</t>
        </is>
      </c>
      <c r="C1872" s="8" t="inlineStr">
        <is>
          <t>2024-02-17</t>
        </is>
      </c>
      <c r="D1872" s="12" t="n">
        <v>23.63</v>
      </c>
      <c r="E1872" s="12" t="n">
        <v>30</v>
      </c>
      <c r="F1872" s="12">
        <f>ROUND(D1872-E1872,2)</f>
        <v/>
      </c>
      <c r="G1872" s="15">
        <f>IFERROR(ROUND(F1872/E1872,4),"")</f>
        <v/>
      </c>
      <c r="H1872" s="16">
        <f>IF(D1872=0,"NO DATA",IF(D1872&gt;E1872*1.5,"OVER",IF(D1872&gt;E1872*1.1,"HIGH",IF(D1872&lt;E1872*0.5,"LOW","OK"))))</f>
        <v/>
      </c>
    </row>
    <row r="1873" ht="22" customHeight="1">
      <c r="B1873" s="5" t="inlineStr">
        <is>
          <t>MTR-WSH-002</t>
        </is>
      </c>
      <c r="C1873" s="5" t="inlineStr">
        <is>
          <t>2024-02-18</t>
        </is>
      </c>
      <c r="D1873" s="11" t="n">
        <v>14.53</v>
      </c>
      <c r="E1873" s="11" t="n">
        <v>30</v>
      </c>
      <c r="F1873" s="11">
        <f>ROUND(D1873-E1873,2)</f>
        <v/>
      </c>
      <c r="G1873" s="13">
        <f>IFERROR(ROUND(F1873/E1873,4),"")</f>
        <v/>
      </c>
      <c r="H1873" s="14">
        <f>IF(D1873=0,"NO DATA",IF(D1873&gt;E1873*1.5,"OVER",IF(D1873&gt;E1873*1.1,"HIGH",IF(D1873&lt;E1873*0.5,"LOW","OK"))))</f>
        <v/>
      </c>
    </row>
    <row r="1874" ht="22" customHeight="1">
      <c r="B1874" s="8" t="inlineStr">
        <is>
          <t>MTR-WSH-002</t>
        </is>
      </c>
      <c r="C1874" s="8" t="inlineStr">
        <is>
          <t>2024-02-19</t>
        </is>
      </c>
      <c r="D1874" s="12" t="n">
        <v>30.59</v>
      </c>
      <c r="E1874" s="12" t="n">
        <v>30</v>
      </c>
      <c r="F1874" s="12">
        <f>ROUND(D1874-E1874,2)</f>
        <v/>
      </c>
      <c r="G1874" s="15">
        <f>IFERROR(ROUND(F1874/E1874,4),"")</f>
        <v/>
      </c>
      <c r="H1874" s="16">
        <f>IF(D1874=0,"NO DATA",IF(D1874&gt;E1874*1.5,"OVER",IF(D1874&gt;E1874*1.1,"HIGH",IF(D1874&lt;E1874*0.5,"LOW","OK"))))</f>
        <v/>
      </c>
    </row>
    <row r="1875" ht="22" customHeight="1">
      <c r="B1875" s="5" t="inlineStr">
        <is>
          <t>MTR-WSH-002</t>
        </is>
      </c>
      <c r="C1875" s="5" t="inlineStr">
        <is>
          <t>2024-02-20</t>
        </is>
      </c>
      <c r="D1875" s="11" t="n">
        <v>29.87</v>
      </c>
      <c r="E1875" s="11" t="n">
        <v>30</v>
      </c>
      <c r="F1875" s="11">
        <f>ROUND(D1875-E1875,2)</f>
        <v/>
      </c>
      <c r="G1875" s="13">
        <f>IFERROR(ROUND(F1875/E1875,4),"")</f>
        <v/>
      </c>
      <c r="H1875" s="14">
        <f>IF(D1875=0,"NO DATA",IF(D1875&gt;E1875*1.5,"OVER",IF(D1875&gt;E1875*1.1,"HIGH",IF(D1875&lt;E1875*0.5,"LOW","OK"))))</f>
        <v/>
      </c>
    </row>
    <row r="1876" ht="22" customHeight="1">
      <c r="B1876" s="8" t="inlineStr">
        <is>
          <t>MTR-WSH-002</t>
        </is>
      </c>
      <c r="C1876" s="8" t="inlineStr">
        <is>
          <t>2024-02-21</t>
        </is>
      </c>
      <c r="D1876" s="12" t="n">
        <v>27.78</v>
      </c>
      <c r="E1876" s="12" t="n">
        <v>30</v>
      </c>
      <c r="F1876" s="12">
        <f>ROUND(D1876-E1876,2)</f>
        <v/>
      </c>
      <c r="G1876" s="15">
        <f>IFERROR(ROUND(F1876/E1876,4),"")</f>
        <v/>
      </c>
      <c r="H1876" s="16">
        <f>IF(D1876=0,"NO DATA",IF(D1876&gt;E1876*1.5,"OVER",IF(D1876&gt;E1876*1.1,"HIGH",IF(D1876&lt;E1876*0.5,"LOW","OK"))))</f>
        <v/>
      </c>
    </row>
    <row r="1877" ht="22" customHeight="1">
      <c r="B1877" s="5" t="inlineStr">
        <is>
          <t>MTR-WSH-002</t>
        </is>
      </c>
      <c r="C1877" s="5" t="inlineStr">
        <is>
          <t>2024-02-22</t>
        </is>
      </c>
      <c r="D1877" s="11" t="n">
        <v>30.04</v>
      </c>
      <c r="E1877" s="11" t="n">
        <v>30</v>
      </c>
      <c r="F1877" s="11">
        <f>ROUND(D1877-E1877,2)</f>
        <v/>
      </c>
      <c r="G1877" s="13">
        <f>IFERROR(ROUND(F1877/E1877,4),"")</f>
        <v/>
      </c>
      <c r="H1877" s="14">
        <f>IF(D1877=0,"NO DATA",IF(D1877&gt;E1877*1.5,"OVER",IF(D1877&gt;E1877*1.1,"HIGH",IF(D1877&lt;E1877*0.5,"LOW","OK"))))</f>
        <v/>
      </c>
    </row>
    <row r="1878" ht="22" customHeight="1">
      <c r="B1878" s="8" t="inlineStr">
        <is>
          <t>MTR-WSH-002</t>
        </is>
      </c>
      <c r="C1878" s="8" t="inlineStr">
        <is>
          <t>2024-02-23</t>
        </is>
      </c>
      <c r="D1878" s="12" t="n">
        <v>34.5</v>
      </c>
      <c r="E1878" s="12" t="n">
        <v>30</v>
      </c>
      <c r="F1878" s="12">
        <f>ROUND(D1878-E1878,2)</f>
        <v/>
      </c>
      <c r="G1878" s="15">
        <f>IFERROR(ROUND(F1878/E1878,4),"")</f>
        <v/>
      </c>
      <c r="H1878" s="16">
        <f>IF(D1878=0,"NO DATA",IF(D1878&gt;E1878*1.5,"OVER",IF(D1878&gt;E1878*1.1,"HIGH",IF(D1878&lt;E1878*0.5,"LOW","OK"))))</f>
        <v/>
      </c>
    </row>
    <row r="1879" ht="22" customHeight="1">
      <c r="B1879" s="5" t="inlineStr">
        <is>
          <t>MTR-WSH-002</t>
        </is>
      </c>
      <c r="C1879" s="5" t="inlineStr">
        <is>
          <t>2024-02-24</t>
        </is>
      </c>
      <c r="D1879" s="11" t="n">
        <v>22.62</v>
      </c>
      <c r="E1879" s="11" t="n">
        <v>30</v>
      </c>
      <c r="F1879" s="11">
        <f>ROUND(D1879-E1879,2)</f>
        <v/>
      </c>
      <c r="G1879" s="13">
        <f>IFERROR(ROUND(F1879/E1879,4),"")</f>
        <v/>
      </c>
      <c r="H1879" s="14">
        <f>IF(D1879=0,"NO DATA",IF(D1879&gt;E1879*1.5,"OVER",IF(D1879&gt;E1879*1.1,"HIGH",IF(D1879&lt;E1879*0.5,"LOW","OK"))))</f>
        <v/>
      </c>
    </row>
    <row r="1880" ht="22" customHeight="1">
      <c r="B1880" s="8" t="inlineStr">
        <is>
          <t>MTR-WSH-002</t>
        </is>
      </c>
      <c r="C1880" s="8" t="inlineStr">
        <is>
          <t>2024-02-25</t>
        </is>
      </c>
      <c r="D1880" s="12" t="n">
        <v>15.25</v>
      </c>
      <c r="E1880" s="12" t="n">
        <v>30</v>
      </c>
      <c r="F1880" s="12">
        <f>ROUND(D1880-E1880,2)</f>
        <v/>
      </c>
      <c r="G1880" s="15">
        <f>IFERROR(ROUND(F1880/E1880,4),"")</f>
        <v/>
      </c>
      <c r="H1880" s="16">
        <f>IF(D1880=0,"NO DATA",IF(D1880&gt;E1880*1.5,"OVER",IF(D1880&gt;E1880*1.1,"HIGH",IF(D1880&lt;E1880*0.5,"LOW","OK"))))</f>
        <v/>
      </c>
    </row>
    <row r="1881" ht="22" customHeight="1">
      <c r="B1881" s="5" t="inlineStr">
        <is>
          <t>MTR-WSH-002</t>
        </is>
      </c>
      <c r="C1881" s="5" t="inlineStr">
        <is>
          <t>2024-02-26</t>
        </is>
      </c>
      <c r="D1881" s="11" t="n">
        <v>27.34</v>
      </c>
      <c r="E1881" s="11" t="n">
        <v>30</v>
      </c>
      <c r="F1881" s="11">
        <f>ROUND(D1881-E1881,2)</f>
        <v/>
      </c>
      <c r="G1881" s="13">
        <f>IFERROR(ROUND(F1881/E1881,4),"")</f>
        <v/>
      </c>
      <c r="H1881" s="14">
        <f>IF(D1881=0,"NO DATA",IF(D1881&gt;E1881*1.5,"OVER",IF(D1881&gt;E1881*1.1,"HIGH",IF(D1881&lt;E1881*0.5,"LOW","OK"))))</f>
        <v/>
      </c>
    </row>
    <row r="1882" ht="22" customHeight="1">
      <c r="B1882" s="8" t="inlineStr">
        <is>
          <t>MTR-WSH-002</t>
        </is>
      </c>
      <c r="C1882" s="8" t="inlineStr">
        <is>
          <t>2024-02-27</t>
        </is>
      </c>
      <c r="D1882" s="12" t="n">
        <v>33.48</v>
      </c>
      <c r="E1882" s="12" t="n">
        <v>30</v>
      </c>
      <c r="F1882" s="12">
        <f>ROUND(D1882-E1882,2)</f>
        <v/>
      </c>
      <c r="G1882" s="15">
        <f>IFERROR(ROUND(F1882/E1882,4),"")</f>
        <v/>
      </c>
      <c r="H1882" s="16">
        <f>IF(D1882=0,"NO DATA",IF(D1882&gt;E1882*1.5,"OVER",IF(D1882&gt;E1882*1.1,"HIGH",IF(D1882&lt;E1882*0.5,"LOW","OK"))))</f>
        <v/>
      </c>
    </row>
    <row r="1883" ht="22" customHeight="1">
      <c r="B1883" s="5" t="inlineStr">
        <is>
          <t>MTR-WSH-002</t>
        </is>
      </c>
      <c r="C1883" s="5" t="inlineStr">
        <is>
          <t>2024-02-28</t>
        </is>
      </c>
      <c r="D1883" s="11" t="n">
        <v>27.39</v>
      </c>
      <c r="E1883" s="11" t="n">
        <v>30</v>
      </c>
      <c r="F1883" s="11">
        <f>ROUND(D1883-E1883,2)</f>
        <v/>
      </c>
      <c r="G1883" s="13">
        <f>IFERROR(ROUND(F1883/E1883,4),"")</f>
        <v/>
      </c>
      <c r="H1883" s="14">
        <f>IF(D1883=0,"NO DATA",IF(D1883&gt;E1883*1.5,"OVER",IF(D1883&gt;E1883*1.1,"HIGH",IF(D1883&lt;E1883*0.5,"LOW","OK"))))</f>
        <v/>
      </c>
    </row>
    <row r="1884" ht="22" customHeight="1">
      <c r="B1884" s="8" t="inlineStr">
        <is>
          <t>MTR-WSH-002</t>
        </is>
      </c>
      <c r="C1884" s="8" t="inlineStr">
        <is>
          <t>2024-02-29</t>
        </is>
      </c>
      <c r="D1884" s="12" t="n">
        <v>27.93</v>
      </c>
      <c r="E1884" s="12" t="n">
        <v>30</v>
      </c>
      <c r="F1884" s="12">
        <f>ROUND(D1884-E1884,2)</f>
        <v/>
      </c>
      <c r="G1884" s="15">
        <f>IFERROR(ROUND(F1884/E1884,4),"")</f>
        <v/>
      </c>
      <c r="H1884" s="16">
        <f>IF(D1884=0,"NO DATA",IF(D1884&gt;E1884*1.5,"OVER",IF(D1884&gt;E1884*1.1,"HIGH",IF(D1884&lt;E1884*0.5,"LOW","OK"))))</f>
        <v/>
      </c>
    </row>
    <row r="1885" ht="22" customHeight="1">
      <c r="B1885" s="5" t="inlineStr">
        <is>
          <t>MTR-WSH-002</t>
        </is>
      </c>
      <c r="C1885" s="5" t="inlineStr">
        <is>
          <t>2024-03-01</t>
        </is>
      </c>
      <c r="D1885" s="11" t="n">
        <v>32.96</v>
      </c>
      <c r="E1885" s="11" t="n">
        <v>30</v>
      </c>
      <c r="F1885" s="11">
        <f>ROUND(D1885-E1885,2)</f>
        <v/>
      </c>
      <c r="G1885" s="13">
        <f>IFERROR(ROUND(F1885/E1885,4),"")</f>
        <v/>
      </c>
      <c r="H1885" s="14">
        <f>IF(D1885=0,"NO DATA",IF(D1885&gt;E1885*1.5,"OVER",IF(D1885&gt;E1885*1.1,"HIGH",IF(D1885&lt;E1885*0.5,"LOW","OK"))))</f>
        <v/>
      </c>
    </row>
    <row r="1886" ht="22" customHeight="1">
      <c r="B1886" s="8" t="inlineStr">
        <is>
          <t>MTR-WSH-002</t>
        </is>
      </c>
      <c r="C1886" s="8" t="inlineStr">
        <is>
          <t>2024-03-02</t>
        </is>
      </c>
      <c r="D1886" s="12" t="n">
        <v>23.76</v>
      </c>
      <c r="E1886" s="12" t="n">
        <v>30</v>
      </c>
      <c r="F1886" s="12">
        <f>ROUND(D1886-E1886,2)</f>
        <v/>
      </c>
      <c r="G1886" s="15">
        <f>IFERROR(ROUND(F1886/E1886,4),"")</f>
        <v/>
      </c>
      <c r="H1886" s="16">
        <f>IF(D1886=0,"NO DATA",IF(D1886&gt;E1886*1.5,"OVER",IF(D1886&gt;E1886*1.1,"HIGH",IF(D1886&lt;E1886*0.5,"LOW","OK"))))</f>
        <v/>
      </c>
    </row>
    <row r="1887" ht="22" customHeight="1">
      <c r="B1887" s="5" t="inlineStr">
        <is>
          <t>MTR-WSH-002</t>
        </is>
      </c>
      <c r="C1887" s="5" t="inlineStr">
        <is>
          <t>2024-03-03</t>
        </is>
      </c>
      <c r="D1887" s="11" t="n">
        <v>17.42</v>
      </c>
      <c r="E1887" s="11" t="n">
        <v>30</v>
      </c>
      <c r="F1887" s="11">
        <f>ROUND(D1887-E1887,2)</f>
        <v/>
      </c>
      <c r="G1887" s="13">
        <f>IFERROR(ROUND(F1887/E1887,4),"")</f>
        <v/>
      </c>
      <c r="H1887" s="14">
        <f>IF(D1887=0,"NO DATA",IF(D1887&gt;E1887*1.5,"OVER",IF(D1887&gt;E1887*1.1,"HIGH",IF(D1887&lt;E1887*0.5,"LOW","OK"))))</f>
        <v/>
      </c>
    </row>
    <row r="1888" ht="22" customHeight="1">
      <c r="B1888" s="8" t="inlineStr">
        <is>
          <t>MTR-WSH-002</t>
        </is>
      </c>
      <c r="C1888" s="8" t="inlineStr">
        <is>
          <t>2024-03-04</t>
        </is>
      </c>
      <c r="D1888" s="12" t="n">
        <v>26.91</v>
      </c>
      <c r="E1888" s="12" t="n">
        <v>30</v>
      </c>
      <c r="F1888" s="12">
        <f>ROUND(D1888-E1888,2)</f>
        <v/>
      </c>
      <c r="G1888" s="15">
        <f>IFERROR(ROUND(F1888/E1888,4),"")</f>
        <v/>
      </c>
      <c r="H1888" s="16">
        <f>IF(D1888=0,"NO DATA",IF(D1888&gt;E1888*1.5,"OVER",IF(D1888&gt;E1888*1.1,"HIGH",IF(D1888&lt;E1888*0.5,"LOW","OK"))))</f>
        <v/>
      </c>
    </row>
    <row r="1889" ht="22" customHeight="1">
      <c r="B1889" s="5" t="inlineStr">
        <is>
          <t>MTR-WSH-002</t>
        </is>
      </c>
      <c r="C1889" s="5" t="inlineStr">
        <is>
          <t>2024-03-05</t>
        </is>
      </c>
      <c r="D1889" s="11" t="n">
        <v>30.96</v>
      </c>
      <c r="E1889" s="11" t="n">
        <v>30</v>
      </c>
      <c r="F1889" s="11">
        <f>ROUND(D1889-E1889,2)</f>
        <v/>
      </c>
      <c r="G1889" s="13">
        <f>IFERROR(ROUND(F1889/E1889,4),"")</f>
        <v/>
      </c>
      <c r="H1889" s="14">
        <f>IF(D1889=0,"NO DATA",IF(D1889&gt;E1889*1.5,"OVER",IF(D1889&gt;E1889*1.1,"HIGH",IF(D1889&lt;E1889*0.5,"LOW","OK"))))</f>
        <v/>
      </c>
    </row>
    <row r="1890" ht="22" customHeight="1">
      <c r="B1890" s="8" t="inlineStr">
        <is>
          <t>MTR-WSH-002</t>
        </is>
      </c>
      <c r="C1890" s="8" t="inlineStr">
        <is>
          <t>2024-03-06</t>
        </is>
      </c>
      <c r="D1890" s="12" t="n">
        <v>26.99</v>
      </c>
      <c r="E1890" s="12" t="n">
        <v>30</v>
      </c>
      <c r="F1890" s="12">
        <f>ROUND(D1890-E1890,2)</f>
        <v/>
      </c>
      <c r="G1890" s="15">
        <f>IFERROR(ROUND(F1890/E1890,4),"")</f>
        <v/>
      </c>
      <c r="H1890" s="16">
        <f>IF(D1890=0,"NO DATA",IF(D1890&gt;E1890*1.5,"OVER",IF(D1890&gt;E1890*1.1,"HIGH",IF(D1890&lt;E1890*0.5,"LOW","OK"))))</f>
        <v/>
      </c>
    </row>
    <row r="1891" ht="22" customHeight="1">
      <c r="B1891" s="5" t="inlineStr">
        <is>
          <t>MTR-WSH-002</t>
        </is>
      </c>
      <c r="C1891" s="5" t="inlineStr">
        <is>
          <t>2024-03-07</t>
        </is>
      </c>
      <c r="D1891" s="11" t="n">
        <v>30.05</v>
      </c>
      <c r="E1891" s="11" t="n">
        <v>30</v>
      </c>
      <c r="F1891" s="11">
        <f>ROUND(D1891-E1891,2)</f>
        <v/>
      </c>
      <c r="G1891" s="13">
        <f>IFERROR(ROUND(F1891/E1891,4),"")</f>
        <v/>
      </c>
      <c r="H1891" s="14">
        <f>IF(D1891=0,"NO DATA",IF(D1891&gt;E1891*1.5,"OVER",IF(D1891&gt;E1891*1.1,"HIGH",IF(D1891&lt;E1891*0.5,"LOW","OK"))))</f>
        <v/>
      </c>
    </row>
    <row r="1892" ht="22" customHeight="1">
      <c r="B1892" s="8" t="inlineStr">
        <is>
          <t>MTR-WSH-002</t>
        </is>
      </c>
      <c r="C1892" s="8" t="inlineStr">
        <is>
          <t>2024-03-08</t>
        </is>
      </c>
      <c r="D1892" s="12" t="n">
        <v>32.34</v>
      </c>
      <c r="E1892" s="12" t="n">
        <v>30</v>
      </c>
      <c r="F1892" s="12">
        <f>ROUND(D1892-E1892,2)</f>
        <v/>
      </c>
      <c r="G1892" s="15">
        <f>IFERROR(ROUND(F1892/E1892,4),"")</f>
        <v/>
      </c>
      <c r="H1892" s="16">
        <f>IF(D1892=0,"NO DATA",IF(D1892&gt;E1892*1.5,"OVER",IF(D1892&gt;E1892*1.1,"HIGH",IF(D1892&lt;E1892*0.5,"LOW","OK"))))</f>
        <v/>
      </c>
    </row>
    <row r="1893" ht="22" customHeight="1">
      <c r="B1893" s="5" t="inlineStr">
        <is>
          <t>MTR-WSH-002</t>
        </is>
      </c>
      <c r="C1893" s="5" t="inlineStr">
        <is>
          <t>2024-03-09</t>
        </is>
      </c>
      <c r="D1893" s="11" t="n">
        <v>21.69</v>
      </c>
      <c r="E1893" s="11" t="n">
        <v>30</v>
      </c>
      <c r="F1893" s="11">
        <f>ROUND(D1893-E1893,2)</f>
        <v/>
      </c>
      <c r="G1893" s="13">
        <f>IFERROR(ROUND(F1893/E1893,4),"")</f>
        <v/>
      </c>
      <c r="H1893" s="14">
        <f>IF(D1893=0,"NO DATA",IF(D1893&gt;E1893*1.5,"OVER",IF(D1893&gt;E1893*1.1,"HIGH",IF(D1893&lt;E1893*0.5,"LOW","OK"))))</f>
        <v/>
      </c>
    </row>
    <row r="1894" ht="22" customHeight="1">
      <c r="B1894" s="8" t="inlineStr">
        <is>
          <t>MTR-WSH-002</t>
        </is>
      </c>
      <c r="C1894" s="8" t="inlineStr">
        <is>
          <t>2024-03-10</t>
        </is>
      </c>
      <c r="D1894" s="12" t="n">
        <v>15.96</v>
      </c>
      <c r="E1894" s="12" t="n">
        <v>30</v>
      </c>
      <c r="F1894" s="12">
        <f>ROUND(D1894-E1894,2)</f>
        <v/>
      </c>
      <c r="G1894" s="15">
        <f>IFERROR(ROUND(F1894/E1894,4),"")</f>
        <v/>
      </c>
      <c r="H1894" s="16">
        <f>IF(D1894=0,"NO DATA",IF(D1894&gt;E1894*1.5,"OVER",IF(D1894&gt;E1894*1.1,"HIGH",IF(D1894&lt;E1894*0.5,"LOW","OK"))))</f>
        <v/>
      </c>
    </row>
    <row r="1895" ht="22" customHeight="1">
      <c r="B1895" s="5" t="inlineStr">
        <is>
          <t>MTR-WSH-002</t>
        </is>
      </c>
      <c r="C1895" s="5" t="inlineStr">
        <is>
          <t>2024-03-11</t>
        </is>
      </c>
      <c r="D1895" s="11" t="n">
        <v>35.1</v>
      </c>
      <c r="E1895" s="11" t="n">
        <v>30</v>
      </c>
      <c r="F1895" s="11">
        <f>ROUND(D1895-E1895,2)</f>
        <v/>
      </c>
      <c r="G1895" s="13">
        <f>IFERROR(ROUND(F1895/E1895,4),"")</f>
        <v/>
      </c>
      <c r="H1895" s="14">
        <f>IF(D1895=0,"NO DATA",IF(D1895&gt;E1895*1.5,"OVER",IF(D1895&gt;E1895*1.1,"HIGH",IF(D1895&lt;E1895*0.5,"LOW","OK"))))</f>
        <v/>
      </c>
    </row>
    <row r="1896" ht="22" customHeight="1">
      <c r="B1896" s="8" t="inlineStr">
        <is>
          <t>MTR-WSH-002</t>
        </is>
      </c>
      <c r="C1896" s="8" t="inlineStr">
        <is>
          <t>2024-03-12</t>
        </is>
      </c>
      <c r="D1896" s="12" t="n">
        <v>34.8</v>
      </c>
      <c r="E1896" s="12" t="n">
        <v>30</v>
      </c>
      <c r="F1896" s="12">
        <f>ROUND(D1896-E1896,2)</f>
        <v/>
      </c>
      <c r="G1896" s="15">
        <f>IFERROR(ROUND(F1896/E1896,4),"")</f>
        <v/>
      </c>
      <c r="H1896" s="16">
        <f>IF(D1896=0,"NO DATA",IF(D1896&gt;E1896*1.5,"OVER",IF(D1896&gt;E1896*1.1,"HIGH",IF(D1896&lt;E1896*0.5,"LOW","OK"))))</f>
        <v/>
      </c>
    </row>
    <row r="1897" ht="22" customHeight="1">
      <c r="B1897" s="5" t="inlineStr">
        <is>
          <t>MTR-WSH-002</t>
        </is>
      </c>
      <c r="C1897" s="5" t="inlineStr">
        <is>
          <t>2024-03-13</t>
        </is>
      </c>
      <c r="D1897" s="11" t="n">
        <v>34.17</v>
      </c>
      <c r="E1897" s="11" t="n">
        <v>30</v>
      </c>
      <c r="F1897" s="11">
        <f>ROUND(D1897-E1897,2)</f>
        <v/>
      </c>
      <c r="G1897" s="13">
        <f>IFERROR(ROUND(F1897/E1897,4),"")</f>
        <v/>
      </c>
      <c r="H1897" s="14">
        <f>IF(D1897=0,"NO DATA",IF(D1897&gt;E1897*1.5,"OVER",IF(D1897&gt;E1897*1.1,"HIGH",IF(D1897&lt;E1897*0.5,"LOW","OK"))))</f>
        <v/>
      </c>
    </row>
    <row r="1898" ht="22" customHeight="1">
      <c r="B1898" s="8" t="inlineStr">
        <is>
          <t>MTR-WSH-002</t>
        </is>
      </c>
      <c r="C1898" s="8" t="inlineStr">
        <is>
          <t>2024-03-14</t>
        </is>
      </c>
      <c r="D1898" s="12" t="n">
        <v>35.55</v>
      </c>
      <c r="E1898" s="12" t="n">
        <v>30</v>
      </c>
      <c r="F1898" s="12">
        <f>ROUND(D1898-E1898,2)</f>
        <v/>
      </c>
      <c r="G1898" s="15">
        <f>IFERROR(ROUND(F1898/E1898,4),"")</f>
        <v/>
      </c>
      <c r="H1898" s="16">
        <f>IF(D1898=0,"NO DATA",IF(D1898&gt;E1898*1.5,"OVER",IF(D1898&gt;E1898*1.1,"HIGH",IF(D1898&lt;E1898*0.5,"LOW","OK"))))</f>
        <v/>
      </c>
    </row>
    <row r="1899" ht="22" customHeight="1">
      <c r="B1899" s="5" t="inlineStr">
        <is>
          <t>MTR-WSH-002</t>
        </is>
      </c>
      <c r="C1899" s="5" t="inlineStr">
        <is>
          <t>2024-03-15</t>
        </is>
      </c>
      <c r="D1899" s="11" t="n">
        <v>34.1</v>
      </c>
      <c r="E1899" s="11" t="n">
        <v>30</v>
      </c>
      <c r="F1899" s="11">
        <f>ROUND(D1899-E1899,2)</f>
        <v/>
      </c>
      <c r="G1899" s="13">
        <f>IFERROR(ROUND(F1899/E1899,4),"")</f>
        <v/>
      </c>
      <c r="H1899" s="14">
        <f>IF(D1899=0,"NO DATA",IF(D1899&gt;E1899*1.5,"OVER",IF(D1899&gt;E1899*1.1,"HIGH",IF(D1899&lt;E1899*0.5,"LOW","OK"))))</f>
        <v/>
      </c>
    </row>
    <row r="1900" ht="22" customHeight="1">
      <c r="B1900" s="8" t="inlineStr">
        <is>
          <t>MTR-WSH-002</t>
        </is>
      </c>
      <c r="C1900" s="8" t="inlineStr">
        <is>
          <t>2024-03-16</t>
        </is>
      </c>
      <c r="D1900" s="12" t="n">
        <v>26.42</v>
      </c>
      <c r="E1900" s="12" t="n">
        <v>30</v>
      </c>
      <c r="F1900" s="12">
        <f>ROUND(D1900-E1900,2)</f>
        <v/>
      </c>
      <c r="G1900" s="15">
        <f>IFERROR(ROUND(F1900/E1900,4),"")</f>
        <v/>
      </c>
      <c r="H1900" s="16">
        <f>IF(D1900=0,"NO DATA",IF(D1900&gt;E1900*1.5,"OVER",IF(D1900&gt;E1900*1.1,"HIGH",IF(D1900&lt;E1900*0.5,"LOW","OK"))))</f>
        <v/>
      </c>
    </row>
    <row r="1901" ht="22" customHeight="1">
      <c r="B1901" s="5" t="inlineStr">
        <is>
          <t>MTR-WSH-002</t>
        </is>
      </c>
      <c r="C1901" s="5" t="inlineStr">
        <is>
          <t>2024-03-17</t>
        </is>
      </c>
      <c r="D1901" s="11" t="n">
        <v>14.52</v>
      </c>
      <c r="E1901" s="11" t="n">
        <v>30</v>
      </c>
      <c r="F1901" s="11">
        <f>ROUND(D1901-E1901,2)</f>
        <v/>
      </c>
      <c r="G1901" s="13">
        <f>IFERROR(ROUND(F1901/E1901,4),"")</f>
        <v/>
      </c>
      <c r="H1901" s="14">
        <f>IF(D1901=0,"NO DATA",IF(D1901&gt;E1901*1.5,"OVER",IF(D1901&gt;E1901*1.1,"HIGH",IF(D1901&lt;E1901*0.5,"LOW","OK"))))</f>
        <v/>
      </c>
    </row>
    <row r="1902" ht="22" customHeight="1">
      <c r="B1902" s="8" t="inlineStr">
        <is>
          <t>MTR-WSH-002</t>
        </is>
      </c>
      <c r="C1902" s="8" t="inlineStr">
        <is>
          <t>2024-03-18</t>
        </is>
      </c>
      <c r="D1902" s="12" t="n">
        <v>26.62</v>
      </c>
      <c r="E1902" s="12" t="n">
        <v>30</v>
      </c>
      <c r="F1902" s="12">
        <f>ROUND(D1902-E1902,2)</f>
        <v/>
      </c>
      <c r="G1902" s="15">
        <f>IFERROR(ROUND(F1902/E1902,4),"")</f>
        <v/>
      </c>
      <c r="H1902" s="16">
        <f>IF(D1902=0,"NO DATA",IF(D1902&gt;E1902*1.5,"OVER",IF(D1902&gt;E1902*1.1,"HIGH",IF(D1902&lt;E1902*0.5,"LOW","OK"))))</f>
        <v/>
      </c>
    </row>
    <row r="1903" ht="22" customHeight="1">
      <c r="B1903" s="5" t="inlineStr">
        <is>
          <t>MTR-WSH-002</t>
        </is>
      </c>
      <c r="C1903" s="5" t="inlineStr">
        <is>
          <t>2024-03-19</t>
        </is>
      </c>
      <c r="D1903" s="11" t="n">
        <v>29.05</v>
      </c>
      <c r="E1903" s="11" t="n">
        <v>30</v>
      </c>
      <c r="F1903" s="11">
        <f>ROUND(D1903-E1903,2)</f>
        <v/>
      </c>
      <c r="G1903" s="13">
        <f>IFERROR(ROUND(F1903/E1903,4),"")</f>
        <v/>
      </c>
      <c r="H1903" s="14">
        <f>IF(D1903=0,"NO DATA",IF(D1903&gt;E1903*1.5,"OVER",IF(D1903&gt;E1903*1.1,"HIGH",IF(D1903&lt;E1903*0.5,"LOW","OK"))))</f>
        <v/>
      </c>
    </row>
    <row r="1904" ht="22" customHeight="1">
      <c r="B1904" s="8" t="inlineStr">
        <is>
          <t>MTR-WSH-002</t>
        </is>
      </c>
      <c r="C1904" s="8" t="inlineStr">
        <is>
          <t>2024-03-20</t>
        </is>
      </c>
      <c r="D1904" s="12" t="n">
        <v>33.71</v>
      </c>
      <c r="E1904" s="12" t="n">
        <v>30</v>
      </c>
      <c r="F1904" s="12">
        <f>ROUND(D1904-E1904,2)</f>
        <v/>
      </c>
      <c r="G1904" s="15">
        <f>IFERROR(ROUND(F1904/E1904,4),"")</f>
        <v/>
      </c>
      <c r="H1904" s="16">
        <f>IF(D1904=0,"NO DATA",IF(D1904&gt;E1904*1.5,"OVER",IF(D1904&gt;E1904*1.1,"HIGH",IF(D1904&lt;E1904*0.5,"LOW","OK"))))</f>
        <v/>
      </c>
    </row>
    <row r="1905" ht="22" customHeight="1">
      <c r="B1905" s="5" t="inlineStr">
        <is>
          <t>MTR-WSH-002</t>
        </is>
      </c>
      <c r="C1905" s="5" t="inlineStr">
        <is>
          <t>2024-03-21</t>
        </is>
      </c>
      <c r="D1905" s="11" t="n">
        <v>34.58</v>
      </c>
      <c r="E1905" s="11" t="n">
        <v>30</v>
      </c>
      <c r="F1905" s="11">
        <f>ROUND(D1905-E1905,2)</f>
        <v/>
      </c>
      <c r="G1905" s="13">
        <f>IFERROR(ROUND(F1905/E1905,4),"")</f>
        <v/>
      </c>
      <c r="H1905" s="14">
        <f>IF(D1905=0,"NO DATA",IF(D1905&gt;E1905*1.5,"OVER",IF(D1905&gt;E1905*1.1,"HIGH",IF(D1905&lt;E1905*0.5,"LOW","OK"))))</f>
        <v/>
      </c>
    </row>
    <row r="1906" ht="22" customHeight="1">
      <c r="B1906" s="8" t="inlineStr">
        <is>
          <t>MTR-WSH-002</t>
        </is>
      </c>
      <c r="C1906" s="8" t="inlineStr">
        <is>
          <t>2024-03-22</t>
        </is>
      </c>
      <c r="D1906" s="12" t="n">
        <v>28.67</v>
      </c>
      <c r="E1906" s="12" t="n">
        <v>30</v>
      </c>
      <c r="F1906" s="12">
        <f>ROUND(D1906-E1906,2)</f>
        <v/>
      </c>
      <c r="G1906" s="15">
        <f>IFERROR(ROUND(F1906/E1906,4),"")</f>
        <v/>
      </c>
      <c r="H1906" s="16">
        <f>IF(D1906=0,"NO DATA",IF(D1906&gt;E1906*1.5,"OVER",IF(D1906&gt;E1906*1.1,"HIGH",IF(D1906&lt;E1906*0.5,"LOW","OK"))))</f>
        <v/>
      </c>
    </row>
    <row r="1907" ht="22" customHeight="1">
      <c r="B1907" s="5" t="inlineStr">
        <is>
          <t>MTR-WSH-002</t>
        </is>
      </c>
      <c r="C1907" s="5" t="inlineStr">
        <is>
          <t>2024-03-23</t>
        </is>
      </c>
      <c r="D1907" s="11" t="n">
        <v>28.75</v>
      </c>
      <c r="E1907" s="11" t="n">
        <v>30</v>
      </c>
      <c r="F1907" s="11">
        <f>ROUND(D1907-E1907,2)</f>
        <v/>
      </c>
      <c r="G1907" s="13">
        <f>IFERROR(ROUND(F1907/E1907,4),"")</f>
        <v/>
      </c>
      <c r="H1907" s="14">
        <f>IF(D1907=0,"NO DATA",IF(D1907&gt;E1907*1.5,"OVER",IF(D1907&gt;E1907*1.1,"HIGH",IF(D1907&lt;E1907*0.5,"LOW","OK"))))</f>
        <v/>
      </c>
    </row>
    <row r="1908" ht="22" customHeight="1">
      <c r="B1908" s="8" t="inlineStr">
        <is>
          <t>MTR-WSH-002</t>
        </is>
      </c>
      <c r="C1908" s="8" t="inlineStr">
        <is>
          <t>2024-03-24</t>
        </is>
      </c>
      <c r="D1908" s="12" t="n">
        <v>15.88</v>
      </c>
      <c r="E1908" s="12" t="n">
        <v>30</v>
      </c>
      <c r="F1908" s="12">
        <f>ROUND(D1908-E1908,2)</f>
        <v/>
      </c>
      <c r="G1908" s="15">
        <f>IFERROR(ROUND(F1908/E1908,4),"")</f>
        <v/>
      </c>
      <c r="H1908" s="16">
        <f>IF(D1908=0,"NO DATA",IF(D1908&gt;E1908*1.5,"OVER",IF(D1908&gt;E1908*1.1,"HIGH",IF(D1908&lt;E1908*0.5,"LOW","OK"))))</f>
        <v/>
      </c>
    </row>
    <row r="1909" ht="22" customHeight="1">
      <c r="B1909" s="5" t="inlineStr">
        <is>
          <t>MTR-WSH-002</t>
        </is>
      </c>
      <c r="C1909" s="5" t="inlineStr">
        <is>
          <t>2024-03-25</t>
        </is>
      </c>
      <c r="D1909" s="11" t="n">
        <v>34.52</v>
      </c>
      <c r="E1909" s="11" t="n">
        <v>30</v>
      </c>
      <c r="F1909" s="11">
        <f>ROUND(D1909-E1909,2)</f>
        <v/>
      </c>
      <c r="G1909" s="13">
        <f>IFERROR(ROUND(F1909/E1909,4),"")</f>
        <v/>
      </c>
      <c r="H1909" s="14">
        <f>IF(D1909=0,"NO DATA",IF(D1909&gt;E1909*1.5,"OVER",IF(D1909&gt;E1909*1.1,"HIGH",IF(D1909&lt;E1909*0.5,"LOW","OK"))))</f>
        <v/>
      </c>
    </row>
    <row r="1910" ht="22" customHeight="1">
      <c r="B1910" s="8" t="inlineStr">
        <is>
          <t>MTR-WSH-002</t>
        </is>
      </c>
      <c r="C1910" s="8" t="inlineStr">
        <is>
          <t>2024-03-26</t>
        </is>
      </c>
      <c r="D1910" s="12" t="n">
        <v>35.81</v>
      </c>
      <c r="E1910" s="12" t="n">
        <v>30</v>
      </c>
      <c r="F1910" s="12">
        <f>ROUND(D1910-E1910,2)</f>
        <v/>
      </c>
      <c r="G1910" s="15">
        <f>IFERROR(ROUND(F1910/E1910,4),"")</f>
        <v/>
      </c>
      <c r="H1910" s="16">
        <f>IF(D1910=0,"NO DATA",IF(D1910&gt;E1910*1.5,"OVER",IF(D1910&gt;E1910*1.1,"HIGH",IF(D1910&lt;E1910*0.5,"LOW","OK"))))</f>
        <v/>
      </c>
    </row>
    <row r="1911" ht="22" customHeight="1">
      <c r="B1911" s="5" t="inlineStr">
        <is>
          <t>MTR-WSH-002</t>
        </is>
      </c>
      <c r="C1911" s="5" t="inlineStr">
        <is>
          <t>2024-03-27</t>
        </is>
      </c>
      <c r="D1911" s="11" t="n">
        <v>29.52</v>
      </c>
      <c r="E1911" s="11" t="n">
        <v>30</v>
      </c>
      <c r="F1911" s="11">
        <f>ROUND(D1911-E1911,2)</f>
        <v/>
      </c>
      <c r="G1911" s="13">
        <f>IFERROR(ROUND(F1911/E1911,4),"")</f>
        <v/>
      </c>
      <c r="H1911" s="14">
        <f>IF(D1911=0,"NO DATA",IF(D1911&gt;E1911*1.5,"OVER",IF(D1911&gt;E1911*1.1,"HIGH",IF(D1911&lt;E1911*0.5,"LOW","OK"))))</f>
        <v/>
      </c>
    </row>
    <row r="1912" ht="22" customHeight="1">
      <c r="B1912" s="8" t="inlineStr">
        <is>
          <t>MTR-WSH-002</t>
        </is>
      </c>
      <c r="C1912" s="8" t="inlineStr">
        <is>
          <t>2024-03-28</t>
        </is>
      </c>
      <c r="D1912" s="12" t="n">
        <v>32.19</v>
      </c>
      <c r="E1912" s="12" t="n">
        <v>30</v>
      </c>
      <c r="F1912" s="12">
        <f>ROUND(D1912-E1912,2)</f>
        <v/>
      </c>
      <c r="G1912" s="15">
        <f>IFERROR(ROUND(F1912/E1912,4),"")</f>
        <v/>
      </c>
      <c r="H1912" s="16">
        <f>IF(D1912=0,"NO DATA",IF(D1912&gt;E1912*1.5,"OVER",IF(D1912&gt;E1912*1.1,"HIGH",IF(D1912&lt;E1912*0.5,"LOW","OK"))))</f>
        <v/>
      </c>
    </row>
    <row r="1913" ht="22" customHeight="1">
      <c r="B1913" s="5" t="inlineStr">
        <is>
          <t>MTR-WSH-002</t>
        </is>
      </c>
      <c r="C1913" s="5" t="inlineStr">
        <is>
          <t>2024-03-29</t>
        </is>
      </c>
      <c r="D1913" s="11" t="n">
        <v>34.89</v>
      </c>
      <c r="E1913" s="11" t="n">
        <v>30</v>
      </c>
      <c r="F1913" s="11">
        <f>ROUND(D1913-E1913,2)</f>
        <v/>
      </c>
      <c r="G1913" s="13">
        <f>IFERROR(ROUND(F1913/E1913,4),"")</f>
        <v/>
      </c>
      <c r="H1913" s="14">
        <f>IF(D1913=0,"NO DATA",IF(D1913&gt;E1913*1.5,"OVER",IF(D1913&gt;E1913*1.1,"HIGH",IF(D1913&lt;E1913*0.5,"LOW","OK"))))</f>
        <v/>
      </c>
    </row>
    <row r="1914" ht="22" customHeight="1">
      <c r="B1914" s="8" t="inlineStr">
        <is>
          <t>MTR-WSH-002</t>
        </is>
      </c>
      <c r="C1914" s="8" t="inlineStr">
        <is>
          <t>2024-03-30</t>
        </is>
      </c>
      <c r="D1914" s="12" t="n">
        <v>26.67</v>
      </c>
      <c r="E1914" s="12" t="n">
        <v>30</v>
      </c>
      <c r="F1914" s="12">
        <f>ROUND(D1914-E1914,2)</f>
        <v/>
      </c>
      <c r="G1914" s="15">
        <f>IFERROR(ROUND(F1914/E1914,4),"")</f>
        <v/>
      </c>
      <c r="H1914" s="16">
        <f>IF(D1914=0,"NO DATA",IF(D1914&gt;E1914*1.5,"OVER",IF(D1914&gt;E1914*1.1,"HIGH",IF(D1914&lt;E1914*0.5,"LOW","OK"))))</f>
        <v/>
      </c>
    </row>
    <row r="1915" ht="22" customHeight="1">
      <c r="B1915" s="5" t="inlineStr">
        <is>
          <t>MTR-WSH-002</t>
        </is>
      </c>
      <c r="C1915" s="5" t="inlineStr">
        <is>
          <t>2024-03-31</t>
        </is>
      </c>
      <c r="D1915" s="11" t="n">
        <v>15.32</v>
      </c>
      <c r="E1915" s="11" t="n">
        <v>30</v>
      </c>
      <c r="F1915" s="11">
        <f>ROUND(D1915-E1915,2)</f>
        <v/>
      </c>
      <c r="G1915" s="13">
        <f>IFERROR(ROUND(F1915/E1915,4),"")</f>
        <v/>
      </c>
      <c r="H1915" s="14">
        <f>IF(D1915=0,"NO DATA",IF(D1915&gt;E1915*1.5,"OVER",IF(D1915&gt;E1915*1.1,"HIGH",IF(D1915&lt;E1915*0.5,"LOW","OK"))))</f>
        <v/>
      </c>
    </row>
    <row r="1916" ht="22" customHeight="1">
      <c r="B1916" s="8" t="inlineStr">
        <is>
          <t>MTR-WSH-002</t>
        </is>
      </c>
      <c r="C1916" s="8" t="inlineStr">
        <is>
          <t>2024-04-01</t>
        </is>
      </c>
      <c r="D1916" s="12" t="n">
        <v>34.7</v>
      </c>
      <c r="E1916" s="12" t="n">
        <v>30</v>
      </c>
      <c r="F1916" s="12">
        <f>ROUND(D1916-E1916,2)</f>
        <v/>
      </c>
      <c r="G1916" s="15">
        <f>IFERROR(ROUND(F1916/E1916,4),"")</f>
        <v/>
      </c>
      <c r="H1916" s="16">
        <f>IF(D1916=0,"NO DATA",IF(D1916&gt;E1916*1.5,"OVER",IF(D1916&gt;E1916*1.1,"HIGH",IF(D1916&lt;E1916*0.5,"LOW","OK"))))</f>
        <v/>
      </c>
    </row>
    <row r="1917" ht="22" customHeight="1">
      <c r="B1917" s="5" t="inlineStr">
        <is>
          <t>MTR-WSH-002</t>
        </is>
      </c>
      <c r="C1917" s="5" t="inlineStr">
        <is>
          <t>2024-04-02</t>
        </is>
      </c>
      <c r="D1917" s="11" t="n">
        <v>33.28</v>
      </c>
      <c r="E1917" s="11" t="n">
        <v>30</v>
      </c>
      <c r="F1917" s="11">
        <f>ROUND(D1917-E1917,2)</f>
        <v/>
      </c>
      <c r="G1917" s="13">
        <f>IFERROR(ROUND(F1917/E1917,4),"")</f>
        <v/>
      </c>
      <c r="H1917" s="14">
        <f>IF(D1917=0,"NO DATA",IF(D1917&gt;E1917*1.5,"OVER",IF(D1917&gt;E1917*1.1,"HIGH",IF(D1917&lt;E1917*0.5,"LOW","OK"))))</f>
        <v/>
      </c>
    </row>
    <row r="1918" ht="22" customHeight="1">
      <c r="B1918" s="8" t="inlineStr">
        <is>
          <t>MTR-WSH-002</t>
        </is>
      </c>
      <c r="C1918" s="8" t="inlineStr">
        <is>
          <t>2024-04-03</t>
        </is>
      </c>
      <c r="D1918" s="12" t="n">
        <v>28.93</v>
      </c>
      <c r="E1918" s="12" t="n">
        <v>30</v>
      </c>
      <c r="F1918" s="12">
        <f>ROUND(D1918-E1918,2)</f>
        <v/>
      </c>
      <c r="G1918" s="15">
        <f>IFERROR(ROUND(F1918/E1918,4),"")</f>
        <v/>
      </c>
      <c r="H1918" s="16">
        <f>IF(D1918=0,"NO DATA",IF(D1918&gt;E1918*1.5,"OVER",IF(D1918&gt;E1918*1.1,"HIGH",IF(D1918&lt;E1918*0.5,"LOW","OK"))))</f>
        <v/>
      </c>
    </row>
    <row r="1919" ht="22" customHeight="1">
      <c r="B1919" s="5" t="inlineStr">
        <is>
          <t>MTR-WSH-002</t>
        </is>
      </c>
      <c r="C1919" s="5" t="inlineStr">
        <is>
          <t>2024-04-04</t>
        </is>
      </c>
      <c r="D1919" s="11" t="n">
        <v>34.42</v>
      </c>
      <c r="E1919" s="11" t="n">
        <v>30</v>
      </c>
      <c r="F1919" s="11">
        <f>ROUND(D1919-E1919,2)</f>
        <v/>
      </c>
      <c r="G1919" s="13">
        <f>IFERROR(ROUND(F1919/E1919,4),"")</f>
        <v/>
      </c>
      <c r="H1919" s="14">
        <f>IF(D1919=0,"NO DATA",IF(D1919&gt;E1919*1.5,"OVER",IF(D1919&gt;E1919*1.1,"HIGH",IF(D1919&lt;E1919*0.5,"LOW","OK"))))</f>
        <v/>
      </c>
    </row>
    <row r="1920" ht="22" customHeight="1">
      <c r="B1920" s="8" t="inlineStr">
        <is>
          <t>MTR-WSH-002</t>
        </is>
      </c>
      <c r="C1920" s="8" t="inlineStr">
        <is>
          <t>2024-04-05</t>
        </is>
      </c>
      <c r="D1920" s="12" t="n">
        <v>36.54</v>
      </c>
      <c r="E1920" s="12" t="n">
        <v>30</v>
      </c>
      <c r="F1920" s="12">
        <f>ROUND(D1920-E1920,2)</f>
        <v/>
      </c>
      <c r="G1920" s="15">
        <f>IFERROR(ROUND(F1920/E1920,4),"")</f>
        <v/>
      </c>
      <c r="H1920" s="16">
        <f>IF(D1920=0,"NO DATA",IF(D1920&gt;E1920*1.5,"OVER",IF(D1920&gt;E1920*1.1,"HIGH",IF(D1920&lt;E1920*0.5,"LOW","OK"))))</f>
        <v/>
      </c>
    </row>
    <row r="1921" ht="22" customHeight="1">
      <c r="B1921" s="5" t="inlineStr">
        <is>
          <t>MTR-WSH-002</t>
        </is>
      </c>
      <c r="C1921" s="5" t="inlineStr">
        <is>
          <t>2024-04-06</t>
        </is>
      </c>
      <c r="D1921" s="11" t="n">
        <v>28.45</v>
      </c>
      <c r="E1921" s="11" t="n">
        <v>30</v>
      </c>
      <c r="F1921" s="11">
        <f>ROUND(D1921-E1921,2)</f>
        <v/>
      </c>
      <c r="G1921" s="13">
        <f>IFERROR(ROUND(F1921/E1921,4),"")</f>
        <v/>
      </c>
      <c r="H1921" s="14">
        <f>IF(D1921=0,"NO DATA",IF(D1921&gt;E1921*1.5,"OVER",IF(D1921&gt;E1921*1.1,"HIGH",IF(D1921&lt;E1921*0.5,"LOW","OK"))))</f>
        <v/>
      </c>
    </row>
    <row r="1922" ht="22" customHeight="1">
      <c r="B1922" s="8" t="inlineStr">
        <is>
          <t>MTR-WSH-002</t>
        </is>
      </c>
      <c r="C1922" s="8" t="inlineStr">
        <is>
          <t>2024-04-07</t>
        </is>
      </c>
      <c r="D1922" s="12" t="n">
        <v>17.47</v>
      </c>
      <c r="E1922" s="12" t="n">
        <v>30</v>
      </c>
      <c r="F1922" s="12">
        <f>ROUND(D1922-E1922,2)</f>
        <v/>
      </c>
      <c r="G1922" s="15">
        <f>IFERROR(ROUND(F1922/E1922,4),"")</f>
        <v/>
      </c>
      <c r="H1922" s="16">
        <f>IF(D1922=0,"NO DATA",IF(D1922&gt;E1922*1.5,"OVER",IF(D1922&gt;E1922*1.1,"HIGH",IF(D1922&lt;E1922*0.5,"LOW","OK"))))</f>
        <v/>
      </c>
    </row>
    <row r="1923" ht="22" customHeight="1">
      <c r="B1923" s="5" t="inlineStr">
        <is>
          <t>MTR-WSH-002</t>
        </is>
      </c>
      <c r="C1923" s="5" t="inlineStr">
        <is>
          <t>2024-04-08</t>
        </is>
      </c>
      <c r="D1923" s="11" t="n">
        <v>35.77</v>
      </c>
      <c r="E1923" s="11" t="n">
        <v>30</v>
      </c>
      <c r="F1923" s="11">
        <f>ROUND(D1923-E1923,2)</f>
        <v/>
      </c>
      <c r="G1923" s="13">
        <f>IFERROR(ROUND(F1923/E1923,4),"")</f>
        <v/>
      </c>
      <c r="H1923" s="14">
        <f>IF(D1923=0,"NO DATA",IF(D1923&gt;E1923*1.5,"OVER",IF(D1923&gt;E1923*1.1,"HIGH",IF(D1923&lt;E1923*0.5,"LOW","OK"))))</f>
        <v/>
      </c>
    </row>
    <row r="1924" ht="22" customHeight="1">
      <c r="B1924" s="8" t="inlineStr">
        <is>
          <t>MTR-WSH-002</t>
        </is>
      </c>
      <c r="C1924" s="8" t="inlineStr">
        <is>
          <t>2024-04-09</t>
        </is>
      </c>
      <c r="D1924" s="12" t="n">
        <v>33.54</v>
      </c>
      <c r="E1924" s="12" t="n">
        <v>30</v>
      </c>
      <c r="F1924" s="12">
        <f>ROUND(D1924-E1924,2)</f>
        <v/>
      </c>
      <c r="G1924" s="15">
        <f>IFERROR(ROUND(F1924/E1924,4),"")</f>
        <v/>
      </c>
      <c r="H1924" s="16">
        <f>IF(D1924=0,"NO DATA",IF(D1924&gt;E1924*1.5,"OVER",IF(D1924&gt;E1924*1.1,"HIGH",IF(D1924&lt;E1924*0.5,"LOW","OK"))))</f>
        <v/>
      </c>
    </row>
    <row r="1925" ht="22" customHeight="1">
      <c r="B1925" s="5" t="inlineStr">
        <is>
          <t>MTR-WSH-002</t>
        </is>
      </c>
      <c r="C1925" s="5" t="inlineStr">
        <is>
          <t>2024-04-10</t>
        </is>
      </c>
      <c r="D1925" s="11" t="n">
        <v>30.77</v>
      </c>
      <c r="E1925" s="11" t="n">
        <v>30</v>
      </c>
      <c r="F1925" s="11">
        <f>ROUND(D1925-E1925,2)</f>
        <v/>
      </c>
      <c r="G1925" s="13">
        <f>IFERROR(ROUND(F1925/E1925,4),"")</f>
        <v/>
      </c>
      <c r="H1925" s="14">
        <f>IF(D1925=0,"NO DATA",IF(D1925&gt;E1925*1.5,"OVER",IF(D1925&gt;E1925*1.1,"HIGH",IF(D1925&lt;E1925*0.5,"LOW","OK"))))</f>
        <v/>
      </c>
    </row>
    <row r="1926" ht="22" customHeight="1">
      <c r="B1926" s="8" t="inlineStr">
        <is>
          <t>MTR-WSH-002</t>
        </is>
      </c>
      <c r="C1926" s="8" t="inlineStr">
        <is>
          <t>2024-04-11</t>
        </is>
      </c>
      <c r="D1926" s="12" t="n">
        <v>36.57</v>
      </c>
      <c r="E1926" s="12" t="n">
        <v>30</v>
      </c>
      <c r="F1926" s="12">
        <f>ROUND(D1926-E1926,2)</f>
        <v/>
      </c>
      <c r="G1926" s="15">
        <f>IFERROR(ROUND(F1926/E1926,4),"")</f>
        <v/>
      </c>
      <c r="H1926" s="16">
        <f>IF(D1926=0,"NO DATA",IF(D1926&gt;E1926*1.5,"OVER",IF(D1926&gt;E1926*1.1,"HIGH",IF(D1926&lt;E1926*0.5,"LOW","OK"))))</f>
        <v/>
      </c>
    </row>
    <row r="1927" ht="22" customHeight="1">
      <c r="B1927" s="5" t="inlineStr">
        <is>
          <t>MTR-WSH-002</t>
        </is>
      </c>
      <c r="C1927" s="5" t="inlineStr">
        <is>
          <t>2024-04-12</t>
        </is>
      </c>
      <c r="D1927" s="11" t="n">
        <v>30.4</v>
      </c>
      <c r="E1927" s="11" t="n">
        <v>30</v>
      </c>
      <c r="F1927" s="11">
        <f>ROUND(D1927-E1927,2)</f>
        <v/>
      </c>
      <c r="G1927" s="13">
        <f>IFERROR(ROUND(F1927/E1927,4),"")</f>
        <v/>
      </c>
      <c r="H1927" s="14">
        <f>IF(D1927=0,"NO DATA",IF(D1927&gt;E1927*1.5,"OVER",IF(D1927&gt;E1927*1.1,"HIGH",IF(D1927&lt;E1927*0.5,"LOW","OK"))))</f>
        <v/>
      </c>
    </row>
    <row r="1928" ht="22" customHeight="1">
      <c r="B1928" s="8" t="inlineStr">
        <is>
          <t>MTR-WSH-002</t>
        </is>
      </c>
      <c r="C1928" s="8" t="inlineStr">
        <is>
          <t>2024-04-13</t>
        </is>
      </c>
      <c r="D1928" s="12" t="n">
        <v>23.08</v>
      </c>
      <c r="E1928" s="12" t="n">
        <v>30</v>
      </c>
      <c r="F1928" s="12">
        <f>ROUND(D1928-E1928,2)</f>
        <v/>
      </c>
      <c r="G1928" s="15">
        <f>IFERROR(ROUND(F1928/E1928,4),"")</f>
        <v/>
      </c>
      <c r="H1928" s="16">
        <f>IF(D1928=0,"NO DATA",IF(D1928&gt;E1928*1.5,"OVER",IF(D1928&gt;E1928*1.1,"HIGH",IF(D1928&lt;E1928*0.5,"LOW","OK"))))</f>
        <v/>
      </c>
    </row>
    <row r="1929" ht="22" customHeight="1">
      <c r="B1929" s="5" t="inlineStr">
        <is>
          <t>MTR-WSH-002</t>
        </is>
      </c>
      <c r="C1929" s="5" t="inlineStr">
        <is>
          <t>2024-04-14</t>
        </is>
      </c>
      <c r="D1929" s="11" t="n">
        <v>14.59</v>
      </c>
      <c r="E1929" s="11" t="n">
        <v>30</v>
      </c>
      <c r="F1929" s="11">
        <f>ROUND(D1929-E1929,2)</f>
        <v/>
      </c>
      <c r="G1929" s="13">
        <f>IFERROR(ROUND(F1929/E1929,4),"")</f>
        <v/>
      </c>
      <c r="H1929" s="14">
        <f>IF(D1929=0,"NO DATA",IF(D1929&gt;E1929*1.5,"OVER",IF(D1929&gt;E1929*1.1,"HIGH",IF(D1929&lt;E1929*0.5,"LOW","OK"))))</f>
        <v/>
      </c>
    </row>
    <row r="1930" ht="22" customHeight="1">
      <c r="B1930" s="8" t="inlineStr">
        <is>
          <t>MTR-WSH-002</t>
        </is>
      </c>
      <c r="C1930" s="8" t="inlineStr">
        <is>
          <t>2024-04-15</t>
        </is>
      </c>
      <c r="D1930" s="12" t="n">
        <v>33.42</v>
      </c>
      <c r="E1930" s="12" t="n">
        <v>30</v>
      </c>
      <c r="F1930" s="12">
        <f>ROUND(D1930-E1930,2)</f>
        <v/>
      </c>
      <c r="G1930" s="15">
        <f>IFERROR(ROUND(F1930/E1930,4),"")</f>
        <v/>
      </c>
      <c r="H1930" s="16">
        <f>IF(D1930=0,"NO DATA",IF(D1930&gt;E1930*1.5,"OVER",IF(D1930&gt;E1930*1.1,"HIGH",IF(D1930&lt;E1930*0.5,"LOW","OK"))))</f>
        <v/>
      </c>
    </row>
    <row r="1931" ht="22" customHeight="1">
      <c r="B1931" s="5" t="inlineStr">
        <is>
          <t>MTR-WSH-002</t>
        </is>
      </c>
      <c r="C1931" s="5" t="inlineStr">
        <is>
          <t>2024-04-16</t>
        </is>
      </c>
      <c r="D1931" s="11" t="n">
        <v>30.34</v>
      </c>
      <c r="E1931" s="11" t="n">
        <v>30</v>
      </c>
      <c r="F1931" s="11">
        <f>ROUND(D1931-E1931,2)</f>
        <v/>
      </c>
      <c r="G1931" s="13">
        <f>IFERROR(ROUND(F1931/E1931,4),"")</f>
        <v/>
      </c>
      <c r="H1931" s="14">
        <f>IF(D1931=0,"NO DATA",IF(D1931&gt;E1931*1.5,"OVER",IF(D1931&gt;E1931*1.1,"HIGH",IF(D1931&lt;E1931*0.5,"LOW","OK"))))</f>
        <v/>
      </c>
    </row>
    <row r="1932" ht="22" customHeight="1">
      <c r="B1932" s="8" t="inlineStr">
        <is>
          <t>MTR-WSH-002</t>
        </is>
      </c>
      <c r="C1932" s="8" t="inlineStr">
        <is>
          <t>2024-04-17</t>
        </is>
      </c>
      <c r="D1932" s="12" t="n">
        <v>32.1</v>
      </c>
      <c r="E1932" s="12" t="n">
        <v>30</v>
      </c>
      <c r="F1932" s="12">
        <f>ROUND(D1932-E1932,2)</f>
        <v/>
      </c>
      <c r="G1932" s="15">
        <f>IFERROR(ROUND(F1932/E1932,4),"")</f>
        <v/>
      </c>
      <c r="H1932" s="16">
        <f>IF(D1932=0,"NO DATA",IF(D1932&gt;E1932*1.5,"OVER",IF(D1932&gt;E1932*1.1,"HIGH",IF(D1932&lt;E1932*0.5,"LOW","OK"))))</f>
        <v/>
      </c>
    </row>
    <row r="1933" ht="22" customHeight="1">
      <c r="B1933" s="5" t="inlineStr">
        <is>
          <t>MTR-WSH-002</t>
        </is>
      </c>
      <c r="C1933" s="5" t="inlineStr">
        <is>
          <t>2024-04-18</t>
        </is>
      </c>
      <c r="D1933" s="11" t="n">
        <v>31.22</v>
      </c>
      <c r="E1933" s="11" t="n">
        <v>30</v>
      </c>
      <c r="F1933" s="11">
        <f>ROUND(D1933-E1933,2)</f>
        <v/>
      </c>
      <c r="G1933" s="13">
        <f>IFERROR(ROUND(F1933/E1933,4),"")</f>
        <v/>
      </c>
      <c r="H1933" s="14">
        <f>IF(D1933=0,"NO DATA",IF(D1933&gt;E1933*1.5,"OVER",IF(D1933&gt;E1933*1.1,"HIGH",IF(D1933&lt;E1933*0.5,"LOW","OK"))))</f>
        <v/>
      </c>
    </row>
    <row r="1934" ht="22" customHeight="1">
      <c r="B1934" s="8" t="inlineStr">
        <is>
          <t>MTR-WSH-002</t>
        </is>
      </c>
      <c r="C1934" s="8" t="inlineStr">
        <is>
          <t>2024-04-19</t>
        </is>
      </c>
      <c r="D1934" s="12" t="n">
        <v>27.88</v>
      </c>
      <c r="E1934" s="12" t="n">
        <v>30</v>
      </c>
      <c r="F1934" s="12">
        <f>ROUND(D1934-E1934,2)</f>
        <v/>
      </c>
      <c r="G1934" s="15">
        <f>IFERROR(ROUND(F1934/E1934,4),"")</f>
        <v/>
      </c>
      <c r="H1934" s="16">
        <f>IF(D1934=0,"NO DATA",IF(D1934&gt;E1934*1.5,"OVER",IF(D1934&gt;E1934*1.1,"HIGH",IF(D1934&lt;E1934*0.5,"LOW","OK"))))</f>
        <v/>
      </c>
    </row>
    <row r="1935" ht="22" customHeight="1">
      <c r="B1935" s="5" t="inlineStr">
        <is>
          <t>MTR-WSH-002</t>
        </is>
      </c>
      <c r="C1935" s="5" t="inlineStr">
        <is>
          <t>2024-04-20</t>
        </is>
      </c>
      <c r="D1935" s="11" t="n">
        <v>23</v>
      </c>
      <c r="E1935" s="11" t="n">
        <v>30</v>
      </c>
      <c r="F1935" s="11">
        <f>ROUND(D1935-E1935,2)</f>
        <v/>
      </c>
      <c r="G1935" s="13">
        <f>IFERROR(ROUND(F1935/E1935,4),"")</f>
        <v/>
      </c>
      <c r="H1935" s="14">
        <f>IF(D1935=0,"NO DATA",IF(D1935&gt;E1935*1.5,"OVER",IF(D1935&gt;E1935*1.1,"HIGH",IF(D1935&lt;E1935*0.5,"LOW","OK"))))</f>
        <v/>
      </c>
    </row>
    <row r="1936" ht="22" customHeight="1">
      <c r="B1936" s="8" t="inlineStr">
        <is>
          <t>MTR-WSH-002</t>
        </is>
      </c>
      <c r="C1936" s="8" t="inlineStr">
        <is>
          <t>2024-04-21</t>
        </is>
      </c>
      <c r="D1936" s="12" t="n">
        <v>15.34</v>
      </c>
      <c r="E1936" s="12" t="n">
        <v>30</v>
      </c>
      <c r="F1936" s="12">
        <f>ROUND(D1936-E1936,2)</f>
        <v/>
      </c>
      <c r="G1936" s="15">
        <f>IFERROR(ROUND(F1936/E1936,4),"")</f>
        <v/>
      </c>
      <c r="H1936" s="16">
        <f>IF(D1936=0,"NO DATA",IF(D1936&gt;E1936*1.5,"OVER",IF(D1936&gt;E1936*1.1,"HIGH",IF(D1936&lt;E1936*0.5,"LOW","OK"))))</f>
        <v/>
      </c>
    </row>
    <row r="1937" ht="22" customHeight="1">
      <c r="B1937" s="5" t="inlineStr">
        <is>
          <t>MTR-WSH-002</t>
        </is>
      </c>
      <c r="C1937" s="5" t="inlineStr">
        <is>
          <t>2024-04-22</t>
        </is>
      </c>
      <c r="D1937" s="11" t="n">
        <v>33.14</v>
      </c>
      <c r="E1937" s="11" t="n">
        <v>30</v>
      </c>
      <c r="F1937" s="11">
        <f>ROUND(D1937-E1937,2)</f>
        <v/>
      </c>
      <c r="G1937" s="13">
        <f>IFERROR(ROUND(F1937/E1937,4),"")</f>
        <v/>
      </c>
      <c r="H1937" s="14">
        <f>IF(D1937=0,"NO DATA",IF(D1937&gt;E1937*1.5,"OVER",IF(D1937&gt;E1937*1.1,"HIGH",IF(D1937&lt;E1937*0.5,"LOW","OK"))))</f>
        <v/>
      </c>
    </row>
    <row r="1938" ht="22" customHeight="1">
      <c r="B1938" s="8" t="inlineStr">
        <is>
          <t>MTR-WSH-002</t>
        </is>
      </c>
      <c r="C1938" s="8" t="inlineStr">
        <is>
          <t>2024-04-23</t>
        </is>
      </c>
      <c r="D1938" s="12" t="n">
        <v>27.3</v>
      </c>
      <c r="E1938" s="12" t="n">
        <v>30</v>
      </c>
      <c r="F1938" s="12">
        <f>ROUND(D1938-E1938,2)</f>
        <v/>
      </c>
      <c r="G1938" s="15">
        <f>IFERROR(ROUND(F1938/E1938,4),"")</f>
        <v/>
      </c>
      <c r="H1938" s="16">
        <f>IF(D1938=0,"NO DATA",IF(D1938&gt;E1938*1.5,"OVER",IF(D1938&gt;E1938*1.1,"HIGH",IF(D1938&lt;E1938*0.5,"LOW","OK"))))</f>
        <v/>
      </c>
    </row>
    <row r="1939" ht="22" customHeight="1">
      <c r="B1939" s="5" t="inlineStr">
        <is>
          <t>MTR-WSH-002</t>
        </is>
      </c>
      <c r="C1939" s="5" t="inlineStr">
        <is>
          <t>2024-04-24</t>
        </is>
      </c>
      <c r="D1939" s="11" t="n">
        <v>31.6</v>
      </c>
      <c r="E1939" s="11" t="n">
        <v>30</v>
      </c>
      <c r="F1939" s="11">
        <f>ROUND(D1939-E1939,2)</f>
        <v/>
      </c>
      <c r="G1939" s="13">
        <f>IFERROR(ROUND(F1939/E1939,4),"")</f>
        <v/>
      </c>
      <c r="H1939" s="14">
        <f>IF(D1939=0,"NO DATA",IF(D1939&gt;E1939*1.5,"OVER",IF(D1939&gt;E1939*1.1,"HIGH",IF(D1939&lt;E1939*0.5,"LOW","OK"))))</f>
        <v/>
      </c>
    </row>
    <row r="1940" ht="22" customHeight="1">
      <c r="B1940" s="8" t="inlineStr">
        <is>
          <t>MTR-WSH-002</t>
        </is>
      </c>
      <c r="C1940" s="8" t="inlineStr">
        <is>
          <t>2024-04-25</t>
        </is>
      </c>
      <c r="D1940" s="12" t="n">
        <v>29.86</v>
      </c>
      <c r="E1940" s="12" t="n">
        <v>30</v>
      </c>
      <c r="F1940" s="12">
        <f>ROUND(D1940-E1940,2)</f>
        <v/>
      </c>
      <c r="G1940" s="15">
        <f>IFERROR(ROUND(F1940/E1940,4),"")</f>
        <v/>
      </c>
      <c r="H1940" s="16">
        <f>IF(D1940=0,"NO DATA",IF(D1940&gt;E1940*1.5,"OVER",IF(D1940&gt;E1940*1.1,"HIGH",IF(D1940&lt;E1940*0.5,"LOW","OK"))))</f>
        <v/>
      </c>
    </row>
    <row r="1941" ht="22" customHeight="1">
      <c r="B1941" s="5" t="inlineStr">
        <is>
          <t>MTR-WSH-002</t>
        </is>
      </c>
      <c r="C1941" s="5" t="inlineStr">
        <is>
          <t>2024-04-26</t>
        </is>
      </c>
      <c r="D1941" s="11" t="n">
        <v>33.76</v>
      </c>
      <c r="E1941" s="11" t="n">
        <v>30</v>
      </c>
      <c r="F1941" s="11">
        <f>ROUND(D1941-E1941,2)</f>
        <v/>
      </c>
      <c r="G1941" s="13">
        <f>IFERROR(ROUND(F1941/E1941,4),"")</f>
        <v/>
      </c>
      <c r="H1941" s="14">
        <f>IF(D1941=0,"NO DATA",IF(D1941&gt;E1941*1.5,"OVER",IF(D1941&gt;E1941*1.1,"HIGH",IF(D1941&lt;E1941*0.5,"LOW","OK"))))</f>
        <v/>
      </c>
    </row>
    <row r="1942" ht="22" customHeight="1">
      <c r="B1942" s="8" t="inlineStr">
        <is>
          <t>MTR-WSH-002</t>
        </is>
      </c>
      <c r="C1942" s="8" t="inlineStr">
        <is>
          <t>2024-04-27</t>
        </is>
      </c>
      <c r="D1942" s="12" t="n">
        <v>28</v>
      </c>
      <c r="E1942" s="12" t="n">
        <v>30</v>
      </c>
      <c r="F1942" s="12">
        <f>ROUND(D1942-E1942,2)</f>
        <v/>
      </c>
      <c r="G1942" s="15">
        <f>IFERROR(ROUND(F1942/E1942,4),"")</f>
        <v/>
      </c>
      <c r="H1942" s="16">
        <f>IF(D1942=0,"NO DATA",IF(D1942&gt;E1942*1.5,"OVER",IF(D1942&gt;E1942*1.1,"HIGH",IF(D1942&lt;E1942*0.5,"LOW","OK"))))</f>
        <v/>
      </c>
    </row>
    <row r="1943" ht="22" customHeight="1">
      <c r="B1943" s="5" t="inlineStr">
        <is>
          <t>MTR-WSH-002</t>
        </is>
      </c>
      <c r="C1943" s="5" t="inlineStr">
        <is>
          <t>2024-04-28</t>
        </is>
      </c>
      <c r="D1943" s="11" t="n">
        <v>18.33</v>
      </c>
      <c r="E1943" s="11" t="n">
        <v>30</v>
      </c>
      <c r="F1943" s="11">
        <f>ROUND(D1943-E1943,2)</f>
        <v/>
      </c>
      <c r="G1943" s="13">
        <f>IFERROR(ROUND(F1943/E1943,4),"")</f>
        <v/>
      </c>
      <c r="H1943" s="14">
        <f>IF(D1943=0,"NO DATA",IF(D1943&gt;E1943*1.5,"OVER",IF(D1943&gt;E1943*1.1,"HIGH",IF(D1943&lt;E1943*0.5,"LOW","OK"))))</f>
        <v/>
      </c>
    </row>
    <row r="1944" ht="22" customHeight="1">
      <c r="B1944" s="8" t="inlineStr">
        <is>
          <t>MTR-WSH-002</t>
        </is>
      </c>
      <c r="C1944" s="8" t="inlineStr">
        <is>
          <t>2024-04-29</t>
        </is>
      </c>
      <c r="D1944" s="12" t="n">
        <v>34.06</v>
      </c>
      <c r="E1944" s="12" t="n">
        <v>30</v>
      </c>
      <c r="F1944" s="12">
        <f>ROUND(D1944-E1944,2)</f>
        <v/>
      </c>
      <c r="G1944" s="15">
        <f>IFERROR(ROUND(F1944/E1944,4),"")</f>
        <v/>
      </c>
      <c r="H1944" s="16">
        <f>IF(D1944=0,"NO DATA",IF(D1944&gt;E1944*1.5,"OVER",IF(D1944&gt;E1944*1.1,"HIGH",IF(D1944&lt;E1944*0.5,"LOW","OK"))))</f>
        <v/>
      </c>
    </row>
    <row r="1945" ht="22" customHeight="1">
      <c r="B1945" s="5" t="inlineStr">
        <is>
          <t>MTR-WSH-002</t>
        </is>
      </c>
      <c r="C1945" s="5" t="inlineStr">
        <is>
          <t>2024-04-30</t>
        </is>
      </c>
      <c r="D1945" s="11" t="n">
        <v>31.44</v>
      </c>
      <c r="E1945" s="11" t="n">
        <v>30</v>
      </c>
      <c r="F1945" s="11">
        <f>ROUND(D1945-E1945,2)</f>
        <v/>
      </c>
      <c r="G1945" s="13">
        <f>IFERROR(ROUND(F1945/E1945,4),"")</f>
        <v/>
      </c>
      <c r="H1945" s="14">
        <f>IF(D1945=0,"NO DATA",IF(D1945&gt;E1945*1.5,"OVER",IF(D1945&gt;E1945*1.1,"HIGH",IF(D1945&lt;E1945*0.5,"LOW","OK"))))</f>
        <v/>
      </c>
    </row>
    <row r="1946" ht="22" customHeight="1">
      <c r="B1946" s="8" t="inlineStr">
        <is>
          <t>MTR-WSH-002</t>
        </is>
      </c>
      <c r="C1946" s="8" t="inlineStr">
        <is>
          <t>2024-05-01</t>
        </is>
      </c>
      <c r="D1946" s="12" t="n">
        <v>28.74</v>
      </c>
      <c r="E1946" s="12" t="n">
        <v>30</v>
      </c>
      <c r="F1946" s="12">
        <f>ROUND(D1946-E1946,2)</f>
        <v/>
      </c>
      <c r="G1946" s="15">
        <f>IFERROR(ROUND(F1946/E1946,4),"")</f>
        <v/>
      </c>
      <c r="H1946" s="16">
        <f>IF(D1946=0,"NO DATA",IF(D1946&gt;E1946*1.5,"OVER",IF(D1946&gt;E1946*1.1,"HIGH",IF(D1946&lt;E1946*0.5,"LOW","OK"))))</f>
        <v/>
      </c>
    </row>
    <row r="1947" ht="22" customHeight="1">
      <c r="B1947" s="5" t="inlineStr">
        <is>
          <t>MTR-WSH-002</t>
        </is>
      </c>
      <c r="C1947" s="5" t="inlineStr">
        <is>
          <t>2024-05-02</t>
        </is>
      </c>
      <c r="D1947" s="11" t="n">
        <v>29.94</v>
      </c>
      <c r="E1947" s="11" t="n">
        <v>30</v>
      </c>
      <c r="F1947" s="11">
        <f>ROUND(D1947-E1947,2)</f>
        <v/>
      </c>
      <c r="G1947" s="13">
        <f>IFERROR(ROUND(F1947/E1947,4),"")</f>
        <v/>
      </c>
      <c r="H1947" s="14">
        <f>IF(D1947=0,"NO DATA",IF(D1947&gt;E1947*1.5,"OVER",IF(D1947&gt;E1947*1.1,"HIGH",IF(D1947&lt;E1947*0.5,"LOW","OK"))))</f>
        <v/>
      </c>
    </row>
    <row r="1948" ht="22" customHeight="1">
      <c r="B1948" s="8" t="inlineStr">
        <is>
          <t>MTR-WSH-002</t>
        </is>
      </c>
      <c r="C1948" s="8" t="inlineStr">
        <is>
          <t>2024-05-03</t>
        </is>
      </c>
      <c r="D1948" s="12" t="n">
        <v>34.34</v>
      </c>
      <c r="E1948" s="12" t="n">
        <v>30</v>
      </c>
      <c r="F1948" s="12">
        <f>ROUND(D1948-E1948,2)</f>
        <v/>
      </c>
      <c r="G1948" s="15">
        <f>IFERROR(ROUND(F1948/E1948,4),"")</f>
        <v/>
      </c>
      <c r="H1948" s="16">
        <f>IF(D1948=0,"NO DATA",IF(D1948&gt;E1948*1.5,"OVER",IF(D1948&gt;E1948*1.1,"HIGH",IF(D1948&lt;E1948*0.5,"LOW","OK"))))</f>
        <v/>
      </c>
    </row>
    <row r="1949" ht="22" customHeight="1">
      <c r="B1949" s="5" t="inlineStr">
        <is>
          <t>MTR-WSH-002</t>
        </is>
      </c>
      <c r="C1949" s="5" t="inlineStr">
        <is>
          <t>2024-05-04</t>
        </is>
      </c>
      <c r="D1949" s="11" t="n">
        <v>26.71</v>
      </c>
      <c r="E1949" s="11" t="n">
        <v>30</v>
      </c>
      <c r="F1949" s="11">
        <f>ROUND(D1949-E1949,2)</f>
        <v/>
      </c>
      <c r="G1949" s="13">
        <f>IFERROR(ROUND(F1949/E1949,4),"")</f>
        <v/>
      </c>
      <c r="H1949" s="14">
        <f>IF(D1949=0,"NO DATA",IF(D1949&gt;E1949*1.5,"OVER",IF(D1949&gt;E1949*1.1,"HIGH",IF(D1949&lt;E1949*0.5,"LOW","OK"))))</f>
        <v/>
      </c>
    </row>
    <row r="1950" ht="22" customHeight="1">
      <c r="B1950" s="8" t="inlineStr">
        <is>
          <t>MTR-WSH-002</t>
        </is>
      </c>
      <c r="C1950" s="8" t="inlineStr">
        <is>
          <t>2024-05-05</t>
        </is>
      </c>
      <c r="D1950" s="12" t="n">
        <v>17.53</v>
      </c>
      <c r="E1950" s="12" t="n">
        <v>30</v>
      </c>
      <c r="F1950" s="12">
        <f>ROUND(D1950-E1950,2)</f>
        <v/>
      </c>
      <c r="G1950" s="15">
        <f>IFERROR(ROUND(F1950/E1950,4),"")</f>
        <v/>
      </c>
      <c r="H1950" s="16">
        <f>IF(D1950=0,"NO DATA",IF(D1950&gt;E1950*1.5,"OVER",IF(D1950&gt;E1950*1.1,"HIGH",IF(D1950&lt;E1950*0.5,"LOW","OK"))))</f>
        <v/>
      </c>
    </row>
    <row r="1951" ht="22" customHeight="1">
      <c r="B1951" s="5" t="inlineStr">
        <is>
          <t>MTR-WSH-002</t>
        </is>
      </c>
      <c r="C1951" s="5" t="inlineStr">
        <is>
          <t>2024-05-06</t>
        </is>
      </c>
      <c r="D1951" s="11" t="n">
        <v>32.44</v>
      </c>
      <c r="E1951" s="11" t="n">
        <v>30</v>
      </c>
      <c r="F1951" s="11">
        <f>ROUND(D1951-E1951,2)</f>
        <v/>
      </c>
      <c r="G1951" s="13">
        <f>IFERROR(ROUND(F1951/E1951,4),"")</f>
        <v/>
      </c>
      <c r="H1951" s="14">
        <f>IF(D1951=0,"NO DATA",IF(D1951&gt;E1951*1.5,"OVER",IF(D1951&gt;E1951*1.1,"HIGH",IF(D1951&lt;E1951*0.5,"LOW","OK"))))</f>
        <v/>
      </c>
    </row>
    <row r="1952" ht="22" customHeight="1">
      <c r="B1952" s="8" t="inlineStr">
        <is>
          <t>MTR-WSH-002</t>
        </is>
      </c>
      <c r="C1952" s="8" t="inlineStr">
        <is>
          <t>2024-05-07</t>
        </is>
      </c>
      <c r="D1952" s="12" t="n">
        <v>29.56</v>
      </c>
      <c r="E1952" s="12" t="n">
        <v>30</v>
      </c>
      <c r="F1952" s="12">
        <f>ROUND(D1952-E1952,2)</f>
        <v/>
      </c>
      <c r="G1952" s="15">
        <f>IFERROR(ROUND(F1952/E1952,4),"")</f>
        <v/>
      </c>
      <c r="H1952" s="16">
        <f>IF(D1952=0,"NO DATA",IF(D1952&gt;E1952*1.5,"OVER",IF(D1952&gt;E1952*1.1,"HIGH",IF(D1952&lt;E1952*0.5,"LOW","OK"))))</f>
        <v/>
      </c>
    </row>
    <row r="1953" ht="22" customHeight="1">
      <c r="B1953" s="5" t="inlineStr">
        <is>
          <t>MTR-WSH-002</t>
        </is>
      </c>
      <c r="C1953" s="5" t="inlineStr">
        <is>
          <t>2024-05-08</t>
        </is>
      </c>
      <c r="D1953" s="11" t="n">
        <v>28.92</v>
      </c>
      <c r="E1953" s="11" t="n">
        <v>30</v>
      </c>
      <c r="F1953" s="11">
        <f>ROUND(D1953-E1953,2)</f>
        <v/>
      </c>
      <c r="G1953" s="13">
        <f>IFERROR(ROUND(F1953/E1953,4),"")</f>
        <v/>
      </c>
      <c r="H1953" s="14">
        <f>IF(D1953=0,"NO DATA",IF(D1953&gt;E1953*1.5,"OVER",IF(D1953&gt;E1953*1.1,"HIGH",IF(D1953&lt;E1953*0.5,"LOW","OK"))))</f>
        <v/>
      </c>
    </row>
    <row r="1954" ht="22" customHeight="1">
      <c r="B1954" s="8" t="inlineStr">
        <is>
          <t>MTR-WSH-002</t>
        </is>
      </c>
      <c r="C1954" s="8" t="inlineStr">
        <is>
          <t>2024-05-09</t>
        </is>
      </c>
      <c r="D1954" s="12" t="n">
        <v>29.39</v>
      </c>
      <c r="E1954" s="12" t="n">
        <v>30</v>
      </c>
      <c r="F1954" s="12">
        <f>ROUND(D1954-E1954,2)</f>
        <v/>
      </c>
      <c r="G1954" s="15">
        <f>IFERROR(ROUND(F1954/E1954,4),"")</f>
        <v/>
      </c>
      <c r="H1954" s="16">
        <f>IF(D1954=0,"NO DATA",IF(D1954&gt;E1954*1.5,"OVER",IF(D1954&gt;E1954*1.1,"HIGH",IF(D1954&lt;E1954*0.5,"LOW","OK"))))</f>
        <v/>
      </c>
    </row>
    <row r="1955" ht="22" customHeight="1">
      <c r="B1955" s="5" t="inlineStr">
        <is>
          <t>MTR-WSH-002</t>
        </is>
      </c>
      <c r="C1955" s="5" t="inlineStr">
        <is>
          <t>2024-05-10</t>
        </is>
      </c>
      <c r="D1955" s="11" t="n">
        <v>37.31</v>
      </c>
      <c r="E1955" s="11" t="n">
        <v>30</v>
      </c>
      <c r="F1955" s="11">
        <f>ROUND(D1955-E1955,2)</f>
        <v/>
      </c>
      <c r="G1955" s="13">
        <f>IFERROR(ROUND(F1955/E1955,4),"")</f>
        <v/>
      </c>
      <c r="H1955" s="14">
        <f>IF(D1955=0,"NO DATA",IF(D1955&gt;E1955*1.5,"OVER",IF(D1955&gt;E1955*1.1,"HIGH",IF(D1955&lt;E1955*0.5,"LOW","OK"))))</f>
        <v/>
      </c>
    </row>
    <row r="1956" ht="22" customHeight="1">
      <c r="B1956" s="8" t="inlineStr">
        <is>
          <t>MTR-WSH-002</t>
        </is>
      </c>
      <c r="C1956" s="8" t="inlineStr">
        <is>
          <t>2024-05-11</t>
        </is>
      </c>
      <c r="D1956" s="12" t="n">
        <v>22.6</v>
      </c>
      <c r="E1956" s="12" t="n">
        <v>30</v>
      </c>
      <c r="F1956" s="12">
        <f>ROUND(D1956-E1956,2)</f>
        <v/>
      </c>
      <c r="G1956" s="15">
        <f>IFERROR(ROUND(F1956/E1956,4),"")</f>
        <v/>
      </c>
      <c r="H1956" s="16">
        <f>IF(D1956=0,"NO DATA",IF(D1956&gt;E1956*1.5,"OVER",IF(D1956&gt;E1956*1.1,"HIGH",IF(D1956&lt;E1956*0.5,"LOW","OK"))))</f>
        <v/>
      </c>
    </row>
    <row r="1957" ht="22" customHeight="1">
      <c r="B1957" s="5" t="inlineStr">
        <is>
          <t>MTR-WSH-002</t>
        </is>
      </c>
      <c r="C1957" s="5" t="inlineStr">
        <is>
          <t>2024-05-12</t>
        </is>
      </c>
      <c r="D1957" s="11" t="n">
        <v>18.98</v>
      </c>
      <c r="E1957" s="11" t="n">
        <v>30</v>
      </c>
      <c r="F1957" s="11">
        <f>ROUND(D1957-E1957,2)</f>
        <v/>
      </c>
      <c r="G1957" s="13">
        <f>IFERROR(ROUND(F1957/E1957,4),"")</f>
        <v/>
      </c>
      <c r="H1957" s="14">
        <f>IF(D1957=0,"NO DATA",IF(D1957&gt;E1957*1.5,"OVER",IF(D1957&gt;E1957*1.1,"HIGH",IF(D1957&lt;E1957*0.5,"LOW","OK"))))</f>
        <v/>
      </c>
    </row>
    <row r="1958" ht="22" customHeight="1">
      <c r="B1958" s="8" t="inlineStr">
        <is>
          <t>MTR-WSH-002</t>
        </is>
      </c>
      <c r="C1958" s="8" t="inlineStr">
        <is>
          <t>2024-05-13</t>
        </is>
      </c>
      <c r="D1958" s="12" t="n">
        <v>35.98</v>
      </c>
      <c r="E1958" s="12" t="n">
        <v>30</v>
      </c>
      <c r="F1958" s="12">
        <f>ROUND(D1958-E1958,2)</f>
        <v/>
      </c>
      <c r="G1958" s="15">
        <f>IFERROR(ROUND(F1958/E1958,4),"")</f>
        <v/>
      </c>
      <c r="H1958" s="16">
        <f>IF(D1958=0,"NO DATA",IF(D1958&gt;E1958*1.5,"OVER",IF(D1958&gt;E1958*1.1,"HIGH",IF(D1958&lt;E1958*0.5,"LOW","OK"))))</f>
        <v/>
      </c>
    </row>
    <row r="1959" ht="22" customHeight="1">
      <c r="B1959" s="5" t="inlineStr">
        <is>
          <t>MTR-WSH-002</t>
        </is>
      </c>
      <c r="C1959" s="5" t="inlineStr">
        <is>
          <t>2024-05-14</t>
        </is>
      </c>
      <c r="D1959" s="11" t="n">
        <v>33.26</v>
      </c>
      <c r="E1959" s="11" t="n">
        <v>30</v>
      </c>
      <c r="F1959" s="11">
        <f>ROUND(D1959-E1959,2)</f>
        <v/>
      </c>
      <c r="G1959" s="13">
        <f>IFERROR(ROUND(F1959/E1959,4),"")</f>
        <v/>
      </c>
      <c r="H1959" s="14">
        <f>IF(D1959=0,"NO DATA",IF(D1959&gt;E1959*1.5,"OVER",IF(D1959&gt;E1959*1.1,"HIGH",IF(D1959&lt;E1959*0.5,"LOW","OK"))))</f>
        <v/>
      </c>
    </row>
    <row r="1960" ht="22" customHeight="1">
      <c r="B1960" s="8" t="inlineStr">
        <is>
          <t>MTR-WSH-002</t>
        </is>
      </c>
      <c r="C1960" s="8" t="inlineStr">
        <is>
          <t>2024-05-15</t>
        </is>
      </c>
      <c r="D1960" s="12" t="n">
        <v>32.96</v>
      </c>
      <c r="E1960" s="12" t="n">
        <v>30</v>
      </c>
      <c r="F1960" s="12">
        <f>ROUND(D1960-E1960,2)</f>
        <v/>
      </c>
      <c r="G1960" s="15">
        <f>IFERROR(ROUND(F1960/E1960,4),"")</f>
        <v/>
      </c>
      <c r="H1960" s="16">
        <f>IF(D1960=0,"NO DATA",IF(D1960&gt;E1960*1.5,"OVER",IF(D1960&gt;E1960*1.1,"HIGH",IF(D1960&lt;E1960*0.5,"LOW","OK"))))</f>
        <v/>
      </c>
    </row>
    <row r="1961" ht="22" customHeight="1">
      <c r="B1961" s="5" t="inlineStr">
        <is>
          <t>MTR-WSH-002</t>
        </is>
      </c>
      <c r="C1961" s="5" t="inlineStr">
        <is>
          <t>2024-05-16</t>
        </is>
      </c>
      <c r="D1961" s="11" t="n">
        <v>35.02</v>
      </c>
      <c r="E1961" s="11" t="n">
        <v>30</v>
      </c>
      <c r="F1961" s="11">
        <f>ROUND(D1961-E1961,2)</f>
        <v/>
      </c>
      <c r="G1961" s="13">
        <f>IFERROR(ROUND(F1961/E1961,4),"")</f>
        <v/>
      </c>
      <c r="H1961" s="14">
        <f>IF(D1961=0,"NO DATA",IF(D1961&gt;E1961*1.5,"OVER",IF(D1961&gt;E1961*1.1,"HIGH",IF(D1961&lt;E1961*0.5,"LOW","OK"))))</f>
        <v/>
      </c>
    </row>
    <row r="1962" ht="22" customHeight="1">
      <c r="B1962" s="8" t="inlineStr">
        <is>
          <t>MTR-WSH-002</t>
        </is>
      </c>
      <c r="C1962" s="8" t="inlineStr">
        <is>
          <t>2024-05-17</t>
        </is>
      </c>
      <c r="D1962" s="12" t="n">
        <v>36.06</v>
      </c>
      <c r="E1962" s="12" t="n">
        <v>30</v>
      </c>
      <c r="F1962" s="12">
        <f>ROUND(D1962-E1962,2)</f>
        <v/>
      </c>
      <c r="G1962" s="15">
        <f>IFERROR(ROUND(F1962/E1962,4),"")</f>
        <v/>
      </c>
      <c r="H1962" s="16">
        <f>IF(D1962=0,"NO DATA",IF(D1962&gt;E1962*1.5,"OVER",IF(D1962&gt;E1962*1.1,"HIGH",IF(D1962&lt;E1962*0.5,"LOW","OK"))))</f>
        <v/>
      </c>
    </row>
    <row r="1963" ht="22" customHeight="1">
      <c r="B1963" s="5" t="inlineStr">
        <is>
          <t>MTR-WSH-002</t>
        </is>
      </c>
      <c r="C1963" s="5" t="inlineStr">
        <is>
          <t>2024-05-18</t>
        </is>
      </c>
      <c r="D1963" s="11" t="n">
        <v>30.1</v>
      </c>
      <c r="E1963" s="11" t="n">
        <v>30</v>
      </c>
      <c r="F1963" s="11">
        <f>ROUND(D1963-E1963,2)</f>
        <v/>
      </c>
      <c r="G1963" s="13">
        <f>IFERROR(ROUND(F1963/E1963,4),"")</f>
        <v/>
      </c>
      <c r="H1963" s="14">
        <f>IF(D1963=0,"NO DATA",IF(D1963&gt;E1963*1.5,"OVER",IF(D1963&gt;E1963*1.1,"HIGH",IF(D1963&lt;E1963*0.5,"LOW","OK"))))</f>
        <v/>
      </c>
    </row>
    <row r="1964" ht="22" customHeight="1">
      <c r="B1964" s="8" t="inlineStr">
        <is>
          <t>MTR-WSH-002</t>
        </is>
      </c>
      <c r="C1964" s="8" t="inlineStr">
        <is>
          <t>2024-05-19</t>
        </is>
      </c>
      <c r="D1964" s="12" t="n">
        <v>16.98</v>
      </c>
      <c r="E1964" s="12" t="n">
        <v>30</v>
      </c>
      <c r="F1964" s="12">
        <f>ROUND(D1964-E1964,2)</f>
        <v/>
      </c>
      <c r="G1964" s="15">
        <f>IFERROR(ROUND(F1964/E1964,4),"")</f>
        <v/>
      </c>
      <c r="H1964" s="16">
        <f>IF(D1964=0,"NO DATA",IF(D1964&gt;E1964*1.5,"OVER",IF(D1964&gt;E1964*1.1,"HIGH",IF(D1964&lt;E1964*0.5,"LOW","OK"))))</f>
        <v/>
      </c>
    </row>
    <row r="1965" ht="22" customHeight="1">
      <c r="B1965" s="5" t="inlineStr">
        <is>
          <t>MTR-WSH-002</t>
        </is>
      </c>
      <c r="C1965" s="5" t="inlineStr">
        <is>
          <t>2024-05-20</t>
        </is>
      </c>
      <c r="D1965" s="11" t="n">
        <v>30.34</v>
      </c>
      <c r="E1965" s="11" t="n">
        <v>30</v>
      </c>
      <c r="F1965" s="11">
        <f>ROUND(D1965-E1965,2)</f>
        <v/>
      </c>
      <c r="G1965" s="13">
        <f>IFERROR(ROUND(F1965/E1965,4),"")</f>
        <v/>
      </c>
      <c r="H1965" s="14">
        <f>IF(D1965=0,"NO DATA",IF(D1965&gt;E1965*1.5,"OVER",IF(D1965&gt;E1965*1.1,"HIGH",IF(D1965&lt;E1965*0.5,"LOW","OK"))))</f>
        <v/>
      </c>
    </row>
    <row r="1966" ht="22" customHeight="1">
      <c r="B1966" s="8" t="inlineStr">
        <is>
          <t>MTR-WSH-002</t>
        </is>
      </c>
      <c r="C1966" s="8" t="inlineStr">
        <is>
          <t>2024-05-21</t>
        </is>
      </c>
      <c r="D1966" s="12" t="n">
        <v>34.23</v>
      </c>
      <c r="E1966" s="12" t="n">
        <v>30</v>
      </c>
      <c r="F1966" s="12">
        <f>ROUND(D1966-E1966,2)</f>
        <v/>
      </c>
      <c r="G1966" s="15">
        <f>IFERROR(ROUND(F1966/E1966,4),"")</f>
        <v/>
      </c>
      <c r="H1966" s="16">
        <f>IF(D1966=0,"NO DATA",IF(D1966&gt;E1966*1.5,"OVER",IF(D1966&gt;E1966*1.1,"HIGH",IF(D1966&lt;E1966*0.5,"LOW","OK"))))</f>
        <v/>
      </c>
    </row>
    <row r="1967" ht="22" customHeight="1">
      <c r="B1967" s="5" t="inlineStr">
        <is>
          <t>MTR-WSH-002</t>
        </is>
      </c>
      <c r="C1967" s="5" t="inlineStr">
        <is>
          <t>2024-05-22</t>
        </is>
      </c>
      <c r="D1967" s="11" t="n">
        <v>33.16</v>
      </c>
      <c r="E1967" s="11" t="n">
        <v>30</v>
      </c>
      <c r="F1967" s="11">
        <f>ROUND(D1967-E1967,2)</f>
        <v/>
      </c>
      <c r="G1967" s="13">
        <f>IFERROR(ROUND(F1967/E1967,4),"")</f>
        <v/>
      </c>
      <c r="H1967" s="14">
        <f>IF(D1967=0,"NO DATA",IF(D1967&gt;E1967*1.5,"OVER",IF(D1967&gt;E1967*1.1,"HIGH",IF(D1967&lt;E1967*0.5,"LOW","OK"))))</f>
        <v/>
      </c>
    </row>
    <row r="1968" ht="22" customHeight="1">
      <c r="B1968" s="8" t="inlineStr">
        <is>
          <t>MTR-WSH-002</t>
        </is>
      </c>
      <c r="C1968" s="8" t="inlineStr">
        <is>
          <t>2024-05-23</t>
        </is>
      </c>
      <c r="D1968" s="12" t="n">
        <v>30.49</v>
      </c>
      <c r="E1968" s="12" t="n">
        <v>30</v>
      </c>
      <c r="F1968" s="12">
        <f>ROUND(D1968-E1968,2)</f>
        <v/>
      </c>
      <c r="G1968" s="15">
        <f>IFERROR(ROUND(F1968/E1968,4),"")</f>
        <v/>
      </c>
      <c r="H1968" s="16">
        <f>IF(D1968=0,"NO DATA",IF(D1968&gt;E1968*1.5,"OVER",IF(D1968&gt;E1968*1.1,"HIGH",IF(D1968&lt;E1968*0.5,"LOW","OK"))))</f>
        <v/>
      </c>
    </row>
    <row r="1969" ht="22" customHeight="1">
      <c r="B1969" s="5" t="inlineStr">
        <is>
          <t>MTR-WSH-002</t>
        </is>
      </c>
      <c r="C1969" s="5" t="inlineStr">
        <is>
          <t>2024-05-24</t>
        </is>
      </c>
      <c r="D1969" s="11" t="n">
        <v>28.43</v>
      </c>
      <c r="E1969" s="11" t="n">
        <v>30</v>
      </c>
      <c r="F1969" s="11">
        <f>ROUND(D1969-E1969,2)</f>
        <v/>
      </c>
      <c r="G1969" s="13">
        <f>IFERROR(ROUND(F1969/E1969,4),"")</f>
        <v/>
      </c>
      <c r="H1969" s="14">
        <f>IF(D1969=0,"NO DATA",IF(D1969&gt;E1969*1.5,"OVER",IF(D1969&gt;E1969*1.1,"HIGH",IF(D1969&lt;E1969*0.5,"LOW","OK"))))</f>
        <v/>
      </c>
    </row>
    <row r="1970" ht="22" customHeight="1">
      <c r="B1970" s="8" t="inlineStr">
        <is>
          <t>MTR-WSH-002</t>
        </is>
      </c>
      <c r="C1970" s="8" t="inlineStr">
        <is>
          <t>2024-05-25</t>
        </is>
      </c>
      <c r="D1970" s="12" t="n">
        <v>28.38</v>
      </c>
      <c r="E1970" s="12" t="n">
        <v>30</v>
      </c>
      <c r="F1970" s="12">
        <f>ROUND(D1970-E1970,2)</f>
        <v/>
      </c>
      <c r="G1970" s="15">
        <f>IFERROR(ROUND(F1970/E1970,4),"")</f>
        <v/>
      </c>
      <c r="H1970" s="16">
        <f>IF(D1970=0,"NO DATA",IF(D1970&gt;E1970*1.5,"OVER",IF(D1970&gt;E1970*1.1,"HIGH",IF(D1970&lt;E1970*0.5,"LOW","OK"))))</f>
        <v/>
      </c>
    </row>
    <row r="1971" ht="22" customHeight="1">
      <c r="B1971" s="5" t="inlineStr">
        <is>
          <t>MTR-WSH-002</t>
        </is>
      </c>
      <c r="C1971" s="5" t="inlineStr">
        <is>
          <t>2024-05-26</t>
        </is>
      </c>
      <c r="D1971" s="11" t="n">
        <v>17.11</v>
      </c>
      <c r="E1971" s="11" t="n">
        <v>30</v>
      </c>
      <c r="F1971" s="11">
        <f>ROUND(D1971-E1971,2)</f>
        <v/>
      </c>
      <c r="G1971" s="13">
        <f>IFERROR(ROUND(F1971/E1971,4),"")</f>
        <v/>
      </c>
      <c r="H1971" s="14">
        <f>IF(D1971=0,"NO DATA",IF(D1971&gt;E1971*1.5,"OVER",IF(D1971&gt;E1971*1.1,"HIGH",IF(D1971&lt;E1971*0.5,"LOW","OK"))))</f>
        <v/>
      </c>
    </row>
    <row r="1972" ht="22" customHeight="1">
      <c r="B1972" s="8" t="inlineStr">
        <is>
          <t>MTR-WSH-002</t>
        </is>
      </c>
      <c r="C1972" s="8" t="inlineStr">
        <is>
          <t>2024-05-27</t>
        </is>
      </c>
      <c r="D1972" s="12" t="n">
        <v>35.33</v>
      </c>
      <c r="E1972" s="12" t="n">
        <v>30</v>
      </c>
      <c r="F1972" s="12">
        <f>ROUND(D1972-E1972,2)</f>
        <v/>
      </c>
      <c r="G1972" s="15">
        <f>IFERROR(ROUND(F1972/E1972,4),"")</f>
        <v/>
      </c>
      <c r="H1972" s="16">
        <f>IF(D1972=0,"NO DATA",IF(D1972&gt;E1972*1.5,"OVER",IF(D1972&gt;E1972*1.1,"HIGH",IF(D1972&lt;E1972*0.5,"LOW","OK"))))</f>
        <v/>
      </c>
    </row>
    <row r="1973" ht="22" customHeight="1">
      <c r="B1973" s="5" t="inlineStr">
        <is>
          <t>MTR-WSH-002</t>
        </is>
      </c>
      <c r="C1973" s="5" t="inlineStr">
        <is>
          <t>2024-05-28</t>
        </is>
      </c>
      <c r="D1973" s="11" t="n">
        <v>32.24</v>
      </c>
      <c r="E1973" s="11" t="n">
        <v>30</v>
      </c>
      <c r="F1973" s="11">
        <f>ROUND(D1973-E1973,2)</f>
        <v/>
      </c>
      <c r="G1973" s="13">
        <f>IFERROR(ROUND(F1973/E1973,4),"")</f>
        <v/>
      </c>
      <c r="H1973" s="14">
        <f>IF(D1973=0,"NO DATA",IF(D1973&gt;E1973*1.5,"OVER",IF(D1973&gt;E1973*1.1,"HIGH",IF(D1973&lt;E1973*0.5,"LOW","OK"))))</f>
        <v/>
      </c>
    </row>
    <row r="1974" ht="22" customHeight="1">
      <c r="B1974" s="8" t="inlineStr">
        <is>
          <t>MTR-WSH-002</t>
        </is>
      </c>
      <c r="C1974" s="8" t="inlineStr">
        <is>
          <t>2024-05-29</t>
        </is>
      </c>
      <c r="D1974" s="12" t="n">
        <v>32.37</v>
      </c>
      <c r="E1974" s="12" t="n">
        <v>30</v>
      </c>
      <c r="F1974" s="12">
        <f>ROUND(D1974-E1974,2)</f>
        <v/>
      </c>
      <c r="G1974" s="15">
        <f>IFERROR(ROUND(F1974/E1974,4),"")</f>
        <v/>
      </c>
      <c r="H1974" s="16">
        <f>IF(D1974=0,"NO DATA",IF(D1974&gt;E1974*1.5,"OVER",IF(D1974&gt;E1974*1.1,"HIGH",IF(D1974&lt;E1974*0.5,"LOW","OK"))))</f>
        <v/>
      </c>
    </row>
    <row r="1975" ht="22" customHeight="1">
      <c r="B1975" s="5" t="inlineStr">
        <is>
          <t>MTR-WSH-002</t>
        </is>
      </c>
      <c r="C1975" s="5" t="inlineStr">
        <is>
          <t>2024-05-30</t>
        </is>
      </c>
      <c r="D1975" s="11" t="n">
        <v>35.9</v>
      </c>
      <c r="E1975" s="11" t="n">
        <v>30</v>
      </c>
      <c r="F1975" s="11">
        <f>ROUND(D1975-E1975,2)</f>
        <v/>
      </c>
      <c r="G1975" s="13">
        <f>IFERROR(ROUND(F1975/E1975,4),"")</f>
        <v/>
      </c>
      <c r="H1975" s="14">
        <f>IF(D1975=0,"NO DATA",IF(D1975&gt;E1975*1.5,"OVER",IF(D1975&gt;E1975*1.1,"HIGH",IF(D1975&lt;E1975*0.5,"LOW","OK"))))</f>
        <v/>
      </c>
    </row>
    <row r="1976" ht="22" customHeight="1">
      <c r="B1976" s="8" t="inlineStr">
        <is>
          <t>MTR-WSH-002</t>
        </is>
      </c>
      <c r="C1976" s="8" t="inlineStr">
        <is>
          <t>2024-05-31</t>
        </is>
      </c>
      <c r="D1976" s="12" t="n">
        <v>31.61</v>
      </c>
      <c r="E1976" s="12" t="n">
        <v>30</v>
      </c>
      <c r="F1976" s="12">
        <f>ROUND(D1976-E1976,2)</f>
        <v/>
      </c>
      <c r="G1976" s="15">
        <f>IFERROR(ROUND(F1976/E1976,4),"")</f>
        <v/>
      </c>
      <c r="H1976" s="16">
        <f>IF(D1976=0,"NO DATA",IF(D1976&gt;E1976*1.5,"OVER",IF(D1976&gt;E1976*1.1,"HIGH",IF(D1976&lt;E1976*0.5,"LOW","OK"))))</f>
        <v/>
      </c>
    </row>
    <row r="1977" ht="22" customHeight="1">
      <c r="B1977" s="5" t="inlineStr">
        <is>
          <t>MTR-WSH-002</t>
        </is>
      </c>
      <c r="C1977" s="5" t="inlineStr">
        <is>
          <t>2024-06-01</t>
        </is>
      </c>
      <c r="D1977" s="11" t="n">
        <v>26.28</v>
      </c>
      <c r="E1977" s="11" t="n">
        <v>30</v>
      </c>
      <c r="F1977" s="11">
        <f>ROUND(D1977-E1977,2)</f>
        <v/>
      </c>
      <c r="G1977" s="13">
        <f>IFERROR(ROUND(F1977/E1977,4),"")</f>
        <v/>
      </c>
      <c r="H1977" s="14">
        <f>IF(D1977=0,"NO DATA",IF(D1977&gt;E1977*1.5,"OVER",IF(D1977&gt;E1977*1.1,"HIGH",IF(D1977&lt;E1977*0.5,"LOW","OK"))))</f>
        <v/>
      </c>
    </row>
    <row r="1978" ht="22" customHeight="1">
      <c r="B1978" s="8" t="inlineStr">
        <is>
          <t>MTR-WSH-002</t>
        </is>
      </c>
      <c r="C1978" s="8" t="inlineStr">
        <is>
          <t>2024-06-02</t>
        </is>
      </c>
      <c r="D1978" s="12" t="n">
        <v>18.79</v>
      </c>
      <c r="E1978" s="12" t="n">
        <v>30</v>
      </c>
      <c r="F1978" s="12">
        <f>ROUND(D1978-E1978,2)</f>
        <v/>
      </c>
      <c r="G1978" s="15">
        <f>IFERROR(ROUND(F1978/E1978,4),"")</f>
        <v/>
      </c>
      <c r="H1978" s="16">
        <f>IF(D1978=0,"NO DATA",IF(D1978&gt;E1978*1.5,"OVER",IF(D1978&gt;E1978*1.1,"HIGH",IF(D1978&lt;E1978*0.5,"LOW","OK"))))</f>
        <v/>
      </c>
    </row>
    <row r="1979" ht="22" customHeight="1">
      <c r="B1979" s="5" t="inlineStr">
        <is>
          <t>MTR-WSH-002</t>
        </is>
      </c>
      <c r="C1979" s="5" t="inlineStr">
        <is>
          <t>2024-06-03</t>
        </is>
      </c>
      <c r="D1979" s="11" t="n">
        <v>33.25</v>
      </c>
      <c r="E1979" s="11" t="n">
        <v>30</v>
      </c>
      <c r="F1979" s="11">
        <f>ROUND(D1979-E1979,2)</f>
        <v/>
      </c>
      <c r="G1979" s="13">
        <f>IFERROR(ROUND(F1979/E1979,4),"")</f>
        <v/>
      </c>
      <c r="H1979" s="14">
        <f>IF(D1979=0,"NO DATA",IF(D1979&gt;E1979*1.5,"OVER",IF(D1979&gt;E1979*1.1,"HIGH",IF(D1979&lt;E1979*0.5,"LOW","OK"))))</f>
        <v/>
      </c>
    </row>
    <row r="1980" ht="22" customHeight="1">
      <c r="B1980" s="8" t="inlineStr">
        <is>
          <t>MTR-WSH-002</t>
        </is>
      </c>
      <c r="C1980" s="8" t="inlineStr">
        <is>
          <t>2024-06-04</t>
        </is>
      </c>
      <c r="D1980" s="12" t="n">
        <v>35.94</v>
      </c>
      <c r="E1980" s="12" t="n">
        <v>30</v>
      </c>
      <c r="F1980" s="12">
        <f>ROUND(D1980-E1980,2)</f>
        <v/>
      </c>
      <c r="G1980" s="15">
        <f>IFERROR(ROUND(F1980/E1980,4),"")</f>
        <v/>
      </c>
      <c r="H1980" s="16">
        <f>IF(D1980=0,"NO DATA",IF(D1980&gt;E1980*1.5,"OVER",IF(D1980&gt;E1980*1.1,"HIGH",IF(D1980&lt;E1980*0.5,"LOW","OK"))))</f>
        <v/>
      </c>
    </row>
    <row r="1981" ht="22" customHeight="1">
      <c r="B1981" s="5" t="inlineStr">
        <is>
          <t>MTR-WSH-002</t>
        </is>
      </c>
      <c r="C1981" s="5" t="inlineStr">
        <is>
          <t>2024-06-05</t>
        </is>
      </c>
      <c r="D1981" s="11" t="n">
        <v>34.54</v>
      </c>
      <c r="E1981" s="11" t="n">
        <v>30</v>
      </c>
      <c r="F1981" s="11">
        <f>ROUND(D1981-E1981,2)</f>
        <v/>
      </c>
      <c r="G1981" s="13">
        <f>IFERROR(ROUND(F1981/E1981,4),"")</f>
        <v/>
      </c>
      <c r="H1981" s="14">
        <f>IF(D1981=0,"NO DATA",IF(D1981&gt;E1981*1.5,"OVER",IF(D1981&gt;E1981*1.1,"HIGH",IF(D1981&lt;E1981*0.5,"LOW","OK"))))</f>
        <v/>
      </c>
    </row>
    <row r="1982" ht="22" customHeight="1">
      <c r="B1982" s="8" t="inlineStr">
        <is>
          <t>MTR-WSH-002</t>
        </is>
      </c>
      <c r="C1982" s="8" t="inlineStr">
        <is>
          <t>2024-06-06</t>
        </is>
      </c>
      <c r="D1982" s="12" t="n">
        <v>36.54</v>
      </c>
      <c r="E1982" s="12" t="n">
        <v>30</v>
      </c>
      <c r="F1982" s="12">
        <f>ROUND(D1982-E1982,2)</f>
        <v/>
      </c>
      <c r="G1982" s="15">
        <f>IFERROR(ROUND(F1982/E1982,4),"")</f>
        <v/>
      </c>
      <c r="H1982" s="16">
        <f>IF(D1982=0,"NO DATA",IF(D1982&gt;E1982*1.5,"OVER",IF(D1982&gt;E1982*1.1,"HIGH",IF(D1982&lt;E1982*0.5,"LOW","OK"))))</f>
        <v/>
      </c>
    </row>
    <row r="1983" ht="22" customHeight="1">
      <c r="B1983" s="5" t="inlineStr">
        <is>
          <t>MTR-WSH-002</t>
        </is>
      </c>
      <c r="C1983" s="5" t="inlineStr">
        <is>
          <t>2024-06-07</t>
        </is>
      </c>
      <c r="D1983" s="11" t="n">
        <v>36.53</v>
      </c>
      <c r="E1983" s="11" t="n">
        <v>30</v>
      </c>
      <c r="F1983" s="11">
        <f>ROUND(D1983-E1983,2)</f>
        <v/>
      </c>
      <c r="G1983" s="13">
        <f>IFERROR(ROUND(F1983/E1983,4),"")</f>
        <v/>
      </c>
      <c r="H1983" s="14">
        <f>IF(D1983=0,"NO DATA",IF(D1983&gt;E1983*1.5,"OVER",IF(D1983&gt;E1983*1.1,"HIGH",IF(D1983&lt;E1983*0.5,"LOW","OK"))))</f>
        <v/>
      </c>
    </row>
    <row r="1984" ht="22" customHeight="1">
      <c r="B1984" s="8" t="inlineStr">
        <is>
          <t>MTR-WSH-002</t>
        </is>
      </c>
      <c r="C1984" s="8" t="inlineStr">
        <is>
          <t>2024-06-08</t>
        </is>
      </c>
      <c r="D1984" s="12" t="n">
        <v>30.61</v>
      </c>
      <c r="E1984" s="12" t="n">
        <v>30</v>
      </c>
      <c r="F1984" s="12">
        <f>ROUND(D1984-E1984,2)</f>
        <v/>
      </c>
      <c r="G1984" s="15">
        <f>IFERROR(ROUND(F1984/E1984,4),"")</f>
        <v/>
      </c>
      <c r="H1984" s="16">
        <f>IF(D1984=0,"NO DATA",IF(D1984&gt;E1984*1.5,"OVER",IF(D1984&gt;E1984*1.1,"HIGH",IF(D1984&lt;E1984*0.5,"LOW","OK"))))</f>
        <v/>
      </c>
    </row>
    <row r="1985" ht="22" customHeight="1">
      <c r="B1985" s="5" t="inlineStr">
        <is>
          <t>MTR-WSH-002</t>
        </is>
      </c>
      <c r="C1985" s="5" t="inlineStr">
        <is>
          <t>2024-06-09</t>
        </is>
      </c>
      <c r="D1985" s="11" t="n">
        <v>18.2</v>
      </c>
      <c r="E1985" s="11" t="n">
        <v>30</v>
      </c>
      <c r="F1985" s="11">
        <f>ROUND(D1985-E1985,2)</f>
        <v/>
      </c>
      <c r="G1985" s="13">
        <f>IFERROR(ROUND(F1985/E1985,4),"")</f>
        <v/>
      </c>
      <c r="H1985" s="14">
        <f>IF(D1985=0,"NO DATA",IF(D1985&gt;E1985*1.5,"OVER",IF(D1985&gt;E1985*1.1,"HIGH",IF(D1985&lt;E1985*0.5,"LOW","OK"))))</f>
        <v/>
      </c>
    </row>
    <row r="1986" ht="22" customHeight="1">
      <c r="B1986" s="8" t="inlineStr">
        <is>
          <t>MTR-WSH-002</t>
        </is>
      </c>
      <c r="C1986" s="8" t="inlineStr">
        <is>
          <t>2024-06-10</t>
        </is>
      </c>
      <c r="D1986" s="12" t="n">
        <v>36.56</v>
      </c>
      <c r="E1986" s="12" t="n">
        <v>30</v>
      </c>
      <c r="F1986" s="12">
        <f>ROUND(D1986-E1986,2)</f>
        <v/>
      </c>
      <c r="G1986" s="15">
        <f>IFERROR(ROUND(F1986/E1986,4),"")</f>
        <v/>
      </c>
      <c r="H1986" s="16">
        <f>IF(D1986=0,"NO DATA",IF(D1986&gt;E1986*1.5,"OVER",IF(D1986&gt;E1986*1.1,"HIGH",IF(D1986&lt;E1986*0.5,"LOW","OK"))))</f>
        <v/>
      </c>
    </row>
    <row r="1987" ht="22" customHeight="1">
      <c r="B1987" s="5" t="inlineStr">
        <is>
          <t>MTR-WSH-002</t>
        </is>
      </c>
      <c r="C1987" s="5" t="inlineStr">
        <is>
          <t>2024-06-11</t>
        </is>
      </c>
      <c r="D1987" s="11" t="n">
        <v>31.22</v>
      </c>
      <c r="E1987" s="11" t="n">
        <v>30</v>
      </c>
      <c r="F1987" s="11">
        <f>ROUND(D1987-E1987,2)</f>
        <v/>
      </c>
      <c r="G1987" s="13">
        <f>IFERROR(ROUND(F1987/E1987,4),"")</f>
        <v/>
      </c>
      <c r="H1987" s="14">
        <f>IF(D1987=0,"NO DATA",IF(D1987&gt;E1987*1.5,"OVER",IF(D1987&gt;E1987*1.1,"HIGH",IF(D1987&lt;E1987*0.5,"LOW","OK"))))</f>
        <v/>
      </c>
    </row>
    <row r="1988" ht="22" customHeight="1">
      <c r="B1988" s="8" t="inlineStr">
        <is>
          <t>MTR-WSH-002</t>
        </is>
      </c>
      <c r="C1988" s="8" t="inlineStr">
        <is>
          <t>2024-06-12</t>
        </is>
      </c>
      <c r="D1988" s="12" t="n">
        <v>31.91</v>
      </c>
      <c r="E1988" s="12" t="n">
        <v>30</v>
      </c>
      <c r="F1988" s="12">
        <f>ROUND(D1988-E1988,2)</f>
        <v/>
      </c>
      <c r="G1988" s="15">
        <f>IFERROR(ROUND(F1988/E1988,4),"")</f>
        <v/>
      </c>
      <c r="H1988" s="16">
        <f>IF(D1988=0,"NO DATA",IF(D1988&gt;E1988*1.5,"OVER",IF(D1988&gt;E1988*1.1,"HIGH",IF(D1988&lt;E1988*0.5,"LOW","OK"))))</f>
        <v/>
      </c>
    </row>
    <row r="1989" ht="22" customHeight="1">
      <c r="B1989" s="5" t="inlineStr">
        <is>
          <t>MTR-WSH-002</t>
        </is>
      </c>
      <c r="C1989" s="5" t="inlineStr">
        <is>
          <t>2024-06-13</t>
        </is>
      </c>
      <c r="D1989" s="11" t="n">
        <v>31.45</v>
      </c>
      <c r="E1989" s="11" t="n">
        <v>30</v>
      </c>
      <c r="F1989" s="11">
        <f>ROUND(D1989-E1989,2)</f>
        <v/>
      </c>
      <c r="G1989" s="13">
        <f>IFERROR(ROUND(F1989/E1989,4),"")</f>
        <v/>
      </c>
      <c r="H1989" s="14">
        <f>IF(D1989=0,"NO DATA",IF(D1989&gt;E1989*1.5,"OVER",IF(D1989&gt;E1989*1.1,"HIGH",IF(D1989&lt;E1989*0.5,"LOW","OK"))))</f>
        <v/>
      </c>
    </row>
    <row r="1990" ht="22" customHeight="1">
      <c r="B1990" s="8" t="inlineStr">
        <is>
          <t>MTR-WSH-002</t>
        </is>
      </c>
      <c r="C1990" s="8" t="inlineStr">
        <is>
          <t>2024-06-14</t>
        </is>
      </c>
      <c r="D1990" s="12" t="n">
        <v>36.05</v>
      </c>
      <c r="E1990" s="12" t="n">
        <v>30</v>
      </c>
      <c r="F1990" s="12">
        <f>ROUND(D1990-E1990,2)</f>
        <v/>
      </c>
      <c r="G1990" s="15">
        <f>IFERROR(ROUND(F1990/E1990,4),"")</f>
        <v/>
      </c>
      <c r="H1990" s="16">
        <f>IF(D1990=0,"NO DATA",IF(D1990&gt;E1990*1.5,"OVER",IF(D1990&gt;E1990*1.1,"HIGH",IF(D1990&lt;E1990*0.5,"LOW","OK"))))</f>
        <v/>
      </c>
    </row>
    <row r="1991" ht="22" customHeight="1">
      <c r="B1991" s="5" t="inlineStr">
        <is>
          <t>MTR-WSH-002</t>
        </is>
      </c>
      <c r="C1991" s="5" t="inlineStr">
        <is>
          <t>2024-06-15</t>
        </is>
      </c>
      <c r="D1991" s="11" t="n">
        <v>27.02</v>
      </c>
      <c r="E1991" s="11" t="n">
        <v>30</v>
      </c>
      <c r="F1991" s="11">
        <f>ROUND(D1991-E1991,2)</f>
        <v/>
      </c>
      <c r="G1991" s="13">
        <f>IFERROR(ROUND(F1991/E1991,4),"")</f>
        <v/>
      </c>
      <c r="H1991" s="14">
        <f>IF(D1991=0,"NO DATA",IF(D1991&gt;E1991*1.5,"OVER",IF(D1991&gt;E1991*1.1,"HIGH",IF(D1991&lt;E1991*0.5,"LOW","OK"))))</f>
        <v/>
      </c>
    </row>
    <row r="1992" ht="22" customHeight="1">
      <c r="B1992" s="8" t="inlineStr">
        <is>
          <t>MTR-WSH-002</t>
        </is>
      </c>
      <c r="C1992" s="8" t="inlineStr">
        <is>
          <t>2024-06-16</t>
        </is>
      </c>
      <c r="D1992" s="12" t="n">
        <v>17.34</v>
      </c>
      <c r="E1992" s="12" t="n">
        <v>30</v>
      </c>
      <c r="F1992" s="12">
        <f>ROUND(D1992-E1992,2)</f>
        <v/>
      </c>
      <c r="G1992" s="15">
        <f>IFERROR(ROUND(F1992/E1992,4),"")</f>
        <v/>
      </c>
      <c r="H1992" s="16">
        <f>IF(D1992=0,"NO DATA",IF(D1992&gt;E1992*1.5,"OVER",IF(D1992&gt;E1992*1.1,"HIGH",IF(D1992&lt;E1992*0.5,"LOW","OK"))))</f>
        <v/>
      </c>
    </row>
    <row r="1993" ht="22" customHeight="1">
      <c r="B1993" s="5" t="inlineStr">
        <is>
          <t>MTR-WSH-002</t>
        </is>
      </c>
      <c r="C1993" s="5" t="inlineStr">
        <is>
          <t>2024-06-17</t>
        </is>
      </c>
      <c r="D1993" s="11" t="n">
        <v>33.85</v>
      </c>
      <c r="E1993" s="11" t="n">
        <v>30</v>
      </c>
      <c r="F1993" s="11">
        <f>ROUND(D1993-E1993,2)</f>
        <v/>
      </c>
      <c r="G1993" s="13">
        <f>IFERROR(ROUND(F1993/E1993,4),"")</f>
        <v/>
      </c>
      <c r="H1993" s="14">
        <f>IF(D1993=0,"NO DATA",IF(D1993&gt;E1993*1.5,"OVER",IF(D1993&gt;E1993*1.1,"HIGH",IF(D1993&lt;E1993*0.5,"LOW","OK"))))</f>
        <v/>
      </c>
    </row>
    <row r="1994" ht="22" customHeight="1">
      <c r="B1994" s="8" t="inlineStr">
        <is>
          <t>MTR-WSH-002</t>
        </is>
      </c>
      <c r="C1994" s="8" t="inlineStr">
        <is>
          <t>2024-06-18</t>
        </is>
      </c>
      <c r="D1994" s="12" t="n">
        <v>36.4</v>
      </c>
      <c r="E1994" s="12" t="n">
        <v>30</v>
      </c>
      <c r="F1994" s="12">
        <f>ROUND(D1994-E1994,2)</f>
        <v/>
      </c>
      <c r="G1994" s="15">
        <f>IFERROR(ROUND(F1994/E1994,4),"")</f>
        <v/>
      </c>
      <c r="H1994" s="16">
        <f>IF(D1994=0,"NO DATA",IF(D1994&gt;E1994*1.5,"OVER",IF(D1994&gt;E1994*1.1,"HIGH",IF(D1994&lt;E1994*0.5,"LOW","OK"))))</f>
        <v/>
      </c>
    </row>
    <row r="1995" ht="22" customHeight="1">
      <c r="B1995" s="5" t="inlineStr">
        <is>
          <t>MTR-WSH-002</t>
        </is>
      </c>
      <c r="C1995" s="5" t="inlineStr">
        <is>
          <t>2024-06-19</t>
        </is>
      </c>
      <c r="D1995" s="11" t="n">
        <v>34.89</v>
      </c>
      <c r="E1995" s="11" t="n">
        <v>30</v>
      </c>
      <c r="F1995" s="11">
        <f>ROUND(D1995-E1995,2)</f>
        <v/>
      </c>
      <c r="G1995" s="13">
        <f>IFERROR(ROUND(F1995/E1995,4),"")</f>
        <v/>
      </c>
      <c r="H1995" s="14">
        <f>IF(D1995=0,"NO DATA",IF(D1995&gt;E1995*1.5,"OVER",IF(D1995&gt;E1995*1.1,"HIGH",IF(D1995&lt;E1995*0.5,"LOW","OK"))))</f>
        <v/>
      </c>
    </row>
    <row r="1996" ht="22" customHeight="1">
      <c r="B1996" s="8" t="inlineStr">
        <is>
          <t>MTR-WSH-002</t>
        </is>
      </c>
      <c r="C1996" s="8" t="inlineStr">
        <is>
          <t>2024-06-20</t>
        </is>
      </c>
      <c r="D1996" s="12" t="n">
        <v>34.14</v>
      </c>
      <c r="E1996" s="12" t="n">
        <v>30</v>
      </c>
      <c r="F1996" s="12">
        <f>ROUND(D1996-E1996,2)</f>
        <v/>
      </c>
      <c r="G1996" s="15">
        <f>IFERROR(ROUND(F1996/E1996,4),"")</f>
        <v/>
      </c>
      <c r="H1996" s="16">
        <f>IF(D1996=0,"NO DATA",IF(D1996&gt;E1996*1.5,"OVER",IF(D1996&gt;E1996*1.1,"HIGH",IF(D1996&lt;E1996*0.5,"LOW","OK"))))</f>
        <v/>
      </c>
    </row>
    <row r="1997" ht="22" customHeight="1">
      <c r="B1997" s="5" t="inlineStr">
        <is>
          <t>MTR-WSH-002</t>
        </is>
      </c>
      <c r="C1997" s="5" t="inlineStr">
        <is>
          <t>2024-06-21</t>
        </is>
      </c>
      <c r="D1997" s="11" t="n">
        <v>37.58</v>
      </c>
      <c r="E1997" s="11" t="n">
        <v>30</v>
      </c>
      <c r="F1997" s="11">
        <f>ROUND(D1997-E1997,2)</f>
        <v/>
      </c>
      <c r="G1997" s="13">
        <f>IFERROR(ROUND(F1997/E1997,4),"")</f>
        <v/>
      </c>
      <c r="H1997" s="14">
        <f>IF(D1997=0,"NO DATA",IF(D1997&gt;E1997*1.5,"OVER",IF(D1997&gt;E1997*1.1,"HIGH",IF(D1997&lt;E1997*0.5,"LOW","OK"))))</f>
        <v/>
      </c>
    </row>
    <row r="1998" ht="22" customHeight="1">
      <c r="B1998" s="8" t="inlineStr">
        <is>
          <t>MTR-WSH-002</t>
        </is>
      </c>
      <c r="C1998" s="8" t="inlineStr">
        <is>
          <t>2024-06-22</t>
        </is>
      </c>
      <c r="D1998" s="12" t="n">
        <v>24.66</v>
      </c>
      <c r="E1998" s="12" t="n">
        <v>30</v>
      </c>
      <c r="F1998" s="12">
        <f>ROUND(D1998-E1998,2)</f>
        <v/>
      </c>
      <c r="G1998" s="15">
        <f>IFERROR(ROUND(F1998/E1998,4),"")</f>
        <v/>
      </c>
      <c r="H1998" s="16">
        <f>IF(D1998=0,"NO DATA",IF(D1998&gt;E1998*1.5,"OVER",IF(D1998&gt;E1998*1.1,"HIGH",IF(D1998&lt;E1998*0.5,"LOW","OK"))))</f>
        <v/>
      </c>
    </row>
    <row r="1999" ht="22" customHeight="1">
      <c r="B1999" s="5" t="inlineStr">
        <is>
          <t>MTR-WSH-002</t>
        </is>
      </c>
      <c r="C1999" s="5" t="inlineStr">
        <is>
          <t>2024-06-23</t>
        </is>
      </c>
      <c r="D1999" s="11" t="n">
        <v>16.72</v>
      </c>
      <c r="E1999" s="11" t="n">
        <v>30</v>
      </c>
      <c r="F1999" s="11">
        <f>ROUND(D1999-E1999,2)</f>
        <v/>
      </c>
      <c r="G1999" s="13">
        <f>IFERROR(ROUND(F1999/E1999,4),"")</f>
        <v/>
      </c>
      <c r="H1999" s="14">
        <f>IF(D1999=0,"NO DATA",IF(D1999&gt;E1999*1.5,"OVER",IF(D1999&gt;E1999*1.1,"HIGH",IF(D1999&lt;E1999*0.5,"LOW","OK"))))</f>
        <v/>
      </c>
    </row>
    <row r="2000" ht="22" customHeight="1">
      <c r="B2000" s="8" t="inlineStr">
        <is>
          <t>MTR-WSH-002</t>
        </is>
      </c>
      <c r="C2000" s="8" t="inlineStr">
        <is>
          <t>2024-06-24</t>
        </is>
      </c>
      <c r="D2000" s="12" t="n">
        <v>34.43</v>
      </c>
      <c r="E2000" s="12" t="n">
        <v>30</v>
      </c>
      <c r="F2000" s="12">
        <f>ROUND(D2000-E2000,2)</f>
        <v/>
      </c>
      <c r="G2000" s="15">
        <f>IFERROR(ROUND(F2000/E2000,4),"")</f>
        <v/>
      </c>
      <c r="H2000" s="16">
        <f>IF(D2000=0,"NO DATA",IF(D2000&gt;E2000*1.5,"OVER",IF(D2000&gt;E2000*1.1,"HIGH",IF(D2000&lt;E2000*0.5,"LOW","OK"))))</f>
        <v/>
      </c>
    </row>
    <row r="2001" ht="22" customHeight="1">
      <c r="B2001" s="5" t="inlineStr">
        <is>
          <t>MTR-WSH-002</t>
        </is>
      </c>
      <c r="C2001" s="5" t="inlineStr">
        <is>
          <t>2024-06-25</t>
        </is>
      </c>
      <c r="D2001" s="11" t="n">
        <v>35.64</v>
      </c>
      <c r="E2001" s="11" t="n">
        <v>30</v>
      </c>
      <c r="F2001" s="11">
        <f>ROUND(D2001-E2001,2)</f>
        <v/>
      </c>
      <c r="G2001" s="13">
        <f>IFERROR(ROUND(F2001/E2001,4),"")</f>
        <v/>
      </c>
      <c r="H2001" s="14">
        <f>IF(D2001=0,"NO DATA",IF(D2001&gt;E2001*1.5,"OVER",IF(D2001&gt;E2001*1.1,"HIGH",IF(D2001&lt;E2001*0.5,"LOW","OK"))))</f>
        <v/>
      </c>
    </row>
    <row r="2002" ht="22" customHeight="1">
      <c r="B2002" s="8" t="inlineStr">
        <is>
          <t>MTR-WSH-002</t>
        </is>
      </c>
      <c r="C2002" s="8" t="inlineStr">
        <is>
          <t>2024-06-26</t>
        </is>
      </c>
      <c r="D2002" s="12" t="n">
        <v>30.84</v>
      </c>
      <c r="E2002" s="12" t="n">
        <v>30</v>
      </c>
      <c r="F2002" s="12">
        <f>ROUND(D2002-E2002,2)</f>
        <v/>
      </c>
      <c r="G2002" s="15">
        <f>IFERROR(ROUND(F2002/E2002,4),"")</f>
        <v/>
      </c>
      <c r="H2002" s="16">
        <f>IF(D2002=0,"NO DATA",IF(D2002&gt;E2002*1.5,"OVER",IF(D2002&gt;E2002*1.1,"HIGH",IF(D2002&lt;E2002*0.5,"LOW","OK"))))</f>
        <v/>
      </c>
    </row>
    <row r="2003" ht="22" customHeight="1">
      <c r="B2003" s="5" t="inlineStr">
        <is>
          <t>MTR-WSH-002</t>
        </is>
      </c>
      <c r="C2003" s="5" t="inlineStr">
        <is>
          <t>2024-06-27</t>
        </is>
      </c>
      <c r="D2003" s="11" t="n">
        <v>37.04</v>
      </c>
      <c r="E2003" s="11" t="n">
        <v>30</v>
      </c>
      <c r="F2003" s="11">
        <f>ROUND(D2003-E2003,2)</f>
        <v/>
      </c>
      <c r="G2003" s="13">
        <f>IFERROR(ROUND(F2003/E2003,4),"")</f>
        <v/>
      </c>
      <c r="H2003" s="14">
        <f>IF(D2003=0,"NO DATA",IF(D2003&gt;E2003*1.5,"OVER",IF(D2003&gt;E2003*1.1,"HIGH",IF(D2003&lt;E2003*0.5,"LOW","OK"))))</f>
        <v/>
      </c>
    </row>
    <row r="2004" ht="22" customHeight="1">
      <c r="B2004" s="8" t="inlineStr">
        <is>
          <t>MTR-WSH-002</t>
        </is>
      </c>
      <c r="C2004" s="8" t="inlineStr">
        <is>
          <t>2024-06-28</t>
        </is>
      </c>
      <c r="D2004" s="12" t="n">
        <v>37.14</v>
      </c>
      <c r="E2004" s="12" t="n">
        <v>30</v>
      </c>
      <c r="F2004" s="12">
        <f>ROUND(D2004-E2004,2)</f>
        <v/>
      </c>
      <c r="G2004" s="15">
        <f>IFERROR(ROUND(F2004/E2004,4),"")</f>
        <v/>
      </c>
      <c r="H2004" s="16">
        <f>IF(D2004=0,"NO DATA",IF(D2004&gt;E2004*1.5,"OVER",IF(D2004&gt;E2004*1.1,"HIGH",IF(D2004&lt;E2004*0.5,"LOW","OK"))))</f>
        <v/>
      </c>
    </row>
    <row r="2005" ht="22" customHeight="1">
      <c r="B2005" s="5" t="inlineStr">
        <is>
          <t>MTR-WSH-002</t>
        </is>
      </c>
      <c r="C2005" s="5" t="inlineStr">
        <is>
          <t>2024-06-29</t>
        </is>
      </c>
      <c r="D2005" s="11" t="n">
        <v>25.12</v>
      </c>
      <c r="E2005" s="11" t="n">
        <v>30</v>
      </c>
      <c r="F2005" s="11">
        <f>ROUND(D2005-E2005,2)</f>
        <v/>
      </c>
      <c r="G2005" s="13">
        <f>IFERROR(ROUND(F2005/E2005,4),"")</f>
        <v/>
      </c>
      <c r="H2005" s="14">
        <f>IF(D2005=0,"NO DATA",IF(D2005&gt;E2005*1.5,"OVER",IF(D2005&gt;E2005*1.1,"HIGH",IF(D2005&lt;E2005*0.5,"LOW","OK"))))</f>
        <v/>
      </c>
    </row>
    <row r="2006" ht="22" customHeight="1">
      <c r="B2006" s="8" t="inlineStr">
        <is>
          <t>MTR-WSH-002</t>
        </is>
      </c>
      <c r="C2006" s="8" t="inlineStr">
        <is>
          <t>2024-06-30</t>
        </is>
      </c>
      <c r="D2006" s="12" t="n">
        <v>17.22</v>
      </c>
      <c r="E2006" s="12" t="n">
        <v>30</v>
      </c>
      <c r="F2006" s="12">
        <f>ROUND(D2006-E2006,2)</f>
        <v/>
      </c>
      <c r="G2006" s="15">
        <f>IFERROR(ROUND(F2006/E2006,4),"")</f>
        <v/>
      </c>
      <c r="H2006" s="16">
        <f>IF(D2006=0,"NO DATA",IF(D2006&gt;E2006*1.5,"OVER",IF(D2006&gt;E2006*1.1,"HIGH",IF(D2006&lt;E2006*0.5,"LOW","OK"))))</f>
        <v/>
      </c>
    </row>
    <row r="2007" ht="22" customHeight="1">
      <c r="B2007" s="5" t="inlineStr">
        <is>
          <t>MTR-WSH-002</t>
        </is>
      </c>
      <c r="C2007" s="5" t="inlineStr">
        <is>
          <t>2024-07-01</t>
        </is>
      </c>
      <c r="D2007" s="11" t="n">
        <v>35.06</v>
      </c>
      <c r="E2007" s="11" t="n">
        <v>30</v>
      </c>
      <c r="F2007" s="11">
        <f>ROUND(D2007-E2007,2)</f>
        <v/>
      </c>
      <c r="G2007" s="13">
        <f>IFERROR(ROUND(F2007/E2007,4),"")</f>
        <v/>
      </c>
      <c r="H2007" s="14">
        <f>IF(D2007=0,"NO DATA",IF(D2007&gt;E2007*1.5,"OVER",IF(D2007&gt;E2007*1.1,"HIGH",IF(D2007&lt;E2007*0.5,"LOW","OK"))))</f>
        <v/>
      </c>
    </row>
    <row r="2008" ht="22" customHeight="1">
      <c r="B2008" s="8" t="inlineStr">
        <is>
          <t>MTR-WSH-002</t>
        </is>
      </c>
      <c r="C2008" s="8" t="inlineStr">
        <is>
          <t>2024-07-02</t>
        </is>
      </c>
      <c r="D2008" s="12" t="n">
        <v>37.69</v>
      </c>
      <c r="E2008" s="12" t="n">
        <v>30</v>
      </c>
      <c r="F2008" s="12">
        <f>ROUND(D2008-E2008,2)</f>
        <v/>
      </c>
      <c r="G2008" s="15">
        <f>IFERROR(ROUND(F2008/E2008,4),"")</f>
        <v/>
      </c>
      <c r="H2008" s="16">
        <f>IF(D2008=0,"NO DATA",IF(D2008&gt;E2008*1.5,"OVER",IF(D2008&gt;E2008*1.1,"HIGH",IF(D2008&lt;E2008*0.5,"LOW","OK"))))</f>
        <v/>
      </c>
    </row>
    <row r="2009" ht="22" customHeight="1">
      <c r="B2009" s="5" t="inlineStr">
        <is>
          <t>MTR-WSH-002</t>
        </is>
      </c>
      <c r="C2009" s="5" t="inlineStr">
        <is>
          <t>2024-07-03</t>
        </is>
      </c>
      <c r="D2009" s="11" t="n">
        <v>35.14</v>
      </c>
      <c r="E2009" s="11" t="n">
        <v>30</v>
      </c>
      <c r="F2009" s="11">
        <f>ROUND(D2009-E2009,2)</f>
        <v/>
      </c>
      <c r="G2009" s="13">
        <f>IFERROR(ROUND(F2009/E2009,4),"")</f>
        <v/>
      </c>
      <c r="H2009" s="14">
        <f>IF(D2009=0,"NO DATA",IF(D2009&gt;E2009*1.5,"OVER",IF(D2009&gt;E2009*1.1,"HIGH",IF(D2009&lt;E2009*0.5,"LOW","OK"))))</f>
        <v/>
      </c>
    </row>
    <row r="2010" ht="22" customHeight="1">
      <c r="B2010" s="8" t="inlineStr">
        <is>
          <t>MTR-WSH-002</t>
        </is>
      </c>
      <c r="C2010" s="8" t="inlineStr">
        <is>
          <t>2024-07-04</t>
        </is>
      </c>
      <c r="D2010" s="12" t="n">
        <v>36.97</v>
      </c>
      <c r="E2010" s="12" t="n">
        <v>30</v>
      </c>
      <c r="F2010" s="12">
        <f>ROUND(D2010-E2010,2)</f>
        <v/>
      </c>
      <c r="G2010" s="15">
        <f>IFERROR(ROUND(F2010/E2010,4),"")</f>
        <v/>
      </c>
      <c r="H2010" s="16">
        <f>IF(D2010=0,"NO DATA",IF(D2010&gt;E2010*1.5,"OVER",IF(D2010&gt;E2010*1.1,"HIGH",IF(D2010&lt;E2010*0.5,"LOW","OK"))))</f>
        <v/>
      </c>
    </row>
    <row r="2011" ht="22" customHeight="1">
      <c r="B2011" s="5" t="inlineStr">
        <is>
          <t>MTR-WSH-002</t>
        </is>
      </c>
      <c r="C2011" s="5" t="inlineStr">
        <is>
          <t>2024-07-05</t>
        </is>
      </c>
      <c r="D2011" s="11" t="n">
        <v>33.66</v>
      </c>
      <c r="E2011" s="11" t="n">
        <v>30</v>
      </c>
      <c r="F2011" s="11">
        <f>ROUND(D2011-E2011,2)</f>
        <v/>
      </c>
      <c r="G2011" s="13">
        <f>IFERROR(ROUND(F2011/E2011,4),"")</f>
        <v/>
      </c>
      <c r="H2011" s="14">
        <f>IF(D2011=0,"NO DATA",IF(D2011&gt;E2011*1.5,"OVER",IF(D2011&gt;E2011*1.1,"HIGH",IF(D2011&lt;E2011*0.5,"LOW","OK"))))</f>
        <v/>
      </c>
    </row>
    <row r="2012" ht="22" customHeight="1">
      <c r="B2012" s="8" t="inlineStr">
        <is>
          <t>MTR-WSH-002</t>
        </is>
      </c>
      <c r="C2012" s="8" t="inlineStr">
        <is>
          <t>2024-07-06</t>
        </is>
      </c>
      <c r="D2012" s="12" t="n">
        <v>28.78</v>
      </c>
      <c r="E2012" s="12" t="n">
        <v>30</v>
      </c>
      <c r="F2012" s="12">
        <f>ROUND(D2012-E2012,2)</f>
        <v/>
      </c>
      <c r="G2012" s="15">
        <f>IFERROR(ROUND(F2012/E2012,4),"")</f>
        <v/>
      </c>
      <c r="H2012" s="16">
        <f>IF(D2012=0,"NO DATA",IF(D2012&gt;E2012*1.5,"OVER",IF(D2012&gt;E2012*1.1,"HIGH",IF(D2012&lt;E2012*0.5,"LOW","OK"))))</f>
        <v/>
      </c>
    </row>
    <row r="2013" ht="22" customHeight="1">
      <c r="B2013" s="5" t="inlineStr">
        <is>
          <t>MTR-WSH-002</t>
        </is>
      </c>
      <c r="C2013" s="5" t="inlineStr">
        <is>
          <t>2024-07-07</t>
        </is>
      </c>
      <c r="D2013" s="11" t="n">
        <v>20.48</v>
      </c>
      <c r="E2013" s="11" t="n">
        <v>30</v>
      </c>
      <c r="F2013" s="11">
        <f>ROUND(D2013-E2013,2)</f>
        <v/>
      </c>
      <c r="G2013" s="13">
        <f>IFERROR(ROUND(F2013/E2013,4),"")</f>
        <v/>
      </c>
      <c r="H2013" s="14">
        <f>IF(D2013=0,"NO DATA",IF(D2013&gt;E2013*1.5,"OVER",IF(D2013&gt;E2013*1.1,"HIGH",IF(D2013&lt;E2013*0.5,"LOW","OK"))))</f>
        <v/>
      </c>
    </row>
    <row r="2014" ht="22" customHeight="1">
      <c r="B2014" s="8" t="inlineStr">
        <is>
          <t>MTR-WSH-002</t>
        </is>
      </c>
      <c r="C2014" s="8" t="inlineStr">
        <is>
          <t>2024-07-08</t>
        </is>
      </c>
      <c r="D2014" s="12" t="n">
        <v>37.27</v>
      </c>
      <c r="E2014" s="12" t="n">
        <v>30</v>
      </c>
      <c r="F2014" s="12">
        <f>ROUND(D2014-E2014,2)</f>
        <v/>
      </c>
      <c r="G2014" s="15">
        <f>IFERROR(ROUND(F2014/E2014,4),"")</f>
        <v/>
      </c>
      <c r="H2014" s="16">
        <f>IF(D2014=0,"NO DATA",IF(D2014&gt;E2014*1.5,"OVER",IF(D2014&gt;E2014*1.1,"HIGH",IF(D2014&lt;E2014*0.5,"LOW","OK"))))</f>
        <v/>
      </c>
    </row>
    <row r="2015" ht="22" customHeight="1">
      <c r="B2015" s="5" t="inlineStr">
        <is>
          <t>MTR-WSH-002</t>
        </is>
      </c>
      <c r="C2015" s="5" t="inlineStr">
        <is>
          <t>2024-07-09</t>
        </is>
      </c>
      <c r="D2015" s="11" t="n">
        <v>38.58</v>
      </c>
      <c r="E2015" s="11" t="n">
        <v>30</v>
      </c>
      <c r="F2015" s="11">
        <f>ROUND(D2015-E2015,2)</f>
        <v/>
      </c>
      <c r="G2015" s="13">
        <f>IFERROR(ROUND(F2015/E2015,4),"")</f>
        <v/>
      </c>
      <c r="H2015" s="14">
        <f>IF(D2015=0,"NO DATA",IF(D2015&gt;E2015*1.5,"OVER",IF(D2015&gt;E2015*1.1,"HIGH",IF(D2015&lt;E2015*0.5,"LOW","OK"))))</f>
        <v/>
      </c>
    </row>
    <row r="2016" ht="22" customHeight="1">
      <c r="B2016" s="8" t="inlineStr">
        <is>
          <t>MTR-WSH-002</t>
        </is>
      </c>
      <c r="C2016" s="8" t="inlineStr">
        <is>
          <t>2024-07-10</t>
        </is>
      </c>
      <c r="D2016" s="12" t="n">
        <v>35.45</v>
      </c>
      <c r="E2016" s="12" t="n">
        <v>30</v>
      </c>
      <c r="F2016" s="12">
        <f>ROUND(D2016-E2016,2)</f>
        <v/>
      </c>
      <c r="G2016" s="15">
        <f>IFERROR(ROUND(F2016/E2016,4),"")</f>
        <v/>
      </c>
      <c r="H2016" s="16">
        <f>IF(D2016=0,"NO DATA",IF(D2016&gt;E2016*1.5,"OVER",IF(D2016&gt;E2016*1.1,"HIGH",IF(D2016&lt;E2016*0.5,"LOW","OK"))))</f>
        <v/>
      </c>
    </row>
    <row r="2017" ht="22" customHeight="1">
      <c r="B2017" s="5" t="inlineStr">
        <is>
          <t>MTR-WSH-002</t>
        </is>
      </c>
      <c r="C2017" s="5" t="inlineStr">
        <is>
          <t>2024-07-11</t>
        </is>
      </c>
      <c r="D2017" s="11" t="n">
        <v>34.21</v>
      </c>
      <c r="E2017" s="11" t="n">
        <v>30</v>
      </c>
      <c r="F2017" s="11">
        <f>ROUND(D2017-E2017,2)</f>
        <v/>
      </c>
      <c r="G2017" s="13">
        <f>IFERROR(ROUND(F2017/E2017,4),"")</f>
        <v/>
      </c>
      <c r="H2017" s="14">
        <f>IF(D2017=0,"NO DATA",IF(D2017&gt;E2017*1.5,"OVER",IF(D2017&gt;E2017*1.1,"HIGH",IF(D2017&lt;E2017*0.5,"LOW","OK"))))</f>
        <v/>
      </c>
    </row>
    <row r="2018" ht="22" customHeight="1">
      <c r="B2018" s="8" t="inlineStr">
        <is>
          <t>MTR-WSH-002</t>
        </is>
      </c>
      <c r="C2018" s="8" t="inlineStr">
        <is>
          <t>2024-07-12</t>
        </is>
      </c>
      <c r="D2018" s="12" t="n">
        <v>37.25</v>
      </c>
      <c r="E2018" s="12" t="n">
        <v>30</v>
      </c>
      <c r="F2018" s="12">
        <f>ROUND(D2018-E2018,2)</f>
        <v/>
      </c>
      <c r="G2018" s="15">
        <f>IFERROR(ROUND(F2018/E2018,4),"")</f>
        <v/>
      </c>
      <c r="H2018" s="16">
        <f>IF(D2018=0,"NO DATA",IF(D2018&gt;E2018*1.5,"OVER",IF(D2018&gt;E2018*1.1,"HIGH",IF(D2018&lt;E2018*0.5,"LOW","OK"))))</f>
        <v/>
      </c>
    </row>
    <row r="2019" ht="22" customHeight="1">
      <c r="B2019" s="5" t="inlineStr">
        <is>
          <t>MTR-WSH-002</t>
        </is>
      </c>
      <c r="C2019" s="5" t="inlineStr">
        <is>
          <t>2024-07-13</t>
        </is>
      </c>
      <c r="D2019" s="11" t="n">
        <v>24.14</v>
      </c>
      <c r="E2019" s="11" t="n">
        <v>30</v>
      </c>
      <c r="F2019" s="11">
        <f>ROUND(D2019-E2019,2)</f>
        <v/>
      </c>
      <c r="G2019" s="13">
        <f>IFERROR(ROUND(F2019/E2019,4),"")</f>
        <v/>
      </c>
      <c r="H2019" s="14">
        <f>IF(D2019=0,"NO DATA",IF(D2019&gt;E2019*1.5,"OVER",IF(D2019&gt;E2019*1.1,"HIGH",IF(D2019&lt;E2019*0.5,"LOW","OK"))))</f>
        <v/>
      </c>
    </row>
    <row r="2020" ht="22" customHeight="1">
      <c r="B2020" s="8" t="inlineStr">
        <is>
          <t>MTR-WSH-002</t>
        </is>
      </c>
      <c r="C2020" s="8" t="inlineStr">
        <is>
          <t>2024-07-14</t>
        </is>
      </c>
      <c r="D2020" s="12" t="n">
        <v>17.49</v>
      </c>
      <c r="E2020" s="12" t="n">
        <v>30</v>
      </c>
      <c r="F2020" s="12">
        <f>ROUND(D2020-E2020,2)</f>
        <v/>
      </c>
      <c r="G2020" s="15">
        <f>IFERROR(ROUND(F2020/E2020,4),"")</f>
        <v/>
      </c>
      <c r="H2020" s="16">
        <f>IF(D2020=0,"NO DATA",IF(D2020&gt;E2020*1.5,"OVER",IF(D2020&gt;E2020*1.1,"HIGH",IF(D2020&lt;E2020*0.5,"LOW","OK"))))</f>
        <v/>
      </c>
    </row>
    <row r="2021" ht="22" customHeight="1">
      <c r="B2021" s="5" t="inlineStr">
        <is>
          <t>MTR-WSH-002</t>
        </is>
      </c>
      <c r="C2021" s="5" t="inlineStr">
        <is>
          <t>2024-07-15</t>
        </is>
      </c>
      <c r="D2021" s="11" t="n">
        <v>38.18</v>
      </c>
      <c r="E2021" s="11" t="n">
        <v>30</v>
      </c>
      <c r="F2021" s="11">
        <f>ROUND(D2021-E2021,2)</f>
        <v/>
      </c>
      <c r="G2021" s="13">
        <f>IFERROR(ROUND(F2021/E2021,4),"")</f>
        <v/>
      </c>
      <c r="H2021" s="14">
        <f>IF(D2021=0,"NO DATA",IF(D2021&gt;E2021*1.5,"OVER",IF(D2021&gt;E2021*1.1,"HIGH",IF(D2021&lt;E2021*0.5,"LOW","OK"))))</f>
        <v/>
      </c>
    </row>
    <row r="2022" ht="22" customHeight="1">
      <c r="B2022" s="8" t="inlineStr">
        <is>
          <t>MTR-WSH-002</t>
        </is>
      </c>
      <c r="C2022" s="8" t="inlineStr">
        <is>
          <t>2024-07-16</t>
        </is>
      </c>
      <c r="D2022" s="12" t="n">
        <v>32.36</v>
      </c>
      <c r="E2022" s="12" t="n">
        <v>30</v>
      </c>
      <c r="F2022" s="12">
        <f>ROUND(D2022-E2022,2)</f>
        <v/>
      </c>
      <c r="G2022" s="15">
        <f>IFERROR(ROUND(F2022/E2022,4),"")</f>
        <v/>
      </c>
      <c r="H2022" s="16">
        <f>IF(D2022=0,"NO DATA",IF(D2022&gt;E2022*1.5,"OVER",IF(D2022&gt;E2022*1.1,"HIGH",IF(D2022&lt;E2022*0.5,"LOW","OK"))))</f>
        <v/>
      </c>
    </row>
    <row r="2023" ht="22" customHeight="1">
      <c r="B2023" s="5" t="inlineStr">
        <is>
          <t>MTR-WSH-002</t>
        </is>
      </c>
      <c r="C2023" s="5" t="inlineStr">
        <is>
          <t>2024-07-17</t>
        </is>
      </c>
      <c r="D2023" s="11" t="n">
        <v>34.13</v>
      </c>
      <c r="E2023" s="11" t="n">
        <v>30</v>
      </c>
      <c r="F2023" s="11">
        <f>ROUND(D2023-E2023,2)</f>
        <v/>
      </c>
      <c r="G2023" s="13">
        <f>IFERROR(ROUND(F2023/E2023,4),"")</f>
        <v/>
      </c>
      <c r="H2023" s="14">
        <f>IF(D2023=0,"NO DATA",IF(D2023&gt;E2023*1.5,"OVER",IF(D2023&gt;E2023*1.1,"HIGH",IF(D2023&lt;E2023*0.5,"LOW","OK"))))</f>
        <v/>
      </c>
    </row>
    <row r="2024" ht="22" customHeight="1">
      <c r="B2024" s="8" t="inlineStr">
        <is>
          <t>MTR-WSH-002</t>
        </is>
      </c>
      <c r="C2024" s="8" t="inlineStr">
        <is>
          <t>2024-07-18</t>
        </is>
      </c>
      <c r="D2024" s="12" t="n">
        <v>31.93</v>
      </c>
      <c r="E2024" s="12" t="n">
        <v>30</v>
      </c>
      <c r="F2024" s="12">
        <f>ROUND(D2024-E2024,2)</f>
        <v/>
      </c>
      <c r="G2024" s="15">
        <f>IFERROR(ROUND(F2024/E2024,4),"")</f>
        <v/>
      </c>
      <c r="H2024" s="16">
        <f>IF(D2024=0,"NO DATA",IF(D2024&gt;E2024*1.5,"OVER",IF(D2024&gt;E2024*1.1,"HIGH",IF(D2024&lt;E2024*0.5,"LOW","OK"))))</f>
        <v/>
      </c>
    </row>
    <row r="2025" ht="22" customHeight="1">
      <c r="B2025" s="5" t="inlineStr">
        <is>
          <t>MTR-WSH-002</t>
        </is>
      </c>
      <c r="C2025" s="5" t="inlineStr">
        <is>
          <t>2024-07-19</t>
        </is>
      </c>
      <c r="D2025" s="11" t="n">
        <v>31.79</v>
      </c>
      <c r="E2025" s="11" t="n">
        <v>30</v>
      </c>
      <c r="F2025" s="11">
        <f>ROUND(D2025-E2025,2)</f>
        <v/>
      </c>
      <c r="G2025" s="13">
        <f>IFERROR(ROUND(F2025/E2025,4),"")</f>
        <v/>
      </c>
      <c r="H2025" s="14">
        <f>IF(D2025=0,"NO DATA",IF(D2025&gt;E2025*1.5,"OVER",IF(D2025&gt;E2025*1.1,"HIGH",IF(D2025&lt;E2025*0.5,"LOW","OK"))))</f>
        <v/>
      </c>
    </row>
    <row r="2026" ht="22" customHeight="1">
      <c r="B2026" s="8" t="inlineStr">
        <is>
          <t>MTR-WSH-002</t>
        </is>
      </c>
      <c r="C2026" s="8" t="inlineStr">
        <is>
          <t>2024-07-20</t>
        </is>
      </c>
      <c r="D2026" s="12" t="n">
        <v>31.8</v>
      </c>
      <c r="E2026" s="12" t="n">
        <v>30</v>
      </c>
      <c r="F2026" s="12">
        <f>ROUND(D2026-E2026,2)</f>
        <v/>
      </c>
      <c r="G2026" s="15">
        <f>IFERROR(ROUND(F2026/E2026,4),"")</f>
        <v/>
      </c>
      <c r="H2026" s="16">
        <f>IF(D2026=0,"NO DATA",IF(D2026&gt;E2026*1.5,"OVER",IF(D2026&gt;E2026*1.1,"HIGH",IF(D2026&lt;E2026*0.5,"LOW","OK"))))</f>
        <v/>
      </c>
    </row>
    <row r="2027" ht="22" customHeight="1">
      <c r="B2027" s="5" t="inlineStr">
        <is>
          <t>MTR-WSH-002</t>
        </is>
      </c>
      <c r="C2027" s="5" t="inlineStr">
        <is>
          <t>2024-07-21</t>
        </is>
      </c>
      <c r="D2027" s="11" t="n">
        <v>17.09</v>
      </c>
      <c r="E2027" s="11" t="n">
        <v>30</v>
      </c>
      <c r="F2027" s="11">
        <f>ROUND(D2027-E2027,2)</f>
        <v/>
      </c>
      <c r="G2027" s="13">
        <f>IFERROR(ROUND(F2027/E2027,4),"")</f>
        <v/>
      </c>
      <c r="H2027" s="14">
        <f>IF(D2027=0,"NO DATA",IF(D2027&gt;E2027*1.5,"OVER",IF(D2027&gt;E2027*1.1,"HIGH",IF(D2027&lt;E2027*0.5,"LOW","OK"))))</f>
        <v/>
      </c>
    </row>
    <row r="2028" ht="22" customHeight="1">
      <c r="B2028" s="8" t="inlineStr">
        <is>
          <t>MTR-WSH-002</t>
        </is>
      </c>
      <c r="C2028" s="8" t="inlineStr">
        <is>
          <t>2024-07-22</t>
        </is>
      </c>
      <c r="D2028" s="12" t="n">
        <v>31.6</v>
      </c>
      <c r="E2028" s="12" t="n">
        <v>30</v>
      </c>
      <c r="F2028" s="12">
        <f>ROUND(D2028-E2028,2)</f>
        <v/>
      </c>
      <c r="G2028" s="15">
        <f>IFERROR(ROUND(F2028/E2028,4),"")</f>
        <v/>
      </c>
      <c r="H2028" s="16">
        <f>IF(D2028=0,"NO DATA",IF(D2028&gt;E2028*1.5,"OVER",IF(D2028&gt;E2028*1.1,"HIGH",IF(D2028&lt;E2028*0.5,"LOW","OK"))))</f>
        <v/>
      </c>
    </row>
    <row r="2029" ht="22" customHeight="1">
      <c r="B2029" s="5" t="inlineStr">
        <is>
          <t>MTR-WSH-002</t>
        </is>
      </c>
      <c r="C2029" s="5" t="inlineStr">
        <is>
          <t>2024-07-23</t>
        </is>
      </c>
      <c r="D2029" s="11" t="n">
        <v>29.9</v>
      </c>
      <c r="E2029" s="11" t="n">
        <v>30</v>
      </c>
      <c r="F2029" s="11">
        <f>ROUND(D2029-E2029,2)</f>
        <v/>
      </c>
      <c r="G2029" s="13">
        <f>IFERROR(ROUND(F2029/E2029,4),"")</f>
        <v/>
      </c>
      <c r="H2029" s="14">
        <f>IF(D2029=0,"NO DATA",IF(D2029&gt;E2029*1.5,"OVER",IF(D2029&gt;E2029*1.1,"HIGH",IF(D2029&lt;E2029*0.5,"LOW","OK"))))</f>
        <v/>
      </c>
    </row>
    <row r="2030" ht="22" customHeight="1">
      <c r="B2030" s="8" t="inlineStr">
        <is>
          <t>MTR-WSH-002</t>
        </is>
      </c>
      <c r="C2030" s="8" t="inlineStr">
        <is>
          <t>2024-07-24</t>
        </is>
      </c>
      <c r="D2030" s="12" t="n">
        <v>31.69</v>
      </c>
      <c r="E2030" s="12" t="n">
        <v>30</v>
      </c>
      <c r="F2030" s="12">
        <f>ROUND(D2030-E2030,2)</f>
        <v/>
      </c>
      <c r="G2030" s="15">
        <f>IFERROR(ROUND(F2030/E2030,4),"")</f>
        <v/>
      </c>
      <c r="H2030" s="16">
        <f>IF(D2030=0,"NO DATA",IF(D2030&gt;E2030*1.5,"OVER",IF(D2030&gt;E2030*1.1,"HIGH",IF(D2030&lt;E2030*0.5,"LOW","OK"))))</f>
        <v/>
      </c>
    </row>
    <row r="2031" ht="22" customHeight="1">
      <c r="B2031" s="5" t="inlineStr">
        <is>
          <t>MTR-WSH-002</t>
        </is>
      </c>
      <c r="C2031" s="5" t="inlineStr">
        <is>
          <t>2024-07-25</t>
        </is>
      </c>
      <c r="D2031" s="11" t="n">
        <v>35.23</v>
      </c>
      <c r="E2031" s="11" t="n">
        <v>30</v>
      </c>
      <c r="F2031" s="11">
        <f>ROUND(D2031-E2031,2)</f>
        <v/>
      </c>
      <c r="G2031" s="13">
        <f>IFERROR(ROUND(F2031/E2031,4),"")</f>
        <v/>
      </c>
      <c r="H2031" s="14">
        <f>IF(D2031=0,"NO DATA",IF(D2031&gt;E2031*1.5,"OVER",IF(D2031&gt;E2031*1.1,"HIGH",IF(D2031&lt;E2031*0.5,"LOW","OK"))))</f>
        <v/>
      </c>
    </row>
    <row r="2032" ht="22" customHeight="1">
      <c r="B2032" s="8" t="inlineStr">
        <is>
          <t>MTR-WSH-002</t>
        </is>
      </c>
      <c r="C2032" s="8" t="inlineStr">
        <is>
          <t>2024-07-26</t>
        </is>
      </c>
      <c r="D2032" s="12" t="n">
        <v>34.37</v>
      </c>
      <c r="E2032" s="12" t="n">
        <v>30</v>
      </c>
      <c r="F2032" s="12">
        <f>ROUND(D2032-E2032,2)</f>
        <v/>
      </c>
      <c r="G2032" s="15">
        <f>IFERROR(ROUND(F2032/E2032,4),"")</f>
        <v/>
      </c>
      <c r="H2032" s="16">
        <f>IF(D2032=0,"NO DATA",IF(D2032&gt;E2032*1.5,"OVER",IF(D2032&gt;E2032*1.1,"HIGH",IF(D2032&lt;E2032*0.5,"LOW","OK"))))</f>
        <v/>
      </c>
    </row>
    <row r="2033" ht="22" customHeight="1">
      <c r="B2033" s="5" t="inlineStr">
        <is>
          <t>MTR-WSH-002</t>
        </is>
      </c>
      <c r="C2033" s="5" t="inlineStr">
        <is>
          <t>2024-07-27</t>
        </is>
      </c>
      <c r="D2033" s="11" t="n">
        <v>28.75</v>
      </c>
      <c r="E2033" s="11" t="n">
        <v>30</v>
      </c>
      <c r="F2033" s="11">
        <f>ROUND(D2033-E2033,2)</f>
        <v/>
      </c>
      <c r="G2033" s="13">
        <f>IFERROR(ROUND(F2033/E2033,4),"")</f>
        <v/>
      </c>
      <c r="H2033" s="14">
        <f>IF(D2033=0,"NO DATA",IF(D2033&gt;E2033*1.5,"OVER",IF(D2033&gt;E2033*1.1,"HIGH",IF(D2033&lt;E2033*0.5,"LOW","OK"))))</f>
        <v/>
      </c>
    </row>
    <row r="2034" ht="22" customHeight="1">
      <c r="B2034" s="8" t="inlineStr">
        <is>
          <t>MTR-WSH-002</t>
        </is>
      </c>
      <c r="C2034" s="8" t="inlineStr">
        <is>
          <t>2024-07-28</t>
        </is>
      </c>
      <c r="D2034" s="12" t="n">
        <v>16.85</v>
      </c>
      <c r="E2034" s="12" t="n">
        <v>30</v>
      </c>
      <c r="F2034" s="12">
        <f>ROUND(D2034-E2034,2)</f>
        <v/>
      </c>
      <c r="G2034" s="15">
        <f>IFERROR(ROUND(F2034/E2034,4),"")</f>
        <v/>
      </c>
      <c r="H2034" s="16">
        <f>IF(D2034=0,"NO DATA",IF(D2034&gt;E2034*1.5,"OVER",IF(D2034&gt;E2034*1.1,"HIGH",IF(D2034&lt;E2034*0.5,"LOW","OK"))))</f>
        <v/>
      </c>
    </row>
    <row r="2035" ht="22" customHeight="1">
      <c r="B2035" s="5" t="inlineStr">
        <is>
          <t>MTR-WSH-002</t>
        </is>
      </c>
      <c r="C2035" s="5" t="inlineStr">
        <is>
          <t>2024-07-29</t>
        </is>
      </c>
      <c r="D2035" s="11" t="n">
        <v>39.03</v>
      </c>
      <c r="E2035" s="11" t="n">
        <v>30</v>
      </c>
      <c r="F2035" s="11">
        <f>ROUND(D2035-E2035,2)</f>
        <v/>
      </c>
      <c r="G2035" s="13">
        <f>IFERROR(ROUND(F2035/E2035,4),"")</f>
        <v/>
      </c>
      <c r="H2035" s="14">
        <f>IF(D2035=0,"NO DATA",IF(D2035&gt;E2035*1.5,"OVER",IF(D2035&gt;E2035*1.1,"HIGH",IF(D2035&lt;E2035*0.5,"LOW","OK"))))</f>
        <v/>
      </c>
    </row>
    <row r="2036" ht="22" customHeight="1">
      <c r="B2036" s="8" t="inlineStr">
        <is>
          <t>MTR-WSH-002</t>
        </is>
      </c>
      <c r="C2036" s="8" t="inlineStr">
        <is>
          <t>2024-07-30</t>
        </is>
      </c>
      <c r="D2036" s="12" t="n">
        <v>31.9</v>
      </c>
      <c r="E2036" s="12" t="n">
        <v>30</v>
      </c>
      <c r="F2036" s="12">
        <f>ROUND(D2036-E2036,2)</f>
        <v/>
      </c>
      <c r="G2036" s="15">
        <f>IFERROR(ROUND(F2036/E2036,4),"")</f>
        <v/>
      </c>
      <c r="H2036" s="16">
        <f>IF(D2036=0,"NO DATA",IF(D2036&gt;E2036*1.5,"OVER",IF(D2036&gt;E2036*1.1,"HIGH",IF(D2036&lt;E2036*0.5,"LOW","OK"))))</f>
        <v/>
      </c>
    </row>
    <row r="2037" ht="22" customHeight="1">
      <c r="B2037" s="5" t="inlineStr">
        <is>
          <t>MTR-WSH-002</t>
        </is>
      </c>
      <c r="C2037" s="5" t="inlineStr">
        <is>
          <t>2024-07-31</t>
        </is>
      </c>
      <c r="D2037" s="11" t="n">
        <v>34.57</v>
      </c>
      <c r="E2037" s="11" t="n">
        <v>30</v>
      </c>
      <c r="F2037" s="11">
        <f>ROUND(D2037-E2037,2)</f>
        <v/>
      </c>
      <c r="G2037" s="13">
        <f>IFERROR(ROUND(F2037/E2037,4),"")</f>
        <v/>
      </c>
      <c r="H2037" s="14">
        <f>IF(D2037=0,"NO DATA",IF(D2037&gt;E2037*1.5,"OVER",IF(D2037&gt;E2037*1.1,"HIGH",IF(D2037&lt;E2037*0.5,"LOW","OK"))))</f>
        <v/>
      </c>
    </row>
    <row r="2038" ht="22" customHeight="1">
      <c r="B2038" s="8" t="inlineStr">
        <is>
          <t>MTR-WSH-002</t>
        </is>
      </c>
      <c r="C2038" s="8" t="inlineStr">
        <is>
          <t>2024-08-01</t>
        </is>
      </c>
      <c r="D2038" s="12" t="n">
        <v>35.58</v>
      </c>
      <c r="E2038" s="12" t="n">
        <v>30</v>
      </c>
      <c r="F2038" s="12">
        <f>ROUND(D2038-E2038,2)</f>
        <v/>
      </c>
      <c r="G2038" s="15">
        <f>IFERROR(ROUND(F2038/E2038,4),"")</f>
        <v/>
      </c>
      <c r="H2038" s="16">
        <f>IF(D2038=0,"NO DATA",IF(D2038&gt;E2038*1.5,"OVER",IF(D2038&gt;E2038*1.1,"HIGH",IF(D2038&lt;E2038*0.5,"LOW","OK"))))</f>
        <v/>
      </c>
    </row>
    <row r="2039" ht="22" customHeight="1">
      <c r="B2039" s="5" t="inlineStr">
        <is>
          <t>MTR-WSH-002</t>
        </is>
      </c>
      <c r="C2039" s="5" t="inlineStr">
        <is>
          <t>2024-08-02</t>
        </is>
      </c>
      <c r="D2039" s="11" t="n">
        <v>29.54</v>
      </c>
      <c r="E2039" s="11" t="n">
        <v>30</v>
      </c>
      <c r="F2039" s="11">
        <f>ROUND(D2039-E2039,2)</f>
        <v/>
      </c>
      <c r="G2039" s="13">
        <f>IFERROR(ROUND(F2039/E2039,4),"")</f>
        <v/>
      </c>
      <c r="H2039" s="14">
        <f>IF(D2039=0,"NO DATA",IF(D2039&gt;E2039*1.5,"OVER",IF(D2039&gt;E2039*1.1,"HIGH",IF(D2039&lt;E2039*0.5,"LOW","OK"))))</f>
        <v/>
      </c>
    </row>
    <row r="2040" ht="22" customHeight="1">
      <c r="B2040" s="8" t="inlineStr">
        <is>
          <t>MTR-WSH-002</t>
        </is>
      </c>
      <c r="C2040" s="8" t="inlineStr">
        <is>
          <t>2024-08-03</t>
        </is>
      </c>
      <c r="D2040" s="12" t="n">
        <v>26.59</v>
      </c>
      <c r="E2040" s="12" t="n">
        <v>30</v>
      </c>
      <c r="F2040" s="12">
        <f>ROUND(D2040-E2040,2)</f>
        <v/>
      </c>
      <c r="G2040" s="15">
        <f>IFERROR(ROUND(F2040/E2040,4),"")</f>
        <v/>
      </c>
      <c r="H2040" s="16">
        <f>IF(D2040=0,"NO DATA",IF(D2040&gt;E2040*1.5,"OVER",IF(D2040&gt;E2040*1.1,"HIGH",IF(D2040&lt;E2040*0.5,"LOW","OK"))))</f>
        <v/>
      </c>
    </row>
    <row r="2041" ht="22" customHeight="1">
      <c r="B2041" s="5" t="inlineStr">
        <is>
          <t>MTR-WSH-002</t>
        </is>
      </c>
      <c r="C2041" s="5" t="inlineStr">
        <is>
          <t>2024-08-04</t>
        </is>
      </c>
      <c r="D2041" s="11" t="n">
        <v>20.25</v>
      </c>
      <c r="E2041" s="11" t="n">
        <v>30</v>
      </c>
      <c r="F2041" s="11">
        <f>ROUND(D2041-E2041,2)</f>
        <v/>
      </c>
      <c r="G2041" s="13">
        <f>IFERROR(ROUND(F2041/E2041,4),"")</f>
        <v/>
      </c>
      <c r="H2041" s="14">
        <f>IF(D2041=0,"NO DATA",IF(D2041&gt;E2041*1.5,"OVER",IF(D2041&gt;E2041*1.1,"HIGH",IF(D2041&lt;E2041*0.5,"LOW","OK"))))</f>
        <v/>
      </c>
    </row>
    <row r="2042" ht="22" customHeight="1">
      <c r="B2042" s="8" t="inlineStr">
        <is>
          <t>MTR-WSH-002</t>
        </is>
      </c>
      <c r="C2042" s="8" t="inlineStr">
        <is>
          <t>2024-08-05</t>
        </is>
      </c>
      <c r="D2042" s="12" t="n">
        <v>37.86</v>
      </c>
      <c r="E2042" s="12" t="n">
        <v>30</v>
      </c>
      <c r="F2042" s="12">
        <f>ROUND(D2042-E2042,2)</f>
        <v/>
      </c>
      <c r="G2042" s="15">
        <f>IFERROR(ROUND(F2042/E2042,4),"")</f>
        <v/>
      </c>
      <c r="H2042" s="16">
        <f>IF(D2042=0,"NO DATA",IF(D2042&gt;E2042*1.5,"OVER",IF(D2042&gt;E2042*1.1,"HIGH",IF(D2042&lt;E2042*0.5,"LOW","OK"))))</f>
        <v/>
      </c>
    </row>
    <row r="2043" ht="22" customHeight="1">
      <c r="B2043" s="5" t="inlineStr">
        <is>
          <t>MTR-WSH-002</t>
        </is>
      </c>
      <c r="C2043" s="5" t="inlineStr">
        <is>
          <t>2024-08-06</t>
        </is>
      </c>
      <c r="D2043" s="11" t="n">
        <v>31.77</v>
      </c>
      <c r="E2043" s="11" t="n">
        <v>30</v>
      </c>
      <c r="F2043" s="11">
        <f>ROUND(D2043-E2043,2)</f>
        <v/>
      </c>
      <c r="G2043" s="13">
        <f>IFERROR(ROUND(F2043/E2043,4),"")</f>
        <v/>
      </c>
      <c r="H2043" s="14">
        <f>IF(D2043=0,"NO DATA",IF(D2043&gt;E2043*1.5,"OVER",IF(D2043&gt;E2043*1.1,"HIGH",IF(D2043&lt;E2043*0.5,"LOW","OK"))))</f>
        <v/>
      </c>
    </row>
    <row r="2044" ht="22" customHeight="1">
      <c r="B2044" s="8" t="inlineStr">
        <is>
          <t>MTR-WSH-002</t>
        </is>
      </c>
      <c r="C2044" s="8" t="inlineStr">
        <is>
          <t>2024-08-07</t>
        </is>
      </c>
      <c r="D2044" s="12" t="n">
        <v>36.3</v>
      </c>
      <c r="E2044" s="12" t="n">
        <v>30</v>
      </c>
      <c r="F2044" s="12">
        <f>ROUND(D2044-E2044,2)</f>
        <v/>
      </c>
      <c r="G2044" s="15">
        <f>IFERROR(ROUND(F2044/E2044,4),"")</f>
        <v/>
      </c>
      <c r="H2044" s="16">
        <f>IF(D2044=0,"NO DATA",IF(D2044&gt;E2044*1.5,"OVER",IF(D2044&gt;E2044*1.1,"HIGH",IF(D2044&lt;E2044*0.5,"LOW","OK"))))</f>
        <v/>
      </c>
    </row>
    <row r="2045" ht="22" customHeight="1">
      <c r="B2045" s="5" t="inlineStr">
        <is>
          <t>MTR-WSH-002</t>
        </is>
      </c>
      <c r="C2045" s="5" t="inlineStr">
        <is>
          <t>2024-08-08</t>
        </is>
      </c>
      <c r="D2045" s="11" t="n">
        <v>29.04</v>
      </c>
      <c r="E2045" s="11" t="n">
        <v>30</v>
      </c>
      <c r="F2045" s="11">
        <f>ROUND(D2045-E2045,2)</f>
        <v/>
      </c>
      <c r="G2045" s="13">
        <f>IFERROR(ROUND(F2045/E2045,4),"")</f>
        <v/>
      </c>
      <c r="H2045" s="14">
        <f>IF(D2045=0,"NO DATA",IF(D2045&gt;E2045*1.5,"OVER",IF(D2045&gt;E2045*1.1,"HIGH",IF(D2045&lt;E2045*0.5,"LOW","OK"))))</f>
        <v/>
      </c>
    </row>
    <row r="2046" ht="22" customHeight="1">
      <c r="B2046" s="8" t="inlineStr">
        <is>
          <t>MTR-WSH-002</t>
        </is>
      </c>
      <c r="C2046" s="8" t="inlineStr">
        <is>
          <t>2024-08-09</t>
        </is>
      </c>
      <c r="D2046" s="12" t="n">
        <v>29.61</v>
      </c>
      <c r="E2046" s="12" t="n">
        <v>30</v>
      </c>
      <c r="F2046" s="12">
        <f>ROUND(D2046-E2046,2)</f>
        <v/>
      </c>
      <c r="G2046" s="15">
        <f>IFERROR(ROUND(F2046/E2046,4),"")</f>
        <v/>
      </c>
      <c r="H2046" s="16">
        <f>IF(D2046=0,"NO DATA",IF(D2046&gt;E2046*1.5,"OVER",IF(D2046&gt;E2046*1.1,"HIGH",IF(D2046&lt;E2046*0.5,"LOW","OK"))))</f>
        <v/>
      </c>
    </row>
    <row r="2047" ht="22" customHeight="1">
      <c r="B2047" s="5" t="inlineStr">
        <is>
          <t>MTR-WSH-002</t>
        </is>
      </c>
      <c r="C2047" s="5" t="inlineStr">
        <is>
          <t>2024-08-10</t>
        </is>
      </c>
      <c r="D2047" s="11" t="n">
        <v>25.86</v>
      </c>
      <c r="E2047" s="11" t="n">
        <v>30</v>
      </c>
      <c r="F2047" s="11">
        <f>ROUND(D2047-E2047,2)</f>
        <v/>
      </c>
      <c r="G2047" s="13">
        <f>IFERROR(ROUND(F2047/E2047,4),"")</f>
        <v/>
      </c>
      <c r="H2047" s="14">
        <f>IF(D2047=0,"NO DATA",IF(D2047&gt;E2047*1.5,"OVER",IF(D2047&gt;E2047*1.1,"HIGH",IF(D2047&lt;E2047*0.5,"LOW","OK"))))</f>
        <v/>
      </c>
    </row>
    <row r="2048" ht="22" customHeight="1">
      <c r="B2048" s="8" t="inlineStr">
        <is>
          <t>MTR-WSH-002</t>
        </is>
      </c>
      <c r="C2048" s="8" t="inlineStr">
        <is>
          <t>2024-08-11</t>
        </is>
      </c>
      <c r="D2048" s="12" t="n">
        <v>17.22</v>
      </c>
      <c r="E2048" s="12" t="n">
        <v>30</v>
      </c>
      <c r="F2048" s="12">
        <f>ROUND(D2048-E2048,2)</f>
        <v/>
      </c>
      <c r="G2048" s="15">
        <f>IFERROR(ROUND(F2048/E2048,4),"")</f>
        <v/>
      </c>
      <c r="H2048" s="16">
        <f>IF(D2048=0,"NO DATA",IF(D2048&gt;E2048*1.5,"OVER",IF(D2048&gt;E2048*1.1,"HIGH",IF(D2048&lt;E2048*0.5,"LOW","OK"))))</f>
        <v/>
      </c>
    </row>
    <row r="2049" ht="22" customHeight="1">
      <c r="B2049" s="5" t="inlineStr">
        <is>
          <t>MTR-WSH-002</t>
        </is>
      </c>
      <c r="C2049" s="5" t="inlineStr">
        <is>
          <t>2024-08-12</t>
        </is>
      </c>
      <c r="D2049" s="11" t="n">
        <v>36.09</v>
      </c>
      <c r="E2049" s="11" t="n">
        <v>30</v>
      </c>
      <c r="F2049" s="11">
        <f>ROUND(D2049-E2049,2)</f>
        <v/>
      </c>
      <c r="G2049" s="13">
        <f>IFERROR(ROUND(F2049/E2049,4),"")</f>
        <v/>
      </c>
      <c r="H2049" s="14">
        <f>IF(D2049=0,"NO DATA",IF(D2049&gt;E2049*1.5,"OVER",IF(D2049&gt;E2049*1.1,"HIGH",IF(D2049&lt;E2049*0.5,"LOW","OK"))))</f>
        <v/>
      </c>
    </row>
    <row r="2050" ht="22" customHeight="1">
      <c r="B2050" s="8" t="inlineStr">
        <is>
          <t>MTR-WSH-002</t>
        </is>
      </c>
      <c r="C2050" s="8" t="inlineStr">
        <is>
          <t>2024-08-13</t>
        </is>
      </c>
      <c r="D2050" s="12" t="n">
        <v>29.38</v>
      </c>
      <c r="E2050" s="12" t="n">
        <v>30</v>
      </c>
      <c r="F2050" s="12">
        <f>ROUND(D2050-E2050,2)</f>
        <v/>
      </c>
      <c r="G2050" s="15">
        <f>IFERROR(ROUND(F2050/E2050,4),"")</f>
        <v/>
      </c>
      <c r="H2050" s="16">
        <f>IF(D2050=0,"NO DATA",IF(D2050&gt;E2050*1.5,"OVER",IF(D2050&gt;E2050*1.1,"HIGH",IF(D2050&lt;E2050*0.5,"LOW","OK"))))</f>
        <v/>
      </c>
    </row>
    <row r="2051" ht="22" customHeight="1">
      <c r="B2051" s="5" t="inlineStr">
        <is>
          <t>MTR-WSH-002</t>
        </is>
      </c>
      <c r="C2051" s="5" t="inlineStr">
        <is>
          <t>2024-08-14</t>
        </is>
      </c>
      <c r="D2051" s="11" t="n">
        <v>33.38</v>
      </c>
      <c r="E2051" s="11" t="n">
        <v>30</v>
      </c>
      <c r="F2051" s="11">
        <f>ROUND(D2051-E2051,2)</f>
        <v/>
      </c>
      <c r="G2051" s="13">
        <f>IFERROR(ROUND(F2051/E2051,4),"")</f>
        <v/>
      </c>
      <c r="H2051" s="14">
        <f>IF(D2051=0,"NO DATA",IF(D2051&gt;E2051*1.5,"OVER",IF(D2051&gt;E2051*1.1,"HIGH",IF(D2051&lt;E2051*0.5,"LOW","OK"))))</f>
        <v/>
      </c>
    </row>
    <row r="2052" ht="22" customHeight="1">
      <c r="B2052" s="8" t="inlineStr">
        <is>
          <t>MTR-WSH-002</t>
        </is>
      </c>
      <c r="C2052" s="8" t="inlineStr">
        <is>
          <t>2024-08-15</t>
        </is>
      </c>
      <c r="D2052" s="12" t="n">
        <v>38.62</v>
      </c>
      <c r="E2052" s="12" t="n">
        <v>30</v>
      </c>
      <c r="F2052" s="12">
        <f>ROUND(D2052-E2052,2)</f>
        <v/>
      </c>
      <c r="G2052" s="15">
        <f>IFERROR(ROUND(F2052/E2052,4),"")</f>
        <v/>
      </c>
      <c r="H2052" s="16">
        <f>IF(D2052=0,"NO DATA",IF(D2052&gt;E2052*1.5,"OVER",IF(D2052&gt;E2052*1.1,"HIGH",IF(D2052&lt;E2052*0.5,"LOW","OK"))))</f>
        <v/>
      </c>
    </row>
    <row r="2053" ht="22" customHeight="1">
      <c r="B2053" s="5" t="inlineStr">
        <is>
          <t>MTR-WSH-002</t>
        </is>
      </c>
      <c r="C2053" s="5" t="inlineStr">
        <is>
          <t>2024-08-16</t>
        </is>
      </c>
      <c r="D2053" s="11" t="n">
        <v>35.16</v>
      </c>
      <c r="E2053" s="11" t="n">
        <v>30</v>
      </c>
      <c r="F2053" s="11">
        <f>ROUND(D2053-E2053,2)</f>
        <v/>
      </c>
      <c r="G2053" s="13">
        <f>IFERROR(ROUND(F2053/E2053,4),"")</f>
        <v/>
      </c>
      <c r="H2053" s="14">
        <f>IF(D2053=0,"NO DATA",IF(D2053&gt;E2053*1.5,"OVER",IF(D2053&gt;E2053*1.1,"HIGH",IF(D2053&lt;E2053*0.5,"LOW","OK"))))</f>
        <v/>
      </c>
    </row>
    <row r="2054" ht="22" customHeight="1">
      <c r="B2054" s="8" t="inlineStr">
        <is>
          <t>MTR-WSH-002</t>
        </is>
      </c>
      <c r="C2054" s="8" t="inlineStr">
        <is>
          <t>2024-08-17</t>
        </is>
      </c>
      <c r="D2054" s="12" t="n">
        <v>23.49</v>
      </c>
      <c r="E2054" s="12" t="n">
        <v>30</v>
      </c>
      <c r="F2054" s="12">
        <f>ROUND(D2054-E2054,2)</f>
        <v/>
      </c>
      <c r="G2054" s="15">
        <f>IFERROR(ROUND(F2054/E2054,4),"")</f>
        <v/>
      </c>
      <c r="H2054" s="16">
        <f>IF(D2054=0,"NO DATA",IF(D2054&gt;E2054*1.5,"OVER",IF(D2054&gt;E2054*1.1,"HIGH",IF(D2054&lt;E2054*0.5,"LOW","OK"))))</f>
        <v/>
      </c>
    </row>
    <row r="2055" ht="22" customHeight="1">
      <c r="B2055" s="5" t="inlineStr">
        <is>
          <t>MTR-WSH-002</t>
        </is>
      </c>
      <c r="C2055" s="5" t="inlineStr">
        <is>
          <t>2024-08-18</t>
        </is>
      </c>
      <c r="D2055" s="11" t="n">
        <v>18.42</v>
      </c>
      <c r="E2055" s="11" t="n">
        <v>30</v>
      </c>
      <c r="F2055" s="11">
        <f>ROUND(D2055-E2055,2)</f>
        <v/>
      </c>
      <c r="G2055" s="13">
        <f>IFERROR(ROUND(F2055/E2055,4),"")</f>
        <v/>
      </c>
      <c r="H2055" s="14">
        <f>IF(D2055=0,"NO DATA",IF(D2055&gt;E2055*1.5,"OVER",IF(D2055&gt;E2055*1.1,"HIGH",IF(D2055&lt;E2055*0.5,"LOW","OK"))))</f>
        <v/>
      </c>
    </row>
    <row r="2056" ht="22" customHeight="1">
      <c r="B2056" s="8" t="inlineStr">
        <is>
          <t>MTR-WSH-002</t>
        </is>
      </c>
      <c r="C2056" s="8" t="inlineStr">
        <is>
          <t>2024-08-19</t>
        </is>
      </c>
      <c r="D2056" s="12" t="n">
        <v>32.98</v>
      </c>
      <c r="E2056" s="12" t="n">
        <v>30</v>
      </c>
      <c r="F2056" s="12">
        <f>ROUND(D2056-E2056,2)</f>
        <v/>
      </c>
      <c r="G2056" s="15">
        <f>IFERROR(ROUND(F2056/E2056,4),"")</f>
        <v/>
      </c>
      <c r="H2056" s="16">
        <f>IF(D2056=0,"NO DATA",IF(D2056&gt;E2056*1.5,"OVER",IF(D2056&gt;E2056*1.1,"HIGH",IF(D2056&lt;E2056*0.5,"LOW","OK"))))</f>
        <v/>
      </c>
    </row>
    <row r="2057" ht="22" customHeight="1">
      <c r="B2057" s="5" t="inlineStr">
        <is>
          <t>MTR-WSH-002</t>
        </is>
      </c>
      <c r="C2057" s="5" t="inlineStr">
        <is>
          <t>2024-08-20</t>
        </is>
      </c>
      <c r="D2057" s="11" t="n">
        <v>30.43</v>
      </c>
      <c r="E2057" s="11" t="n">
        <v>30</v>
      </c>
      <c r="F2057" s="11">
        <f>ROUND(D2057-E2057,2)</f>
        <v/>
      </c>
      <c r="G2057" s="13">
        <f>IFERROR(ROUND(F2057/E2057,4),"")</f>
        <v/>
      </c>
      <c r="H2057" s="14">
        <f>IF(D2057=0,"NO DATA",IF(D2057&gt;E2057*1.5,"OVER",IF(D2057&gt;E2057*1.1,"HIGH",IF(D2057&lt;E2057*0.5,"LOW","OK"))))</f>
        <v/>
      </c>
    </row>
    <row r="2058" ht="22" customHeight="1">
      <c r="B2058" s="8" t="inlineStr">
        <is>
          <t>MTR-WSH-002</t>
        </is>
      </c>
      <c r="C2058" s="8" t="inlineStr">
        <is>
          <t>2024-08-21</t>
        </is>
      </c>
      <c r="D2058" s="12" t="n">
        <v>31.36</v>
      </c>
      <c r="E2058" s="12" t="n">
        <v>30</v>
      </c>
      <c r="F2058" s="12">
        <f>ROUND(D2058-E2058,2)</f>
        <v/>
      </c>
      <c r="G2058" s="15">
        <f>IFERROR(ROUND(F2058/E2058,4),"")</f>
        <v/>
      </c>
      <c r="H2058" s="16">
        <f>IF(D2058=0,"NO DATA",IF(D2058&gt;E2058*1.5,"OVER",IF(D2058&gt;E2058*1.1,"HIGH",IF(D2058&lt;E2058*0.5,"LOW","OK"))))</f>
        <v/>
      </c>
    </row>
    <row r="2059" ht="22" customHeight="1">
      <c r="B2059" s="5" t="inlineStr">
        <is>
          <t>MTR-WSH-002</t>
        </is>
      </c>
      <c r="C2059" s="5" t="inlineStr">
        <is>
          <t>2024-08-22</t>
        </is>
      </c>
      <c r="D2059" s="11" t="n">
        <v>30.27</v>
      </c>
      <c r="E2059" s="11" t="n">
        <v>30</v>
      </c>
      <c r="F2059" s="11">
        <f>ROUND(D2059-E2059,2)</f>
        <v/>
      </c>
      <c r="G2059" s="13">
        <f>IFERROR(ROUND(F2059/E2059,4),"")</f>
        <v/>
      </c>
      <c r="H2059" s="14">
        <f>IF(D2059=0,"NO DATA",IF(D2059&gt;E2059*1.5,"OVER",IF(D2059&gt;E2059*1.1,"HIGH",IF(D2059&lt;E2059*0.5,"LOW","OK"))))</f>
        <v/>
      </c>
    </row>
    <row r="2060" ht="22" customHeight="1">
      <c r="B2060" s="8" t="inlineStr">
        <is>
          <t>MTR-WSH-002</t>
        </is>
      </c>
      <c r="C2060" s="8" t="inlineStr">
        <is>
          <t>2024-08-23</t>
        </is>
      </c>
      <c r="D2060" s="12" t="n">
        <v>34.02</v>
      </c>
      <c r="E2060" s="12" t="n">
        <v>30</v>
      </c>
      <c r="F2060" s="12">
        <f>ROUND(D2060-E2060,2)</f>
        <v/>
      </c>
      <c r="G2060" s="15">
        <f>IFERROR(ROUND(F2060/E2060,4),"")</f>
        <v/>
      </c>
      <c r="H2060" s="16">
        <f>IF(D2060=0,"NO DATA",IF(D2060&gt;E2060*1.5,"OVER",IF(D2060&gt;E2060*1.1,"HIGH",IF(D2060&lt;E2060*0.5,"LOW","OK"))))</f>
        <v/>
      </c>
    </row>
    <row r="2061" ht="22" customHeight="1">
      <c r="B2061" s="5" t="inlineStr">
        <is>
          <t>MTR-WSH-002</t>
        </is>
      </c>
      <c r="C2061" s="5" t="inlineStr">
        <is>
          <t>2024-08-24</t>
        </is>
      </c>
      <c r="D2061" s="11" t="n">
        <v>28.58</v>
      </c>
      <c r="E2061" s="11" t="n">
        <v>30</v>
      </c>
      <c r="F2061" s="11">
        <f>ROUND(D2061-E2061,2)</f>
        <v/>
      </c>
      <c r="G2061" s="13">
        <f>IFERROR(ROUND(F2061/E2061,4),"")</f>
        <v/>
      </c>
      <c r="H2061" s="14">
        <f>IF(D2061=0,"NO DATA",IF(D2061&gt;E2061*1.5,"OVER",IF(D2061&gt;E2061*1.1,"HIGH",IF(D2061&lt;E2061*0.5,"LOW","OK"))))</f>
        <v/>
      </c>
    </row>
    <row r="2062" ht="22" customHeight="1">
      <c r="B2062" s="8" t="inlineStr">
        <is>
          <t>MTR-WSH-002</t>
        </is>
      </c>
      <c r="C2062" s="8" t="inlineStr">
        <is>
          <t>2024-08-25</t>
        </is>
      </c>
      <c r="D2062" s="12" t="n">
        <v>18.4</v>
      </c>
      <c r="E2062" s="12" t="n">
        <v>30</v>
      </c>
      <c r="F2062" s="12">
        <f>ROUND(D2062-E2062,2)</f>
        <v/>
      </c>
      <c r="G2062" s="15">
        <f>IFERROR(ROUND(F2062/E2062,4),"")</f>
        <v/>
      </c>
      <c r="H2062" s="16">
        <f>IF(D2062=0,"NO DATA",IF(D2062&gt;E2062*1.5,"OVER",IF(D2062&gt;E2062*1.1,"HIGH",IF(D2062&lt;E2062*0.5,"LOW","OK"))))</f>
        <v/>
      </c>
    </row>
    <row r="2063" ht="22" customHeight="1">
      <c r="B2063" s="5" t="inlineStr">
        <is>
          <t>MTR-WSH-002</t>
        </is>
      </c>
      <c r="C2063" s="5" t="inlineStr">
        <is>
          <t>2024-08-26</t>
        </is>
      </c>
      <c r="D2063" s="11" t="n">
        <v>30.92</v>
      </c>
      <c r="E2063" s="11" t="n">
        <v>30</v>
      </c>
      <c r="F2063" s="11">
        <f>ROUND(D2063-E2063,2)</f>
        <v/>
      </c>
      <c r="G2063" s="13">
        <f>IFERROR(ROUND(F2063/E2063,4),"")</f>
        <v/>
      </c>
      <c r="H2063" s="14">
        <f>IF(D2063=0,"NO DATA",IF(D2063&gt;E2063*1.5,"OVER",IF(D2063&gt;E2063*1.1,"HIGH",IF(D2063&lt;E2063*0.5,"LOW","OK"))))</f>
        <v/>
      </c>
    </row>
    <row r="2064" ht="22" customHeight="1">
      <c r="B2064" s="8" t="inlineStr">
        <is>
          <t>MTR-WSH-002</t>
        </is>
      </c>
      <c r="C2064" s="8" t="inlineStr">
        <is>
          <t>2024-08-27</t>
        </is>
      </c>
      <c r="D2064" s="12" t="n">
        <v>34.09</v>
      </c>
      <c r="E2064" s="12" t="n">
        <v>30</v>
      </c>
      <c r="F2064" s="12">
        <f>ROUND(D2064-E2064,2)</f>
        <v/>
      </c>
      <c r="G2064" s="15">
        <f>IFERROR(ROUND(F2064/E2064,4),"")</f>
        <v/>
      </c>
      <c r="H2064" s="16">
        <f>IF(D2064=0,"NO DATA",IF(D2064&gt;E2064*1.5,"OVER",IF(D2064&gt;E2064*1.1,"HIGH",IF(D2064&lt;E2064*0.5,"LOW","OK"))))</f>
        <v/>
      </c>
    </row>
    <row r="2065" ht="22" customHeight="1">
      <c r="B2065" s="5" t="inlineStr">
        <is>
          <t>MTR-WSH-002</t>
        </is>
      </c>
      <c r="C2065" s="5" t="inlineStr">
        <is>
          <t>2024-08-28</t>
        </is>
      </c>
      <c r="D2065" s="11" t="n">
        <v>35.9</v>
      </c>
      <c r="E2065" s="11" t="n">
        <v>30</v>
      </c>
      <c r="F2065" s="11">
        <f>ROUND(D2065-E2065,2)</f>
        <v/>
      </c>
      <c r="G2065" s="13">
        <f>IFERROR(ROUND(F2065/E2065,4),"")</f>
        <v/>
      </c>
      <c r="H2065" s="14">
        <f>IF(D2065=0,"NO DATA",IF(D2065&gt;E2065*1.5,"OVER",IF(D2065&gt;E2065*1.1,"HIGH",IF(D2065&lt;E2065*0.5,"LOW","OK"))))</f>
        <v/>
      </c>
    </row>
    <row r="2066" ht="22" customHeight="1">
      <c r="B2066" s="8" t="inlineStr">
        <is>
          <t>MTR-WSH-002</t>
        </is>
      </c>
      <c r="C2066" s="8" t="inlineStr">
        <is>
          <t>2024-08-29</t>
        </is>
      </c>
      <c r="D2066" s="12" t="n">
        <v>33.92</v>
      </c>
      <c r="E2066" s="12" t="n">
        <v>30</v>
      </c>
      <c r="F2066" s="12">
        <f>ROUND(D2066-E2066,2)</f>
        <v/>
      </c>
      <c r="G2066" s="15">
        <f>IFERROR(ROUND(F2066/E2066,4),"")</f>
        <v/>
      </c>
      <c r="H2066" s="16">
        <f>IF(D2066=0,"NO DATA",IF(D2066&gt;E2066*1.5,"OVER",IF(D2066&gt;E2066*1.1,"HIGH",IF(D2066&lt;E2066*0.5,"LOW","OK"))))</f>
        <v/>
      </c>
    </row>
    <row r="2067" ht="22" customHeight="1">
      <c r="B2067" s="5" t="inlineStr">
        <is>
          <t>MTR-WSH-002</t>
        </is>
      </c>
      <c r="C2067" s="5" t="inlineStr">
        <is>
          <t>2024-08-30</t>
        </is>
      </c>
      <c r="D2067" s="11" t="n">
        <v>34.37</v>
      </c>
      <c r="E2067" s="11" t="n">
        <v>30</v>
      </c>
      <c r="F2067" s="11">
        <f>ROUND(D2067-E2067,2)</f>
        <v/>
      </c>
      <c r="G2067" s="13">
        <f>IFERROR(ROUND(F2067/E2067,4),"")</f>
        <v/>
      </c>
      <c r="H2067" s="14">
        <f>IF(D2067=0,"NO DATA",IF(D2067&gt;E2067*1.5,"OVER",IF(D2067&gt;E2067*1.1,"HIGH",IF(D2067&lt;E2067*0.5,"LOW","OK"))))</f>
        <v/>
      </c>
    </row>
    <row r="2068" ht="22" customHeight="1">
      <c r="B2068" s="8" t="inlineStr">
        <is>
          <t>MTR-WSH-002</t>
        </is>
      </c>
      <c r="C2068" s="8" t="inlineStr">
        <is>
          <t>2024-08-31</t>
        </is>
      </c>
      <c r="D2068" s="12" t="n">
        <v>31.18</v>
      </c>
      <c r="E2068" s="12" t="n">
        <v>30</v>
      </c>
      <c r="F2068" s="12">
        <f>ROUND(D2068-E2068,2)</f>
        <v/>
      </c>
      <c r="G2068" s="15">
        <f>IFERROR(ROUND(F2068/E2068,4),"")</f>
        <v/>
      </c>
      <c r="H2068" s="16">
        <f>IF(D2068=0,"NO DATA",IF(D2068&gt;E2068*1.5,"OVER",IF(D2068&gt;E2068*1.1,"HIGH",IF(D2068&lt;E2068*0.5,"LOW","OK"))))</f>
        <v/>
      </c>
    </row>
    <row r="2069" ht="22" customHeight="1">
      <c r="B2069" s="5" t="inlineStr">
        <is>
          <t>MTR-WSH-002</t>
        </is>
      </c>
      <c r="C2069" s="5" t="inlineStr">
        <is>
          <t>2024-09-01</t>
        </is>
      </c>
      <c r="D2069" s="11" t="n">
        <v>16.17</v>
      </c>
      <c r="E2069" s="11" t="n">
        <v>30</v>
      </c>
      <c r="F2069" s="11">
        <f>ROUND(D2069-E2069,2)</f>
        <v/>
      </c>
      <c r="G2069" s="13">
        <f>IFERROR(ROUND(F2069/E2069,4),"")</f>
        <v/>
      </c>
      <c r="H2069" s="14">
        <f>IF(D2069=0,"NO DATA",IF(D2069&gt;E2069*1.5,"OVER",IF(D2069&gt;E2069*1.1,"HIGH",IF(D2069&lt;E2069*0.5,"LOW","OK"))))</f>
        <v/>
      </c>
    </row>
    <row r="2070" ht="22" customHeight="1">
      <c r="B2070" s="8" t="inlineStr">
        <is>
          <t>MTR-WSH-002</t>
        </is>
      </c>
      <c r="C2070" s="8" t="inlineStr">
        <is>
          <t>2024-09-02</t>
        </is>
      </c>
      <c r="D2070" s="12" t="n">
        <v>35.65</v>
      </c>
      <c r="E2070" s="12" t="n">
        <v>30</v>
      </c>
      <c r="F2070" s="12">
        <f>ROUND(D2070-E2070,2)</f>
        <v/>
      </c>
      <c r="G2070" s="15">
        <f>IFERROR(ROUND(F2070/E2070,4),"")</f>
        <v/>
      </c>
      <c r="H2070" s="16">
        <f>IF(D2070=0,"NO DATA",IF(D2070&gt;E2070*1.5,"OVER",IF(D2070&gt;E2070*1.1,"HIGH",IF(D2070&lt;E2070*0.5,"LOW","OK"))))</f>
        <v/>
      </c>
    </row>
    <row r="2071" ht="22" customHeight="1">
      <c r="B2071" s="5" t="inlineStr">
        <is>
          <t>MTR-WSH-002</t>
        </is>
      </c>
      <c r="C2071" s="5" t="inlineStr">
        <is>
          <t>2024-09-03</t>
        </is>
      </c>
      <c r="D2071" s="11" t="n">
        <v>36.63</v>
      </c>
      <c r="E2071" s="11" t="n">
        <v>30</v>
      </c>
      <c r="F2071" s="11">
        <f>ROUND(D2071-E2071,2)</f>
        <v/>
      </c>
      <c r="G2071" s="13">
        <f>IFERROR(ROUND(F2071/E2071,4),"")</f>
        <v/>
      </c>
      <c r="H2071" s="14">
        <f>IF(D2071=0,"NO DATA",IF(D2071&gt;E2071*1.5,"OVER",IF(D2071&gt;E2071*1.1,"HIGH",IF(D2071&lt;E2071*0.5,"LOW","OK"))))</f>
        <v/>
      </c>
    </row>
    <row r="2072" ht="22" customHeight="1">
      <c r="B2072" s="8" t="inlineStr">
        <is>
          <t>MTR-WSH-002</t>
        </is>
      </c>
      <c r="C2072" s="8" t="inlineStr">
        <is>
          <t>2024-09-04</t>
        </is>
      </c>
      <c r="D2072" s="12" t="n">
        <v>33.8</v>
      </c>
      <c r="E2072" s="12" t="n">
        <v>30</v>
      </c>
      <c r="F2072" s="12">
        <f>ROUND(D2072-E2072,2)</f>
        <v/>
      </c>
      <c r="G2072" s="15">
        <f>IFERROR(ROUND(F2072/E2072,4),"")</f>
        <v/>
      </c>
      <c r="H2072" s="16">
        <f>IF(D2072=0,"NO DATA",IF(D2072&gt;E2072*1.5,"OVER",IF(D2072&gt;E2072*1.1,"HIGH",IF(D2072&lt;E2072*0.5,"LOW","OK"))))</f>
        <v/>
      </c>
    </row>
    <row r="2073" ht="22" customHeight="1">
      <c r="B2073" s="5" t="inlineStr">
        <is>
          <t>MTR-WSH-002</t>
        </is>
      </c>
      <c r="C2073" s="5" t="inlineStr">
        <is>
          <t>2024-09-05</t>
        </is>
      </c>
      <c r="D2073" s="11" t="n">
        <v>30.77</v>
      </c>
      <c r="E2073" s="11" t="n">
        <v>30</v>
      </c>
      <c r="F2073" s="11">
        <f>ROUND(D2073-E2073,2)</f>
        <v/>
      </c>
      <c r="G2073" s="13">
        <f>IFERROR(ROUND(F2073/E2073,4),"")</f>
        <v/>
      </c>
      <c r="H2073" s="14">
        <f>IF(D2073=0,"NO DATA",IF(D2073&gt;E2073*1.5,"OVER",IF(D2073&gt;E2073*1.1,"HIGH",IF(D2073&lt;E2073*0.5,"LOW","OK"))))</f>
        <v/>
      </c>
    </row>
    <row r="2074" ht="22" customHeight="1">
      <c r="B2074" s="8" t="inlineStr">
        <is>
          <t>MTR-WSH-002</t>
        </is>
      </c>
      <c r="C2074" s="8" t="inlineStr">
        <is>
          <t>2024-09-06</t>
        </is>
      </c>
      <c r="D2074" s="12" t="n">
        <v>37.5</v>
      </c>
      <c r="E2074" s="12" t="n">
        <v>30</v>
      </c>
      <c r="F2074" s="12">
        <f>ROUND(D2074-E2074,2)</f>
        <v/>
      </c>
      <c r="G2074" s="15">
        <f>IFERROR(ROUND(F2074/E2074,4),"")</f>
        <v/>
      </c>
      <c r="H2074" s="16">
        <f>IF(D2074=0,"NO DATA",IF(D2074&gt;E2074*1.5,"OVER",IF(D2074&gt;E2074*1.1,"HIGH",IF(D2074&lt;E2074*0.5,"LOW","OK"))))</f>
        <v/>
      </c>
    </row>
    <row r="2075" ht="22" customHeight="1">
      <c r="B2075" s="5" t="inlineStr">
        <is>
          <t>MTR-WSH-002</t>
        </is>
      </c>
      <c r="C2075" s="5" t="inlineStr">
        <is>
          <t>2024-09-07</t>
        </is>
      </c>
      <c r="D2075" s="11" t="n">
        <v>28.75</v>
      </c>
      <c r="E2075" s="11" t="n">
        <v>30</v>
      </c>
      <c r="F2075" s="11">
        <f>ROUND(D2075-E2075,2)</f>
        <v/>
      </c>
      <c r="G2075" s="13">
        <f>IFERROR(ROUND(F2075/E2075,4),"")</f>
        <v/>
      </c>
      <c r="H2075" s="14">
        <f>IF(D2075=0,"NO DATA",IF(D2075&gt;E2075*1.5,"OVER",IF(D2075&gt;E2075*1.1,"HIGH",IF(D2075&lt;E2075*0.5,"LOW","OK"))))</f>
        <v/>
      </c>
    </row>
    <row r="2076" ht="22" customHeight="1">
      <c r="B2076" s="8" t="inlineStr">
        <is>
          <t>MTR-WSH-002</t>
        </is>
      </c>
      <c r="C2076" s="8" t="inlineStr">
        <is>
          <t>2024-09-08</t>
        </is>
      </c>
      <c r="D2076" s="12" t="n">
        <v>16.75</v>
      </c>
      <c r="E2076" s="12" t="n">
        <v>30</v>
      </c>
      <c r="F2076" s="12">
        <f>ROUND(D2076-E2076,2)</f>
        <v/>
      </c>
      <c r="G2076" s="15">
        <f>IFERROR(ROUND(F2076/E2076,4),"")</f>
        <v/>
      </c>
      <c r="H2076" s="16">
        <f>IF(D2076=0,"NO DATA",IF(D2076&gt;E2076*1.5,"OVER",IF(D2076&gt;E2076*1.1,"HIGH",IF(D2076&lt;E2076*0.5,"LOW","OK"))))</f>
        <v/>
      </c>
    </row>
    <row r="2077" ht="22" customHeight="1">
      <c r="B2077" s="5" t="inlineStr">
        <is>
          <t>MTR-WSH-002</t>
        </is>
      </c>
      <c r="C2077" s="5" t="inlineStr">
        <is>
          <t>2024-09-09</t>
        </is>
      </c>
      <c r="D2077" s="11" t="n">
        <v>34.26</v>
      </c>
      <c r="E2077" s="11" t="n">
        <v>30</v>
      </c>
      <c r="F2077" s="11">
        <f>ROUND(D2077-E2077,2)</f>
        <v/>
      </c>
      <c r="G2077" s="13">
        <f>IFERROR(ROUND(F2077/E2077,4),"")</f>
        <v/>
      </c>
      <c r="H2077" s="14">
        <f>IF(D2077=0,"NO DATA",IF(D2077&gt;E2077*1.5,"OVER",IF(D2077&gt;E2077*1.1,"HIGH",IF(D2077&lt;E2077*0.5,"LOW","OK"))))</f>
        <v/>
      </c>
    </row>
    <row r="2078" ht="22" customHeight="1">
      <c r="B2078" s="8" t="inlineStr">
        <is>
          <t>MTR-WSH-002</t>
        </is>
      </c>
      <c r="C2078" s="8" t="inlineStr">
        <is>
          <t>2024-09-10</t>
        </is>
      </c>
      <c r="D2078" s="12" t="n">
        <v>31.33</v>
      </c>
      <c r="E2078" s="12" t="n">
        <v>30</v>
      </c>
      <c r="F2078" s="12">
        <f>ROUND(D2078-E2078,2)</f>
        <v/>
      </c>
      <c r="G2078" s="15">
        <f>IFERROR(ROUND(F2078/E2078,4),"")</f>
        <v/>
      </c>
      <c r="H2078" s="16">
        <f>IF(D2078=0,"NO DATA",IF(D2078&gt;E2078*1.5,"OVER",IF(D2078&gt;E2078*1.1,"HIGH",IF(D2078&lt;E2078*0.5,"LOW","OK"))))</f>
        <v/>
      </c>
    </row>
    <row r="2079" ht="22" customHeight="1">
      <c r="B2079" s="5" t="inlineStr">
        <is>
          <t>MTR-WSH-002</t>
        </is>
      </c>
      <c r="C2079" s="5" t="inlineStr">
        <is>
          <t>2024-09-11</t>
        </is>
      </c>
      <c r="D2079" s="11" t="n">
        <v>32.35</v>
      </c>
      <c r="E2079" s="11" t="n">
        <v>30</v>
      </c>
      <c r="F2079" s="11">
        <f>ROUND(D2079-E2079,2)</f>
        <v/>
      </c>
      <c r="G2079" s="13">
        <f>IFERROR(ROUND(F2079/E2079,4),"")</f>
        <v/>
      </c>
      <c r="H2079" s="14">
        <f>IF(D2079=0,"NO DATA",IF(D2079&gt;E2079*1.5,"OVER",IF(D2079&gt;E2079*1.1,"HIGH",IF(D2079&lt;E2079*0.5,"LOW","OK"))))</f>
        <v/>
      </c>
    </row>
    <row r="2080" ht="22" customHeight="1">
      <c r="B2080" s="8" t="inlineStr">
        <is>
          <t>MTR-WSH-002</t>
        </is>
      </c>
      <c r="C2080" s="8" t="inlineStr">
        <is>
          <t>2024-09-12</t>
        </is>
      </c>
      <c r="D2080" s="12" t="n">
        <v>30.46</v>
      </c>
      <c r="E2080" s="12" t="n">
        <v>30</v>
      </c>
      <c r="F2080" s="12">
        <f>ROUND(D2080-E2080,2)</f>
        <v/>
      </c>
      <c r="G2080" s="15">
        <f>IFERROR(ROUND(F2080/E2080,4),"")</f>
        <v/>
      </c>
      <c r="H2080" s="16">
        <f>IF(D2080=0,"NO DATA",IF(D2080&gt;E2080*1.5,"OVER",IF(D2080&gt;E2080*1.1,"HIGH",IF(D2080&lt;E2080*0.5,"LOW","OK"))))</f>
        <v/>
      </c>
    </row>
    <row r="2081" ht="22" customHeight="1">
      <c r="B2081" s="5" t="inlineStr">
        <is>
          <t>MTR-WSH-002</t>
        </is>
      </c>
      <c r="C2081" s="5" t="inlineStr">
        <is>
          <t>2024-09-13</t>
        </is>
      </c>
      <c r="D2081" s="11" t="n">
        <v>34.94</v>
      </c>
      <c r="E2081" s="11" t="n">
        <v>30</v>
      </c>
      <c r="F2081" s="11">
        <f>ROUND(D2081-E2081,2)</f>
        <v/>
      </c>
      <c r="G2081" s="13">
        <f>IFERROR(ROUND(F2081/E2081,4),"")</f>
        <v/>
      </c>
      <c r="H2081" s="14">
        <f>IF(D2081=0,"NO DATA",IF(D2081&gt;E2081*1.5,"OVER",IF(D2081&gt;E2081*1.1,"HIGH",IF(D2081&lt;E2081*0.5,"LOW","OK"))))</f>
        <v/>
      </c>
    </row>
    <row r="2082" ht="22" customHeight="1">
      <c r="B2082" s="8" t="inlineStr">
        <is>
          <t>MTR-WSH-002</t>
        </is>
      </c>
      <c r="C2082" s="8" t="inlineStr">
        <is>
          <t>2024-09-14</t>
        </is>
      </c>
      <c r="D2082" s="12" t="n">
        <v>30.56</v>
      </c>
      <c r="E2082" s="12" t="n">
        <v>30</v>
      </c>
      <c r="F2082" s="12">
        <f>ROUND(D2082-E2082,2)</f>
        <v/>
      </c>
      <c r="G2082" s="15">
        <f>IFERROR(ROUND(F2082/E2082,4),"")</f>
        <v/>
      </c>
      <c r="H2082" s="16">
        <f>IF(D2082=0,"NO DATA",IF(D2082&gt;E2082*1.5,"OVER",IF(D2082&gt;E2082*1.1,"HIGH",IF(D2082&lt;E2082*0.5,"LOW","OK"))))</f>
        <v/>
      </c>
    </row>
    <row r="2083" ht="22" customHeight="1">
      <c r="B2083" s="5" t="inlineStr">
        <is>
          <t>MTR-WSH-002</t>
        </is>
      </c>
      <c r="C2083" s="5" t="inlineStr">
        <is>
          <t>2024-09-15</t>
        </is>
      </c>
      <c r="D2083" s="11" t="n">
        <v>16.64</v>
      </c>
      <c r="E2083" s="11" t="n">
        <v>30</v>
      </c>
      <c r="F2083" s="11">
        <f>ROUND(D2083-E2083,2)</f>
        <v/>
      </c>
      <c r="G2083" s="13">
        <f>IFERROR(ROUND(F2083/E2083,4),"")</f>
        <v/>
      </c>
      <c r="H2083" s="14">
        <f>IF(D2083=0,"NO DATA",IF(D2083&gt;E2083*1.5,"OVER",IF(D2083&gt;E2083*1.1,"HIGH",IF(D2083&lt;E2083*0.5,"LOW","OK"))))</f>
        <v/>
      </c>
    </row>
    <row r="2084" ht="22" customHeight="1">
      <c r="B2084" s="8" t="inlineStr">
        <is>
          <t>MTR-WSH-002</t>
        </is>
      </c>
      <c r="C2084" s="8" t="inlineStr">
        <is>
          <t>2024-09-16</t>
        </is>
      </c>
      <c r="D2084" s="12" t="n">
        <v>34.19</v>
      </c>
      <c r="E2084" s="12" t="n">
        <v>30</v>
      </c>
      <c r="F2084" s="12">
        <f>ROUND(D2084-E2084,2)</f>
        <v/>
      </c>
      <c r="G2084" s="15">
        <f>IFERROR(ROUND(F2084/E2084,4),"")</f>
        <v/>
      </c>
      <c r="H2084" s="16">
        <f>IF(D2084=0,"NO DATA",IF(D2084&gt;E2084*1.5,"OVER",IF(D2084&gt;E2084*1.1,"HIGH",IF(D2084&lt;E2084*0.5,"LOW","OK"))))</f>
        <v/>
      </c>
    </row>
    <row r="2085" ht="22" customHeight="1">
      <c r="B2085" s="5" t="inlineStr">
        <is>
          <t>MTR-WSH-002</t>
        </is>
      </c>
      <c r="C2085" s="5" t="inlineStr">
        <is>
          <t>2024-09-17</t>
        </is>
      </c>
      <c r="D2085" s="11" t="n">
        <v>31.46</v>
      </c>
      <c r="E2085" s="11" t="n">
        <v>30</v>
      </c>
      <c r="F2085" s="11">
        <f>ROUND(D2085-E2085,2)</f>
        <v/>
      </c>
      <c r="G2085" s="13">
        <f>IFERROR(ROUND(F2085/E2085,4),"")</f>
        <v/>
      </c>
      <c r="H2085" s="14">
        <f>IF(D2085=0,"NO DATA",IF(D2085&gt;E2085*1.5,"OVER",IF(D2085&gt;E2085*1.1,"HIGH",IF(D2085&lt;E2085*0.5,"LOW","OK"))))</f>
        <v/>
      </c>
    </row>
    <row r="2086" ht="22" customHeight="1">
      <c r="B2086" s="8" t="inlineStr">
        <is>
          <t>MTR-WSH-002</t>
        </is>
      </c>
      <c r="C2086" s="8" t="inlineStr">
        <is>
          <t>2024-09-18</t>
        </is>
      </c>
      <c r="D2086" s="12" t="n">
        <v>28.25</v>
      </c>
      <c r="E2086" s="12" t="n">
        <v>30</v>
      </c>
      <c r="F2086" s="12">
        <f>ROUND(D2086-E2086,2)</f>
        <v/>
      </c>
      <c r="G2086" s="15">
        <f>IFERROR(ROUND(F2086/E2086,4),"")</f>
        <v/>
      </c>
      <c r="H2086" s="16">
        <f>IF(D2086=0,"NO DATA",IF(D2086&gt;E2086*1.5,"OVER",IF(D2086&gt;E2086*1.1,"HIGH",IF(D2086&lt;E2086*0.5,"LOW","OK"))))</f>
        <v/>
      </c>
    </row>
    <row r="2087" ht="22" customHeight="1">
      <c r="B2087" s="5" t="inlineStr">
        <is>
          <t>MTR-WSH-002</t>
        </is>
      </c>
      <c r="C2087" s="5" t="inlineStr">
        <is>
          <t>2024-09-19</t>
        </is>
      </c>
      <c r="D2087" s="11" t="n">
        <v>32.88</v>
      </c>
      <c r="E2087" s="11" t="n">
        <v>30</v>
      </c>
      <c r="F2087" s="11">
        <f>ROUND(D2087-E2087,2)</f>
        <v/>
      </c>
      <c r="G2087" s="13">
        <f>IFERROR(ROUND(F2087/E2087,4),"")</f>
        <v/>
      </c>
      <c r="H2087" s="14">
        <f>IF(D2087=0,"NO DATA",IF(D2087&gt;E2087*1.5,"OVER",IF(D2087&gt;E2087*1.1,"HIGH",IF(D2087&lt;E2087*0.5,"LOW","OK"))))</f>
        <v/>
      </c>
    </row>
    <row r="2088" ht="22" customHeight="1">
      <c r="B2088" s="8" t="inlineStr">
        <is>
          <t>MTR-WSH-002</t>
        </is>
      </c>
      <c r="C2088" s="8" t="inlineStr">
        <is>
          <t>2024-09-20</t>
        </is>
      </c>
      <c r="D2088" s="12" t="n">
        <v>32.15</v>
      </c>
      <c r="E2088" s="12" t="n">
        <v>30</v>
      </c>
      <c r="F2088" s="12">
        <f>ROUND(D2088-E2088,2)</f>
        <v/>
      </c>
      <c r="G2088" s="15">
        <f>IFERROR(ROUND(F2088/E2088,4),"")</f>
        <v/>
      </c>
      <c r="H2088" s="16">
        <f>IF(D2088=0,"NO DATA",IF(D2088&gt;E2088*1.5,"OVER",IF(D2088&gt;E2088*1.1,"HIGH",IF(D2088&lt;E2088*0.5,"LOW","OK"))))</f>
        <v/>
      </c>
    </row>
    <row r="2089" ht="22" customHeight="1">
      <c r="B2089" s="5" t="inlineStr">
        <is>
          <t>MTR-WSH-002</t>
        </is>
      </c>
      <c r="C2089" s="5" t="inlineStr">
        <is>
          <t>2024-09-21</t>
        </is>
      </c>
      <c r="D2089" s="11" t="n">
        <v>30.24</v>
      </c>
      <c r="E2089" s="11" t="n">
        <v>30</v>
      </c>
      <c r="F2089" s="11">
        <f>ROUND(D2089-E2089,2)</f>
        <v/>
      </c>
      <c r="G2089" s="13">
        <f>IFERROR(ROUND(F2089/E2089,4),"")</f>
        <v/>
      </c>
      <c r="H2089" s="14">
        <f>IF(D2089=0,"NO DATA",IF(D2089&gt;E2089*1.5,"OVER",IF(D2089&gt;E2089*1.1,"HIGH",IF(D2089&lt;E2089*0.5,"LOW","OK"))))</f>
        <v/>
      </c>
    </row>
    <row r="2090" ht="22" customHeight="1">
      <c r="B2090" s="8" t="inlineStr">
        <is>
          <t>MTR-WSH-002</t>
        </is>
      </c>
      <c r="C2090" s="8" t="inlineStr">
        <is>
          <t>2024-09-22</t>
        </is>
      </c>
      <c r="D2090" s="12" t="n">
        <v>16.1</v>
      </c>
      <c r="E2090" s="12" t="n">
        <v>30</v>
      </c>
      <c r="F2090" s="12">
        <f>ROUND(D2090-E2090,2)</f>
        <v/>
      </c>
      <c r="G2090" s="15">
        <f>IFERROR(ROUND(F2090/E2090,4),"")</f>
        <v/>
      </c>
      <c r="H2090" s="16">
        <f>IF(D2090=0,"NO DATA",IF(D2090&gt;E2090*1.5,"OVER",IF(D2090&gt;E2090*1.1,"HIGH",IF(D2090&lt;E2090*0.5,"LOW","OK"))))</f>
        <v/>
      </c>
    </row>
    <row r="2091" ht="22" customHeight="1">
      <c r="B2091" s="5" t="inlineStr">
        <is>
          <t>MTR-WSH-002</t>
        </is>
      </c>
      <c r="C2091" s="5" t="inlineStr">
        <is>
          <t>2024-09-23</t>
        </is>
      </c>
      <c r="D2091" s="11" t="n">
        <v>31.05</v>
      </c>
      <c r="E2091" s="11" t="n">
        <v>30</v>
      </c>
      <c r="F2091" s="11">
        <f>ROUND(D2091-E2091,2)</f>
        <v/>
      </c>
      <c r="G2091" s="13">
        <f>IFERROR(ROUND(F2091/E2091,4),"")</f>
        <v/>
      </c>
      <c r="H2091" s="14">
        <f>IF(D2091=0,"NO DATA",IF(D2091&gt;E2091*1.5,"OVER",IF(D2091&gt;E2091*1.1,"HIGH",IF(D2091&lt;E2091*0.5,"LOW","OK"))))</f>
        <v/>
      </c>
    </row>
    <row r="2092" ht="22" customHeight="1">
      <c r="B2092" s="8" t="inlineStr">
        <is>
          <t>MTR-WSH-002</t>
        </is>
      </c>
      <c r="C2092" s="8" t="inlineStr">
        <is>
          <t>2024-09-24</t>
        </is>
      </c>
      <c r="D2092" s="12" t="n">
        <v>35.32</v>
      </c>
      <c r="E2092" s="12" t="n">
        <v>30</v>
      </c>
      <c r="F2092" s="12">
        <f>ROUND(D2092-E2092,2)</f>
        <v/>
      </c>
      <c r="G2092" s="15">
        <f>IFERROR(ROUND(F2092/E2092,4),"")</f>
        <v/>
      </c>
      <c r="H2092" s="16">
        <f>IF(D2092=0,"NO DATA",IF(D2092&gt;E2092*1.5,"OVER",IF(D2092&gt;E2092*1.1,"HIGH",IF(D2092&lt;E2092*0.5,"LOW","OK"))))</f>
        <v/>
      </c>
    </row>
    <row r="2093" ht="22" customHeight="1">
      <c r="B2093" s="5" t="inlineStr">
        <is>
          <t>MTR-WSH-002</t>
        </is>
      </c>
      <c r="C2093" s="5" t="inlineStr">
        <is>
          <t>2024-09-25</t>
        </is>
      </c>
      <c r="D2093" s="11" t="n">
        <v>30.55</v>
      </c>
      <c r="E2093" s="11" t="n">
        <v>30</v>
      </c>
      <c r="F2093" s="11">
        <f>ROUND(D2093-E2093,2)</f>
        <v/>
      </c>
      <c r="G2093" s="13">
        <f>IFERROR(ROUND(F2093/E2093,4),"")</f>
        <v/>
      </c>
      <c r="H2093" s="14">
        <f>IF(D2093=0,"NO DATA",IF(D2093&gt;E2093*1.5,"OVER",IF(D2093&gt;E2093*1.1,"HIGH",IF(D2093&lt;E2093*0.5,"LOW","OK"))))</f>
        <v/>
      </c>
    </row>
    <row r="2094" ht="22" customHeight="1">
      <c r="B2094" s="8" t="inlineStr">
        <is>
          <t>MTR-WSH-002</t>
        </is>
      </c>
      <c r="C2094" s="8" t="inlineStr">
        <is>
          <t>2024-09-26</t>
        </is>
      </c>
      <c r="D2094" s="12" t="n">
        <v>30.59</v>
      </c>
      <c r="E2094" s="12" t="n">
        <v>30</v>
      </c>
      <c r="F2094" s="12">
        <f>ROUND(D2094-E2094,2)</f>
        <v/>
      </c>
      <c r="G2094" s="15">
        <f>IFERROR(ROUND(F2094/E2094,4),"")</f>
        <v/>
      </c>
      <c r="H2094" s="16">
        <f>IF(D2094=0,"NO DATA",IF(D2094&gt;E2094*1.5,"OVER",IF(D2094&gt;E2094*1.1,"HIGH",IF(D2094&lt;E2094*0.5,"LOW","OK"))))</f>
        <v/>
      </c>
    </row>
    <row r="2095" ht="22" customHeight="1">
      <c r="B2095" s="5" t="inlineStr">
        <is>
          <t>MTR-WSH-002</t>
        </is>
      </c>
      <c r="C2095" s="5" t="inlineStr">
        <is>
          <t>2024-09-27</t>
        </is>
      </c>
      <c r="D2095" s="11" t="n">
        <v>36.82</v>
      </c>
      <c r="E2095" s="11" t="n">
        <v>30</v>
      </c>
      <c r="F2095" s="11">
        <f>ROUND(D2095-E2095,2)</f>
        <v/>
      </c>
      <c r="G2095" s="13">
        <f>IFERROR(ROUND(F2095/E2095,4),"")</f>
        <v/>
      </c>
      <c r="H2095" s="14">
        <f>IF(D2095=0,"NO DATA",IF(D2095&gt;E2095*1.5,"OVER",IF(D2095&gt;E2095*1.1,"HIGH",IF(D2095&lt;E2095*0.5,"LOW","OK"))))</f>
        <v/>
      </c>
    </row>
    <row r="2096" ht="22" customHeight="1">
      <c r="B2096" s="8" t="inlineStr">
        <is>
          <t>MTR-WSH-002</t>
        </is>
      </c>
      <c r="C2096" s="8" t="inlineStr">
        <is>
          <t>2024-09-28</t>
        </is>
      </c>
      <c r="D2096" s="12" t="n">
        <v>24.09</v>
      </c>
      <c r="E2096" s="12" t="n">
        <v>30</v>
      </c>
      <c r="F2096" s="12">
        <f>ROUND(D2096-E2096,2)</f>
        <v/>
      </c>
      <c r="G2096" s="15">
        <f>IFERROR(ROUND(F2096/E2096,4),"")</f>
        <v/>
      </c>
      <c r="H2096" s="16">
        <f>IF(D2096=0,"NO DATA",IF(D2096&gt;E2096*1.5,"OVER",IF(D2096&gt;E2096*1.1,"HIGH",IF(D2096&lt;E2096*0.5,"LOW","OK"))))</f>
        <v/>
      </c>
    </row>
    <row r="2097" ht="22" customHeight="1">
      <c r="B2097" s="5" t="inlineStr">
        <is>
          <t>MTR-WSH-002</t>
        </is>
      </c>
      <c r="C2097" s="5" t="inlineStr">
        <is>
          <t>2024-09-29</t>
        </is>
      </c>
      <c r="D2097" s="11" t="n">
        <v>17.62</v>
      </c>
      <c r="E2097" s="11" t="n">
        <v>30</v>
      </c>
      <c r="F2097" s="11">
        <f>ROUND(D2097-E2097,2)</f>
        <v/>
      </c>
      <c r="G2097" s="13">
        <f>IFERROR(ROUND(F2097/E2097,4),"")</f>
        <v/>
      </c>
      <c r="H2097" s="14">
        <f>IF(D2097=0,"NO DATA",IF(D2097&gt;E2097*1.5,"OVER",IF(D2097&gt;E2097*1.1,"HIGH",IF(D2097&lt;E2097*0.5,"LOW","OK"))))</f>
        <v/>
      </c>
    </row>
    <row r="2098" ht="22" customHeight="1">
      <c r="B2098" s="8" t="inlineStr">
        <is>
          <t>MTR-WSH-002</t>
        </is>
      </c>
      <c r="C2098" s="8" t="inlineStr">
        <is>
          <t>2024-09-30</t>
        </is>
      </c>
      <c r="D2098" s="12" t="n">
        <v>31.22</v>
      </c>
      <c r="E2098" s="12" t="n">
        <v>30</v>
      </c>
      <c r="F2098" s="12">
        <f>ROUND(D2098-E2098,2)</f>
        <v/>
      </c>
      <c r="G2098" s="15">
        <f>IFERROR(ROUND(F2098/E2098,4),"")</f>
        <v/>
      </c>
      <c r="H2098" s="16">
        <f>IF(D2098=0,"NO DATA",IF(D2098&gt;E2098*1.5,"OVER",IF(D2098&gt;E2098*1.1,"HIGH",IF(D2098&lt;E2098*0.5,"LOW","OK"))))</f>
        <v/>
      </c>
    </row>
    <row r="2099" ht="22" customHeight="1">
      <c r="B2099" s="5" t="inlineStr">
        <is>
          <t>MTR-WSH-002</t>
        </is>
      </c>
      <c r="C2099" s="5" t="inlineStr">
        <is>
          <t>2024-10-01</t>
        </is>
      </c>
      <c r="D2099" s="11" t="n">
        <v>36.83</v>
      </c>
      <c r="E2099" s="11" t="n">
        <v>30</v>
      </c>
      <c r="F2099" s="11">
        <f>ROUND(D2099-E2099,2)</f>
        <v/>
      </c>
      <c r="G2099" s="13">
        <f>IFERROR(ROUND(F2099/E2099,4),"")</f>
        <v/>
      </c>
      <c r="H2099" s="14">
        <f>IF(D2099=0,"NO DATA",IF(D2099&gt;E2099*1.5,"OVER",IF(D2099&gt;E2099*1.1,"HIGH",IF(D2099&lt;E2099*0.5,"LOW","OK"))))</f>
        <v/>
      </c>
    </row>
    <row r="2100" ht="22" customHeight="1">
      <c r="B2100" s="8" t="inlineStr">
        <is>
          <t>MTR-WSH-002</t>
        </is>
      </c>
      <c r="C2100" s="8" t="inlineStr">
        <is>
          <t>2024-10-02</t>
        </is>
      </c>
      <c r="D2100" s="12" t="n">
        <v>35.67</v>
      </c>
      <c r="E2100" s="12" t="n">
        <v>30</v>
      </c>
      <c r="F2100" s="12">
        <f>ROUND(D2100-E2100,2)</f>
        <v/>
      </c>
      <c r="G2100" s="15">
        <f>IFERROR(ROUND(F2100/E2100,4),"")</f>
        <v/>
      </c>
      <c r="H2100" s="16">
        <f>IF(D2100=0,"NO DATA",IF(D2100&gt;E2100*1.5,"OVER",IF(D2100&gt;E2100*1.1,"HIGH",IF(D2100&lt;E2100*0.5,"LOW","OK"))))</f>
        <v/>
      </c>
    </row>
    <row r="2101" ht="22" customHeight="1">
      <c r="B2101" s="5" t="inlineStr">
        <is>
          <t>MTR-WSH-002</t>
        </is>
      </c>
      <c r="C2101" s="5" t="inlineStr">
        <is>
          <t>2024-10-03</t>
        </is>
      </c>
      <c r="D2101" s="11" t="n">
        <v>36.59</v>
      </c>
      <c r="E2101" s="11" t="n">
        <v>30</v>
      </c>
      <c r="F2101" s="11">
        <f>ROUND(D2101-E2101,2)</f>
        <v/>
      </c>
      <c r="G2101" s="13">
        <f>IFERROR(ROUND(F2101/E2101,4),"")</f>
        <v/>
      </c>
      <c r="H2101" s="14">
        <f>IF(D2101=0,"NO DATA",IF(D2101&gt;E2101*1.5,"OVER",IF(D2101&gt;E2101*1.1,"HIGH",IF(D2101&lt;E2101*0.5,"LOW","OK"))))</f>
        <v/>
      </c>
    </row>
    <row r="2102" ht="22" customHeight="1">
      <c r="B2102" s="8" t="inlineStr">
        <is>
          <t>MTR-WSH-002</t>
        </is>
      </c>
      <c r="C2102" s="8" t="inlineStr">
        <is>
          <t>2024-10-04</t>
        </is>
      </c>
      <c r="D2102" s="12" t="n">
        <v>28.06</v>
      </c>
      <c r="E2102" s="12" t="n">
        <v>30</v>
      </c>
      <c r="F2102" s="12">
        <f>ROUND(D2102-E2102,2)</f>
        <v/>
      </c>
      <c r="G2102" s="15">
        <f>IFERROR(ROUND(F2102/E2102,4),"")</f>
        <v/>
      </c>
      <c r="H2102" s="16">
        <f>IF(D2102=0,"NO DATA",IF(D2102&gt;E2102*1.5,"OVER",IF(D2102&gt;E2102*1.1,"HIGH",IF(D2102&lt;E2102*0.5,"LOW","OK"))))</f>
        <v/>
      </c>
    </row>
    <row r="2103" ht="22" customHeight="1">
      <c r="B2103" s="5" t="inlineStr">
        <is>
          <t>MTR-WSH-002</t>
        </is>
      </c>
      <c r="C2103" s="5" t="inlineStr">
        <is>
          <t>2024-10-05</t>
        </is>
      </c>
      <c r="D2103" s="11" t="n">
        <v>28.67</v>
      </c>
      <c r="E2103" s="11" t="n">
        <v>30</v>
      </c>
      <c r="F2103" s="11">
        <f>ROUND(D2103-E2103,2)</f>
        <v/>
      </c>
      <c r="G2103" s="13">
        <f>IFERROR(ROUND(F2103/E2103,4),"")</f>
        <v/>
      </c>
      <c r="H2103" s="14">
        <f>IF(D2103=0,"NO DATA",IF(D2103&gt;E2103*1.5,"OVER",IF(D2103&gt;E2103*1.1,"HIGH",IF(D2103&lt;E2103*0.5,"LOW","OK"))))</f>
        <v/>
      </c>
    </row>
    <row r="2104" ht="22" customHeight="1">
      <c r="B2104" s="8" t="inlineStr">
        <is>
          <t>MTR-WSH-002</t>
        </is>
      </c>
      <c r="C2104" s="8" t="inlineStr">
        <is>
          <t>2024-10-06</t>
        </is>
      </c>
      <c r="D2104" s="12" t="n">
        <v>14.82</v>
      </c>
      <c r="E2104" s="12" t="n">
        <v>30</v>
      </c>
      <c r="F2104" s="12">
        <f>ROUND(D2104-E2104,2)</f>
        <v/>
      </c>
      <c r="G2104" s="15">
        <f>IFERROR(ROUND(F2104/E2104,4),"")</f>
        <v/>
      </c>
      <c r="H2104" s="16">
        <f>IF(D2104=0,"NO DATA",IF(D2104&gt;E2104*1.5,"OVER",IF(D2104&gt;E2104*1.1,"HIGH",IF(D2104&lt;E2104*0.5,"LOW","OK"))))</f>
        <v/>
      </c>
    </row>
    <row r="2105" ht="22" customHeight="1">
      <c r="B2105" s="5" t="inlineStr">
        <is>
          <t>MTR-WSH-002</t>
        </is>
      </c>
      <c r="C2105" s="5" t="inlineStr">
        <is>
          <t>2024-10-07</t>
        </is>
      </c>
      <c r="D2105" s="11" t="n">
        <v>28.11</v>
      </c>
      <c r="E2105" s="11" t="n">
        <v>30</v>
      </c>
      <c r="F2105" s="11">
        <f>ROUND(D2105-E2105,2)</f>
        <v/>
      </c>
      <c r="G2105" s="13">
        <f>IFERROR(ROUND(F2105/E2105,4),"")</f>
        <v/>
      </c>
      <c r="H2105" s="14">
        <f>IF(D2105=0,"NO DATA",IF(D2105&gt;E2105*1.5,"OVER",IF(D2105&gt;E2105*1.1,"HIGH",IF(D2105&lt;E2105*0.5,"LOW","OK"))))</f>
        <v/>
      </c>
    </row>
    <row r="2106" ht="22" customHeight="1">
      <c r="B2106" s="8" t="inlineStr">
        <is>
          <t>MTR-WSH-002</t>
        </is>
      </c>
      <c r="C2106" s="8" t="inlineStr">
        <is>
          <t>2024-10-08</t>
        </is>
      </c>
      <c r="D2106" s="12" t="n">
        <v>31.05</v>
      </c>
      <c r="E2106" s="12" t="n">
        <v>30</v>
      </c>
      <c r="F2106" s="12">
        <f>ROUND(D2106-E2106,2)</f>
        <v/>
      </c>
      <c r="G2106" s="15">
        <f>IFERROR(ROUND(F2106/E2106,4),"")</f>
        <v/>
      </c>
      <c r="H2106" s="16">
        <f>IF(D2106=0,"NO DATA",IF(D2106&gt;E2106*1.5,"OVER",IF(D2106&gt;E2106*1.1,"HIGH",IF(D2106&lt;E2106*0.5,"LOW","OK"))))</f>
        <v/>
      </c>
    </row>
    <row r="2107" ht="22" customHeight="1">
      <c r="B2107" s="5" t="inlineStr">
        <is>
          <t>MTR-WSH-002</t>
        </is>
      </c>
      <c r="C2107" s="5" t="inlineStr">
        <is>
          <t>2024-10-09</t>
        </is>
      </c>
      <c r="D2107" s="11" t="n">
        <v>28.15</v>
      </c>
      <c r="E2107" s="11" t="n">
        <v>30</v>
      </c>
      <c r="F2107" s="11">
        <f>ROUND(D2107-E2107,2)</f>
        <v/>
      </c>
      <c r="G2107" s="13">
        <f>IFERROR(ROUND(F2107/E2107,4),"")</f>
        <v/>
      </c>
      <c r="H2107" s="14">
        <f>IF(D2107=0,"NO DATA",IF(D2107&gt;E2107*1.5,"OVER",IF(D2107&gt;E2107*1.1,"HIGH",IF(D2107&lt;E2107*0.5,"LOW","OK"))))</f>
        <v/>
      </c>
    </row>
    <row r="2108" ht="22" customHeight="1">
      <c r="B2108" s="8" t="inlineStr">
        <is>
          <t>MTR-WSH-002</t>
        </is>
      </c>
      <c r="C2108" s="8" t="inlineStr">
        <is>
          <t>2024-10-10</t>
        </is>
      </c>
      <c r="D2108" s="12" t="n">
        <v>36.25</v>
      </c>
      <c r="E2108" s="12" t="n">
        <v>30</v>
      </c>
      <c r="F2108" s="12">
        <f>ROUND(D2108-E2108,2)</f>
        <v/>
      </c>
      <c r="G2108" s="15">
        <f>IFERROR(ROUND(F2108/E2108,4),"")</f>
        <v/>
      </c>
      <c r="H2108" s="16">
        <f>IF(D2108=0,"NO DATA",IF(D2108&gt;E2108*1.5,"OVER",IF(D2108&gt;E2108*1.1,"HIGH",IF(D2108&lt;E2108*0.5,"LOW","OK"))))</f>
        <v/>
      </c>
    </row>
    <row r="2109" ht="22" customHeight="1">
      <c r="B2109" s="5" t="inlineStr">
        <is>
          <t>MTR-WSH-002</t>
        </is>
      </c>
      <c r="C2109" s="5" t="inlineStr">
        <is>
          <t>2024-10-11</t>
        </is>
      </c>
      <c r="D2109" s="11" t="n">
        <v>28.12</v>
      </c>
      <c r="E2109" s="11" t="n">
        <v>30</v>
      </c>
      <c r="F2109" s="11">
        <f>ROUND(D2109-E2109,2)</f>
        <v/>
      </c>
      <c r="G2109" s="13">
        <f>IFERROR(ROUND(F2109/E2109,4),"")</f>
        <v/>
      </c>
      <c r="H2109" s="14">
        <f>IF(D2109=0,"NO DATA",IF(D2109&gt;E2109*1.5,"OVER",IF(D2109&gt;E2109*1.1,"HIGH",IF(D2109&lt;E2109*0.5,"LOW","OK"))))</f>
        <v/>
      </c>
    </row>
    <row r="2110" ht="22" customHeight="1">
      <c r="B2110" s="8" t="inlineStr">
        <is>
          <t>MTR-WSH-002</t>
        </is>
      </c>
      <c r="C2110" s="8" t="inlineStr">
        <is>
          <t>2024-10-12</t>
        </is>
      </c>
      <c r="D2110" s="12" t="n">
        <v>23.4</v>
      </c>
      <c r="E2110" s="12" t="n">
        <v>30</v>
      </c>
      <c r="F2110" s="12">
        <f>ROUND(D2110-E2110,2)</f>
        <v/>
      </c>
      <c r="G2110" s="15">
        <f>IFERROR(ROUND(F2110/E2110,4),"")</f>
        <v/>
      </c>
      <c r="H2110" s="16">
        <f>IF(D2110=0,"NO DATA",IF(D2110&gt;E2110*1.5,"OVER",IF(D2110&gt;E2110*1.1,"HIGH",IF(D2110&lt;E2110*0.5,"LOW","OK"))))</f>
        <v/>
      </c>
    </row>
    <row r="2111" ht="22" customHeight="1">
      <c r="B2111" s="5" t="inlineStr">
        <is>
          <t>MTR-WSH-002</t>
        </is>
      </c>
      <c r="C2111" s="5" t="inlineStr">
        <is>
          <t>2024-10-13</t>
        </is>
      </c>
      <c r="D2111" s="11" t="n">
        <v>18.71</v>
      </c>
      <c r="E2111" s="11" t="n">
        <v>30</v>
      </c>
      <c r="F2111" s="11">
        <f>ROUND(D2111-E2111,2)</f>
        <v/>
      </c>
      <c r="G2111" s="13">
        <f>IFERROR(ROUND(F2111/E2111,4),"")</f>
        <v/>
      </c>
      <c r="H2111" s="14">
        <f>IF(D2111=0,"NO DATA",IF(D2111&gt;E2111*1.5,"OVER",IF(D2111&gt;E2111*1.1,"HIGH",IF(D2111&lt;E2111*0.5,"LOW","OK"))))</f>
        <v/>
      </c>
    </row>
    <row r="2112" ht="22" customHeight="1">
      <c r="B2112" s="8" t="inlineStr">
        <is>
          <t>MTR-WSH-002</t>
        </is>
      </c>
      <c r="C2112" s="8" t="inlineStr">
        <is>
          <t>2024-10-14</t>
        </is>
      </c>
      <c r="D2112" s="12" t="n">
        <v>34.76</v>
      </c>
      <c r="E2112" s="12" t="n">
        <v>30</v>
      </c>
      <c r="F2112" s="12">
        <f>ROUND(D2112-E2112,2)</f>
        <v/>
      </c>
      <c r="G2112" s="15">
        <f>IFERROR(ROUND(F2112/E2112,4),"")</f>
        <v/>
      </c>
      <c r="H2112" s="16">
        <f>IF(D2112=0,"NO DATA",IF(D2112&gt;E2112*1.5,"OVER",IF(D2112&gt;E2112*1.1,"HIGH",IF(D2112&lt;E2112*0.5,"LOW","OK"))))</f>
        <v/>
      </c>
    </row>
    <row r="2113" ht="22" customHeight="1">
      <c r="B2113" s="5" t="inlineStr">
        <is>
          <t>MTR-WSH-002</t>
        </is>
      </c>
      <c r="C2113" s="5" t="inlineStr">
        <is>
          <t>2024-10-15</t>
        </is>
      </c>
      <c r="D2113" s="11" t="n">
        <v>27.52</v>
      </c>
      <c r="E2113" s="11" t="n">
        <v>30</v>
      </c>
      <c r="F2113" s="11">
        <f>ROUND(D2113-E2113,2)</f>
        <v/>
      </c>
      <c r="G2113" s="13">
        <f>IFERROR(ROUND(F2113/E2113,4),"")</f>
        <v/>
      </c>
      <c r="H2113" s="14">
        <f>IF(D2113=0,"NO DATA",IF(D2113&gt;E2113*1.5,"OVER",IF(D2113&gt;E2113*1.1,"HIGH",IF(D2113&lt;E2113*0.5,"LOW","OK"))))</f>
        <v/>
      </c>
    </row>
    <row r="2114" ht="22" customHeight="1">
      <c r="B2114" s="8" t="inlineStr">
        <is>
          <t>MTR-WSH-002</t>
        </is>
      </c>
      <c r="C2114" s="8" t="inlineStr">
        <is>
          <t>2024-10-16</t>
        </is>
      </c>
      <c r="D2114" s="12" t="n">
        <v>35.09</v>
      </c>
      <c r="E2114" s="12" t="n">
        <v>30</v>
      </c>
      <c r="F2114" s="12">
        <f>ROUND(D2114-E2114,2)</f>
        <v/>
      </c>
      <c r="G2114" s="15">
        <f>IFERROR(ROUND(F2114/E2114,4),"")</f>
        <v/>
      </c>
      <c r="H2114" s="16">
        <f>IF(D2114=0,"NO DATA",IF(D2114&gt;E2114*1.5,"OVER",IF(D2114&gt;E2114*1.1,"HIGH",IF(D2114&lt;E2114*0.5,"LOW","OK"))))</f>
        <v/>
      </c>
    </row>
    <row r="2115" ht="22" customHeight="1">
      <c r="B2115" s="5" t="inlineStr">
        <is>
          <t>MTR-WSH-002</t>
        </is>
      </c>
      <c r="C2115" s="5" t="inlineStr">
        <is>
          <t>2024-10-17</t>
        </is>
      </c>
      <c r="D2115" s="11" t="n">
        <v>33.95</v>
      </c>
      <c r="E2115" s="11" t="n">
        <v>30</v>
      </c>
      <c r="F2115" s="11">
        <f>ROUND(D2115-E2115,2)</f>
        <v/>
      </c>
      <c r="G2115" s="13">
        <f>IFERROR(ROUND(F2115/E2115,4),"")</f>
        <v/>
      </c>
      <c r="H2115" s="14">
        <f>IF(D2115=0,"NO DATA",IF(D2115&gt;E2115*1.5,"OVER",IF(D2115&gt;E2115*1.1,"HIGH",IF(D2115&lt;E2115*0.5,"LOW","OK"))))</f>
        <v/>
      </c>
    </row>
    <row r="2116" ht="22" customHeight="1">
      <c r="B2116" s="8" t="inlineStr">
        <is>
          <t>MTR-WSH-002</t>
        </is>
      </c>
      <c r="C2116" s="8" t="inlineStr">
        <is>
          <t>2024-10-18</t>
        </is>
      </c>
      <c r="D2116" s="12" t="n">
        <v>31.95</v>
      </c>
      <c r="E2116" s="12" t="n">
        <v>30</v>
      </c>
      <c r="F2116" s="12">
        <f>ROUND(D2116-E2116,2)</f>
        <v/>
      </c>
      <c r="G2116" s="15">
        <f>IFERROR(ROUND(F2116/E2116,4),"")</f>
        <v/>
      </c>
      <c r="H2116" s="16">
        <f>IF(D2116=0,"NO DATA",IF(D2116&gt;E2116*1.5,"OVER",IF(D2116&gt;E2116*1.1,"HIGH",IF(D2116&lt;E2116*0.5,"LOW","OK"))))</f>
        <v/>
      </c>
    </row>
    <row r="2117" ht="22" customHeight="1">
      <c r="B2117" s="5" t="inlineStr">
        <is>
          <t>MTR-WSH-002</t>
        </is>
      </c>
      <c r="C2117" s="5" t="inlineStr">
        <is>
          <t>2024-10-19</t>
        </is>
      </c>
      <c r="D2117" s="11" t="n">
        <v>27.63</v>
      </c>
      <c r="E2117" s="11" t="n">
        <v>30</v>
      </c>
      <c r="F2117" s="11">
        <f>ROUND(D2117-E2117,2)</f>
        <v/>
      </c>
      <c r="G2117" s="13">
        <f>IFERROR(ROUND(F2117/E2117,4),"")</f>
        <v/>
      </c>
      <c r="H2117" s="14">
        <f>IF(D2117=0,"NO DATA",IF(D2117&gt;E2117*1.5,"OVER",IF(D2117&gt;E2117*1.1,"HIGH",IF(D2117&lt;E2117*0.5,"LOW","OK"))))</f>
        <v/>
      </c>
    </row>
    <row r="2118" ht="22" customHeight="1">
      <c r="B2118" s="8" t="inlineStr">
        <is>
          <t>MTR-WSH-002</t>
        </is>
      </c>
      <c r="C2118" s="8" t="inlineStr">
        <is>
          <t>2024-10-20</t>
        </is>
      </c>
      <c r="D2118" s="12" t="n">
        <v>16.26</v>
      </c>
      <c r="E2118" s="12" t="n">
        <v>30</v>
      </c>
      <c r="F2118" s="12">
        <f>ROUND(D2118-E2118,2)</f>
        <v/>
      </c>
      <c r="G2118" s="15">
        <f>IFERROR(ROUND(F2118/E2118,4),"")</f>
        <v/>
      </c>
      <c r="H2118" s="16">
        <f>IF(D2118=0,"NO DATA",IF(D2118&gt;E2118*1.5,"OVER",IF(D2118&gt;E2118*1.1,"HIGH",IF(D2118&lt;E2118*0.5,"LOW","OK"))))</f>
        <v/>
      </c>
    </row>
    <row r="2119" ht="22" customHeight="1">
      <c r="B2119" s="5" t="inlineStr">
        <is>
          <t>MTR-WSH-002</t>
        </is>
      </c>
      <c r="C2119" s="5" t="inlineStr">
        <is>
          <t>2024-10-21</t>
        </is>
      </c>
      <c r="D2119" s="11" t="n">
        <v>34.04</v>
      </c>
      <c r="E2119" s="11" t="n">
        <v>30</v>
      </c>
      <c r="F2119" s="11">
        <f>ROUND(D2119-E2119,2)</f>
        <v/>
      </c>
      <c r="G2119" s="13">
        <f>IFERROR(ROUND(F2119/E2119,4),"")</f>
        <v/>
      </c>
      <c r="H2119" s="14">
        <f>IF(D2119=0,"NO DATA",IF(D2119&gt;E2119*1.5,"OVER",IF(D2119&gt;E2119*1.1,"HIGH",IF(D2119&lt;E2119*0.5,"LOW","OK"))))</f>
        <v/>
      </c>
    </row>
    <row r="2120" ht="22" customHeight="1">
      <c r="B2120" s="8" t="inlineStr">
        <is>
          <t>MTR-WSH-002</t>
        </is>
      </c>
      <c r="C2120" s="8" t="inlineStr">
        <is>
          <t>2024-10-22</t>
        </is>
      </c>
      <c r="D2120" s="12" t="n">
        <v>28.95</v>
      </c>
      <c r="E2120" s="12" t="n">
        <v>30</v>
      </c>
      <c r="F2120" s="12">
        <f>ROUND(D2120-E2120,2)</f>
        <v/>
      </c>
      <c r="G2120" s="15">
        <f>IFERROR(ROUND(F2120/E2120,4),"")</f>
        <v/>
      </c>
      <c r="H2120" s="16">
        <f>IF(D2120=0,"NO DATA",IF(D2120&gt;E2120*1.5,"OVER",IF(D2120&gt;E2120*1.1,"HIGH",IF(D2120&lt;E2120*0.5,"LOW","OK"))))</f>
        <v/>
      </c>
    </row>
    <row r="2121" ht="22" customHeight="1">
      <c r="B2121" s="5" t="inlineStr">
        <is>
          <t>MTR-WSH-002</t>
        </is>
      </c>
      <c r="C2121" s="5" t="inlineStr">
        <is>
          <t>2024-10-23</t>
        </is>
      </c>
      <c r="D2121" s="11" t="n">
        <v>28.24</v>
      </c>
      <c r="E2121" s="11" t="n">
        <v>30</v>
      </c>
      <c r="F2121" s="11">
        <f>ROUND(D2121-E2121,2)</f>
        <v/>
      </c>
      <c r="G2121" s="13">
        <f>IFERROR(ROUND(F2121/E2121,4),"")</f>
        <v/>
      </c>
      <c r="H2121" s="14">
        <f>IF(D2121=0,"NO DATA",IF(D2121&gt;E2121*1.5,"OVER",IF(D2121&gt;E2121*1.1,"HIGH",IF(D2121&lt;E2121*0.5,"LOW","OK"))))</f>
        <v/>
      </c>
    </row>
    <row r="2122" ht="22" customHeight="1">
      <c r="B2122" s="8" t="inlineStr">
        <is>
          <t>MTR-WSH-002</t>
        </is>
      </c>
      <c r="C2122" s="8" t="inlineStr">
        <is>
          <t>2024-10-24</t>
        </is>
      </c>
      <c r="D2122" s="12" t="n">
        <v>33.38</v>
      </c>
      <c r="E2122" s="12" t="n">
        <v>30</v>
      </c>
      <c r="F2122" s="12">
        <f>ROUND(D2122-E2122,2)</f>
        <v/>
      </c>
      <c r="G2122" s="15">
        <f>IFERROR(ROUND(F2122/E2122,4),"")</f>
        <v/>
      </c>
      <c r="H2122" s="16">
        <f>IF(D2122=0,"NO DATA",IF(D2122&gt;E2122*1.5,"OVER",IF(D2122&gt;E2122*1.1,"HIGH",IF(D2122&lt;E2122*0.5,"LOW","OK"))))</f>
        <v/>
      </c>
    </row>
    <row r="2123" ht="22" customHeight="1">
      <c r="B2123" s="5" t="inlineStr">
        <is>
          <t>MTR-WSH-002</t>
        </is>
      </c>
      <c r="C2123" s="5" t="inlineStr">
        <is>
          <t>2024-10-25</t>
        </is>
      </c>
      <c r="D2123" s="11" t="n">
        <v>31.45</v>
      </c>
      <c r="E2123" s="11" t="n">
        <v>30</v>
      </c>
      <c r="F2123" s="11">
        <f>ROUND(D2123-E2123,2)</f>
        <v/>
      </c>
      <c r="G2123" s="13">
        <f>IFERROR(ROUND(F2123/E2123,4),"")</f>
        <v/>
      </c>
      <c r="H2123" s="14">
        <f>IF(D2123=0,"NO DATA",IF(D2123&gt;E2123*1.5,"OVER",IF(D2123&gt;E2123*1.1,"HIGH",IF(D2123&lt;E2123*0.5,"LOW","OK"))))</f>
        <v/>
      </c>
    </row>
    <row r="2124" ht="22" customHeight="1">
      <c r="B2124" s="8" t="inlineStr">
        <is>
          <t>MTR-WSH-002</t>
        </is>
      </c>
      <c r="C2124" s="8" t="inlineStr">
        <is>
          <t>2024-10-26</t>
        </is>
      </c>
      <c r="D2124" s="12" t="n">
        <v>27.12</v>
      </c>
      <c r="E2124" s="12" t="n">
        <v>30</v>
      </c>
      <c r="F2124" s="12">
        <f>ROUND(D2124-E2124,2)</f>
        <v/>
      </c>
      <c r="G2124" s="15">
        <f>IFERROR(ROUND(F2124/E2124,4),"")</f>
        <v/>
      </c>
      <c r="H2124" s="16">
        <f>IF(D2124=0,"NO DATA",IF(D2124&gt;E2124*1.5,"OVER",IF(D2124&gt;E2124*1.1,"HIGH",IF(D2124&lt;E2124*0.5,"LOW","OK"))))</f>
        <v/>
      </c>
    </row>
    <row r="2125" ht="22" customHeight="1">
      <c r="B2125" s="5" t="inlineStr">
        <is>
          <t>MTR-WSH-002</t>
        </is>
      </c>
      <c r="C2125" s="5" t="inlineStr">
        <is>
          <t>2024-10-27</t>
        </is>
      </c>
      <c r="D2125" s="11" t="n">
        <v>18.74</v>
      </c>
      <c r="E2125" s="11" t="n">
        <v>30</v>
      </c>
      <c r="F2125" s="11">
        <f>ROUND(D2125-E2125,2)</f>
        <v/>
      </c>
      <c r="G2125" s="13">
        <f>IFERROR(ROUND(F2125/E2125,4),"")</f>
        <v/>
      </c>
      <c r="H2125" s="14">
        <f>IF(D2125=0,"NO DATA",IF(D2125&gt;E2125*1.5,"OVER",IF(D2125&gt;E2125*1.1,"HIGH",IF(D2125&lt;E2125*0.5,"LOW","OK"))))</f>
        <v/>
      </c>
    </row>
    <row r="2126" ht="22" customHeight="1">
      <c r="B2126" s="8" t="inlineStr">
        <is>
          <t>MTR-WSH-002</t>
        </is>
      </c>
      <c r="C2126" s="8" t="inlineStr">
        <is>
          <t>2024-10-28</t>
        </is>
      </c>
      <c r="D2126" s="12" t="n">
        <v>28.83</v>
      </c>
      <c r="E2126" s="12" t="n">
        <v>30</v>
      </c>
      <c r="F2126" s="12">
        <f>ROUND(D2126-E2126,2)</f>
        <v/>
      </c>
      <c r="G2126" s="15">
        <f>IFERROR(ROUND(F2126/E2126,4),"")</f>
        <v/>
      </c>
      <c r="H2126" s="16">
        <f>IF(D2126=0,"NO DATA",IF(D2126&gt;E2126*1.5,"OVER",IF(D2126&gt;E2126*1.1,"HIGH",IF(D2126&lt;E2126*0.5,"LOW","OK"))))</f>
        <v/>
      </c>
    </row>
    <row r="2127" ht="22" customHeight="1">
      <c r="B2127" s="5" t="inlineStr">
        <is>
          <t>MTR-WSH-002</t>
        </is>
      </c>
      <c r="C2127" s="5" t="inlineStr">
        <is>
          <t>2024-10-29</t>
        </is>
      </c>
      <c r="D2127" s="11" t="n">
        <v>29.95</v>
      </c>
      <c r="E2127" s="11" t="n">
        <v>30</v>
      </c>
      <c r="F2127" s="11">
        <f>ROUND(D2127-E2127,2)</f>
        <v/>
      </c>
      <c r="G2127" s="13">
        <f>IFERROR(ROUND(F2127/E2127,4),"")</f>
        <v/>
      </c>
      <c r="H2127" s="14">
        <f>IF(D2127=0,"NO DATA",IF(D2127&gt;E2127*1.5,"OVER",IF(D2127&gt;E2127*1.1,"HIGH",IF(D2127&lt;E2127*0.5,"LOW","OK"))))</f>
        <v/>
      </c>
    </row>
    <row r="2128" ht="22" customHeight="1">
      <c r="B2128" s="8" t="inlineStr">
        <is>
          <t>MTR-WSH-002</t>
        </is>
      </c>
      <c r="C2128" s="8" t="inlineStr">
        <is>
          <t>2024-10-30</t>
        </is>
      </c>
      <c r="D2128" s="12" t="n">
        <v>33.25</v>
      </c>
      <c r="E2128" s="12" t="n">
        <v>30</v>
      </c>
      <c r="F2128" s="12">
        <f>ROUND(D2128-E2128,2)</f>
        <v/>
      </c>
      <c r="G2128" s="15">
        <f>IFERROR(ROUND(F2128/E2128,4),"")</f>
        <v/>
      </c>
      <c r="H2128" s="16">
        <f>IF(D2128=0,"NO DATA",IF(D2128&gt;E2128*1.5,"OVER",IF(D2128&gt;E2128*1.1,"HIGH",IF(D2128&lt;E2128*0.5,"LOW","OK"))))</f>
        <v/>
      </c>
    </row>
    <row r="2129" ht="22" customHeight="1">
      <c r="B2129" s="5" t="inlineStr">
        <is>
          <t>MTR-WSH-002</t>
        </is>
      </c>
      <c r="C2129" s="5" t="inlineStr">
        <is>
          <t>2024-10-31</t>
        </is>
      </c>
      <c r="D2129" s="11" t="n">
        <v>31.77</v>
      </c>
      <c r="E2129" s="11" t="n">
        <v>30</v>
      </c>
      <c r="F2129" s="11">
        <f>ROUND(D2129-E2129,2)</f>
        <v/>
      </c>
      <c r="G2129" s="13">
        <f>IFERROR(ROUND(F2129/E2129,4),"")</f>
        <v/>
      </c>
      <c r="H2129" s="14">
        <f>IF(D2129=0,"NO DATA",IF(D2129&gt;E2129*1.5,"OVER",IF(D2129&gt;E2129*1.1,"HIGH",IF(D2129&lt;E2129*0.5,"LOW","OK"))))</f>
        <v/>
      </c>
    </row>
    <row r="2130" ht="22" customHeight="1">
      <c r="B2130" s="8" t="inlineStr">
        <is>
          <t>MTR-WSH-002</t>
        </is>
      </c>
      <c r="C2130" s="8" t="inlineStr">
        <is>
          <t>2024-11-01</t>
        </is>
      </c>
      <c r="D2130" s="12" t="n">
        <v>30.84</v>
      </c>
      <c r="E2130" s="12" t="n">
        <v>30</v>
      </c>
      <c r="F2130" s="12">
        <f>ROUND(D2130-E2130,2)</f>
        <v/>
      </c>
      <c r="G2130" s="15">
        <f>IFERROR(ROUND(F2130/E2130,4),"")</f>
        <v/>
      </c>
      <c r="H2130" s="16">
        <f>IF(D2130=0,"NO DATA",IF(D2130&gt;E2130*1.5,"OVER",IF(D2130&gt;E2130*1.1,"HIGH",IF(D2130&lt;E2130*0.5,"LOW","OK"))))</f>
        <v/>
      </c>
    </row>
    <row r="2131" ht="22" customHeight="1">
      <c r="B2131" s="5" t="inlineStr">
        <is>
          <t>MTR-WSH-002</t>
        </is>
      </c>
      <c r="C2131" s="5" t="inlineStr">
        <is>
          <t>2024-11-02</t>
        </is>
      </c>
      <c r="D2131" s="11" t="n">
        <v>23.17</v>
      </c>
      <c r="E2131" s="11" t="n">
        <v>30</v>
      </c>
      <c r="F2131" s="11">
        <f>ROUND(D2131-E2131,2)</f>
        <v/>
      </c>
      <c r="G2131" s="13">
        <f>IFERROR(ROUND(F2131/E2131,4),"")</f>
        <v/>
      </c>
      <c r="H2131" s="14">
        <f>IF(D2131=0,"NO DATA",IF(D2131&gt;E2131*1.5,"OVER",IF(D2131&gt;E2131*1.1,"HIGH",IF(D2131&lt;E2131*0.5,"LOW","OK"))))</f>
        <v/>
      </c>
    </row>
    <row r="2132" ht="22" customHeight="1">
      <c r="B2132" s="8" t="inlineStr">
        <is>
          <t>MTR-WSH-002</t>
        </is>
      </c>
      <c r="C2132" s="8" t="inlineStr">
        <is>
          <t>2024-11-03</t>
        </is>
      </c>
      <c r="D2132" s="12" t="n">
        <v>15.81</v>
      </c>
      <c r="E2132" s="12" t="n">
        <v>30</v>
      </c>
      <c r="F2132" s="12">
        <f>ROUND(D2132-E2132,2)</f>
        <v/>
      </c>
      <c r="G2132" s="15">
        <f>IFERROR(ROUND(F2132/E2132,4),"")</f>
        <v/>
      </c>
      <c r="H2132" s="16">
        <f>IF(D2132=0,"NO DATA",IF(D2132&gt;E2132*1.5,"OVER",IF(D2132&gt;E2132*1.1,"HIGH",IF(D2132&lt;E2132*0.5,"LOW","OK"))))</f>
        <v/>
      </c>
    </row>
    <row r="2133" ht="22" customHeight="1">
      <c r="B2133" s="5" t="inlineStr">
        <is>
          <t>MTR-WSH-002</t>
        </is>
      </c>
      <c r="C2133" s="5" t="inlineStr">
        <is>
          <t>2024-11-04</t>
        </is>
      </c>
      <c r="D2133" s="11" t="n">
        <v>35.58</v>
      </c>
      <c r="E2133" s="11" t="n">
        <v>30</v>
      </c>
      <c r="F2133" s="11">
        <f>ROUND(D2133-E2133,2)</f>
        <v/>
      </c>
      <c r="G2133" s="13">
        <f>IFERROR(ROUND(F2133/E2133,4),"")</f>
        <v/>
      </c>
      <c r="H2133" s="14">
        <f>IF(D2133=0,"NO DATA",IF(D2133&gt;E2133*1.5,"OVER",IF(D2133&gt;E2133*1.1,"HIGH",IF(D2133&lt;E2133*0.5,"LOW","OK"))))</f>
        <v/>
      </c>
    </row>
    <row r="2134" ht="22" customHeight="1">
      <c r="B2134" s="8" t="inlineStr">
        <is>
          <t>MTR-WSH-002</t>
        </is>
      </c>
      <c r="C2134" s="8" t="inlineStr">
        <is>
          <t>2024-11-05</t>
        </is>
      </c>
      <c r="D2134" s="12" t="n">
        <v>35.04</v>
      </c>
      <c r="E2134" s="12" t="n">
        <v>30</v>
      </c>
      <c r="F2134" s="12">
        <f>ROUND(D2134-E2134,2)</f>
        <v/>
      </c>
      <c r="G2134" s="15">
        <f>IFERROR(ROUND(F2134/E2134,4),"")</f>
        <v/>
      </c>
      <c r="H2134" s="16">
        <f>IF(D2134=0,"NO DATA",IF(D2134&gt;E2134*1.5,"OVER",IF(D2134&gt;E2134*1.1,"HIGH",IF(D2134&lt;E2134*0.5,"LOW","OK"))))</f>
        <v/>
      </c>
    </row>
    <row r="2135" ht="22" customHeight="1">
      <c r="B2135" s="5" t="inlineStr">
        <is>
          <t>MTR-WSH-002</t>
        </is>
      </c>
      <c r="C2135" s="5" t="inlineStr">
        <is>
          <t>2024-11-06</t>
        </is>
      </c>
      <c r="D2135" s="11" t="n">
        <v>31.98</v>
      </c>
      <c r="E2135" s="11" t="n">
        <v>30</v>
      </c>
      <c r="F2135" s="11">
        <f>ROUND(D2135-E2135,2)</f>
        <v/>
      </c>
      <c r="G2135" s="13">
        <f>IFERROR(ROUND(F2135/E2135,4),"")</f>
        <v/>
      </c>
      <c r="H2135" s="14">
        <f>IF(D2135=0,"NO DATA",IF(D2135&gt;E2135*1.5,"OVER",IF(D2135&gt;E2135*1.1,"HIGH",IF(D2135&lt;E2135*0.5,"LOW","OK"))))</f>
        <v/>
      </c>
    </row>
    <row r="2136" ht="22" customHeight="1">
      <c r="B2136" s="8" t="inlineStr">
        <is>
          <t>MTR-WSH-002</t>
        </is>
      </c>
      <c r="C2136" s="8" t="inlineStr">
        <is>
          <t>2024-11-07</t>
        </is>
      </c>
      <c r="D2136" s="12" t="n">
        <v>34.6</v>
      </c>
      <c r="E2136" s="12" t="n">
        <v>30</v>
      </c>
      <c r="F2136" s="12">
        <f>ROUND(D2136-E2136,2)</f>
        <v/>
      </c>
      <c r="G2136" s="15">
        <f>IFERROR(ROUND(F2136/E2136,4),"")</f>
        <v/>
      </c>
      <c r="H2136" s="16">
        <f>IF(D2136=0,"NO DATA",IF(D2136&gt;E2136*1.5,"OVER",IF(D2136&gt;E2136*1.1,"HIGH",IF(D2136&lt;E2136*0.5,"LOW","OK"))))</f>
        <v/>
      </c>
    </row>
    <row r="2137" ht="22" customHeight="1">
      <c r="B2137" s="5" t="inlineStr">
        <is>
          <t>MTR-WSH-002</t>
        </is>
      </c>
      <c r="C2137" s="5" t="inlineStr">
        <is>
          <t>2024-11-08</t>
        </is>
      </c>
      <c r="D2137" s="11" t="n">
        <v>32.18</v>
      </c>
      <c r="E2137" s="11" t="n">
        <v>30</v>
      </c>
      <c r="F2137" s="11">
        <f>ROUND(D2137-E2137,2)</f>
        <v/>
      </c>
      <c r="G2137" s="13">
        <f>IFERROR(ROUND(F2137/E2137,4),"")</f>
        <v/>
      </c>
      <c r="H2137" s="14">
        <f>IF(D2137=0,"NO DATA",IF(D2137&gt;E2137*1.5,"OVER",IF(D2137&gt;E2137*1.1,"HIGH",IF(D2137&lt;E2137*0.5,"LOW","OK"))))</f>
        <v/>
      </c>
    </row>
    <row r="2138" ht="22" customHeight="1">
      <c r="B2138" s="8" t="inlineStr">
        <is>
          <t>MTR-WSH-002</t>
        </is>
      </c>
      <c r="C2138" s="8" t="inlineStr">
        <is>
          <t>2024-11-09</t>
        </is>
      </c>
      <c r="D2138" s="12" t="n">
        <v>24</v>
      </c>
      <c r="E2138" s="12" t="n">
        <v>30</v>
      </c>
      <c r="F2138" s="12">
        <f>ROUND(D2138-E2138,2)</f>
        <v/>
      </c>
      <c r="G2138" s="15">
        <f>IFERROR(ROUND(F2138/E2138,4),"")</f>
        <v/>
      </c>
      <c r="H2138" s="16">
        <f>IF(D2138=0,"NO DATA",IF(D2138&gt;E2138*1.5,"OVER",IF(D2138&gt;E2138*1.1,"HIGH",IF(D2138&lt;E2138*0.5,"LOW","OK"))))</f>
        <v/>
      </c>
    </row>
    <row r="2139" ht="22" customHeight="1">
      <c r="B2139" s="5" t="inlineStr">
        <is>
          <t>MTR-WSH-002</t>
        </is>
      </c>
      <c r="C2139" s="5" t="inlineStr">
        <is>
          <t>2024-11-10</t>
        </is>
      </c>
      <c r="D2139" s="11" t="n">
        <v>15.19</v>
      </c>
      <c r="E2139" s="11" t="n">
        <v>30</v>
      </c>
      <c r="F2139" s="11">
        <f>ROUND(D2139-E2139,2)</f>
        <v/>
      </c>
      <c r="G2139" s="13">
        <f>IFERROR(ROUND(F2139/E2139,4),"")</f>
        <v/>
      </c>
      <c r="H2139" s="14">
        <f>IF(D2139=0,"NO DATA",IF(D2139&gt;E2139*1.5,"OVER",IF(D2139&gt;E2139*1.1,"HIGH",IF(D2139&lt;E2139*0.5,"LOW","OK"))))</f>
        <v/>
      </c>
    </row>
    <row r="2140" ht="22" customHeight="1">
      <c r="B2140" s="8" t="inlineStr">
        <is>
          <t>MTR-WSH-002</t>
        </is>
      </c>
      <c r="C2140" s="8" t="inlineStr">
        <is>
          <t>2024-11-11</t>
        </is>
      </c>
      <c r="D2140" s="12" t="n">
        <v>31.31</v>
      </c>
      <c r="E2140" s="12" t="n">
        <v>30</v>
      </c>
      <c r="F2140" s="12">
        <f>ROUND(D2140-E2140,2)</f>
        <v/>
      </c>
      <c r="G2140" s="15">
        <f>IFERROR(ROUND(F2140/E2140,4),"")</f>
        <v/>
      </c>
      <c r="H2140" s="16">
        <f>IF(D2140=0,"NO DATA",IF(D2140&gt;E2140*1.5,"OVER",IF(D2140&gt;E2140*1.1,"HIGH",IF(D2140&lt;E2140*0.5,"LOW","OK"))))</f>
        <v/>
      </c>
    </row>
    <row r="2141" ht="22" customHeight="1">
      <c r="B2141" s="5" t="inlineStr">
        <is>
          <t>MTR-WSH-002</t>
        </is>
      </c>
      <c r="C2141" s="5" t="inlineStr">
        <is>
          <t>2024-11-12</t>
        </is>
      </c>
      <c r="D2141" s="11" t="n">
        <v>34.31</v>
      </c>
      <c r="E2141" s="11" t="n">
        <v>30</v>
      </c>
      <c r="F2141" s="11">
        <f>ROUND(D2141-E2141,2)</f>
        <v/>
      </c>
      <c r="G2141" s="13">
        <f>IFERROR(ROUND(F2141/E2141,4),"")</f>
        <v/>
      </c>
      <c r="H2141" s="14">
        <f>IF(D2141=0,"NO DATA",IF(D2141&gt;E2141*1.5,"OVER",IF(D2141&gt;E2141*1.1,"HIGH",IF(D2141&lt;E2141*0.5,"LOW","OK"))))</f>
        <v/>
      </c>
    </row>
    <row r="2142" ht="22" customHeight="1">
      <c r="B2142" s="8" t="inlineStr">
        <is>
          <t>MTR-WSH-002</t>
        </is>
      </c>
      <c r="C2142" s="8" t="inlineStr">
        <is>
          <t>2024-11-13</t>
        </is>
      </c>
      <c r="D2142" s="12" t="n">
        <v>32.86</v>
      </c>
      <c r="E2142" s="12" t="n">
        <v>30</v>
      </c>
      <c r="F2142" s="12">
        <f>ROUND(D2142-E2142,2)</f>
        <v/>
      </c>
      <c r="G2142" s="15">
        <f>IFERROR(ROUND(F2142/E2142,4),"")</f>
        <v/>
      </c>
      <c r="H2142" s="16">
        <f>IF(D2142=0,"NO DATA",IF(D2142&gt;E2142*1.5,"OVER",IF(D2142&gt;E2142*1.1,"HIGH",IF(D2142&lt;E2142*0.5,"LOW","OK"))))</f>
        <v/>
      </c>
    </row>
    <row r="2143" ht="22" customHeight="1">
      <c r="B2143" s="5" t="inlineStr">
        <is>
          <t>MTR-WSH-002</t>
        </is>
      </c>
      <c r="C2143" s="5" t="inlineStr">
        <is>
          <t>2024-11-14</t>
        </is>
      </c>
      <c r="D2143" s="11" t="n">
        <v>27.33</v>
      </c>
      <c r="E2143" s="11" t="n">
        <v>30</v>
      </c>
      <c r="F2143" s="11">
        <f>ROUND(D2143-E2143,2)</f>
        <v/>
      </c>
      <c r="G2143" s="13">
        <f>IFERROR(ROUND(F2143/E2143,4),"")</f>
        <v/>
      </c>
      <c r="H2143" s="14">
        <f>IF(D2143=0,"NO DATA",IF(D2143&gt;E2143*1.5,"OVER",IF(D2143&gt;E2143*1.1,"HIGH",IF(D2143&lt;E2143*0.5,"LOW","OK"))))</f>
        <v/>
      </c>
    </row>
    <row r="2144" ht="22" customHeight="1">
      <c r="B2144" s="8" t="inlineStr">
        <is>
          <t>MTR-WSH-002</t>
        </is>
      </c>
      <c r="C2144" s="8" t="inlineStr">
        <is>
          <t>2024-11-15</t>
        </is>
      </c>
      <c r="D2144" s="12" t="n">
        <v>31.29</v>
      </c>
      <c r="E2144" s="12" t="n">
        <v>30</v>
      </c>
      <c r="F2144" s="12">
        <f>ROUND(D2144-E2144,2)</f>
        <v/>
      </c>
      <c r="G2144" s="15">
        <f>IFERROR(ROUND(F2144/E2144,4),"")</f>
        <v/>
      </c>
      <c r="H2144" s="16">
        <f>IF(D2144=0,"NO DATA",IF(D2144&gt;E2144*1.5,"OVER",IF(D2144&gt;E2144*1.1,"HIGH",IF(D2144&lt;E2144*0.5,"LOW","OK"))))</f>
        <v/>
      </c>
    </row>
    <row r="2145" ht="22" customHeight="1">
      <c r="B2145" s="5" t="inlineStr">
        <is>
          <t>MTR-WSH-002</t>
        </is>
      </c>
      <c r="C2145" s="5" t="inlineStr">
        <is>
          <t>2024-11-16</t>
        </is>
      </c>
      <c r="D2145" s="11" t="n">
        <v>26.31</v>
      </c>
      <c r="E2145" s="11" t="n">
        <v>30</v>
      </c>
      <c r="F2145" s="11">
        <f>ROUND(D2145-E2145,2)</f>
        <v/>
      </c>
      <c r="G2145" s="13">
        <f>IFERROR(ROUND(F2145/E2145,4),"")</f>
        <v/>
      </c>
      <c r="H2145" s="14">
        <f>IF(D2145=0,"NO DATA",IF(D2145&gt;E2145*1.5,"OVER",IF(D2145&gt;E2145*1.1,"HIGH",IF(D2145&lt;E2145*0.5,"LOW","OK"))))</f>
        <v/>
      </c>
    </row>
    <row r="2146" ht="22" customHeight="1">
      <c r="B2146" s="8" t="inlineStr">
        <is>
          <t>MTR-WSH-002</t>
        </is>
      </c>
      <c r="C2146" s="8" t="inlineStr">
        <is>
          <t>2024-11-17</t>
        </is>
      </c>
      <c r="D2146" s="12" t="n">
        <v>13.91</v>
      </c>
      <c r="E2146" s="12" t="n">
        <v>30</v>
      </c>
      <c r="F2146" s="12">
        <f>ROUND(D2146-E2146,2)</f>
        <v/>
      </c>
      <c r="G2146" s="15">
        <f>IFERROR(ROUND(F2146/E2146,4),"")</f>
        <v/>
      </c>
      <c r="H2146" s="16">
        <f>IF(D2146=0,"NO DATA",IF(D2146&gt;E2146*1.5,"OVER",IF(D2146&gt;E2146*1.1,"HIGH",IF(D2146&lt;E2146*0.5,"LOW","OK"))))</f>
        <v/>
      </c>
    </row>
    <row r="2147" ht="22" customHeight="1">
      <c r="B2147" s="5" t="inlineStr">
        <is>
          <t>MTR-WSH-002</t>
        </is>
      </c>
      <c r="C2147" s="5" t="inlineStr">
        <is>
          <t>2024-11-18</t>
        </is>
      </c>
      <c r="D2147" s="11" t="n">
        <v>32.48</v>
      </c>
      <c r="E2147" s="11" t="n">
        <v>30</v>
      </c>
      <c r="F2147" s="11">
        <f>ROUND(D2147-E2147,2)</f>
        <v/>
      </c>
      <c r="G2147" s="13">
        <f>IFERROR(ROUND(F2147/E2147,4),"")</f>
        <v/>
      </c>
      <c r="H2147" s="14">
        <f>IF(D2147=0,"NO DATA",IF(D2147&gt;E2147*1.5,"OVER",IF(D2147&gt;E2147*1.1,"HIGH",IF(D2147&lt;E2147*0.5,"LOW","OK"))))</f>
        <v/>
      </c>
    </row>
    <row r="2148" ht="22" customHeight="1">
      <c r="B2148" s="8" t="inlineStr">
        <is>
          <t>MTR-WSH-002</t>
        </is>
      </c>
      <c r="C2148" s="8" t="inlineStr">
        <is>
          <t>2024-11-19</t>
        </is>
      </c>
      <c r="D2148" s="12" t="n">
        <v>30.27</v>
      </c>
      <c r="E2148" s="12" t="n">
        <v>30</v>
      </c>
      <c r="F2148" s="12">
        <f>ROUND(D2148-E2148,2)</f>
        <v/>
      </c>
      <c r="G2148" s="15">
        <f>IFERROR(ROUND(F2148/E2148,4),"")</f>
        <v/>
      </c>
      <c r="H2148" s="16">
        <f>IF(D2148=0,"NO DATA",IF(D2148&gt;E2148*1.5,"OVER",IF(D2148&gt;E2148*1.1,"HIGH",IF(D2148&lt;E2148*0.5,"LOW","OK"))))</f>
        <v/>
      </c>
    </row>
    <row r="2149" ht="22" customHeight="1">
      <c r="B2149" s="5" t="inlineStr">
        <is>
          <t>MTR-WSH-002</t>
        </is>
      </c>
      <c r="C2149" s="5" t="inlineStr">
        <is>
          <t>2024-11-20</t>
        </is>
      </c>
      <c r="D2149" s="11" t="n">
        <v>31.94</v>
      </c>
      <c r="E2149" s="11" t="n">
        <v>30</v>
      </c>
      <c r="F2149" s="11">
        <f>ROUND(D2149-E2149,2)</f>
        <v/>
      </c>
      <c r="G2149" s="13">
        <f>IFERROR(ROUND(F2149/E2149,4),"")</f>
        <v/>
      </c>
      <c r="H2149" s="14">
        <f>IF(D2149=0,"NO DATA",IF(D2149&gt;E2149*1.5,"OVER",IF(D2149&gt;E2149*1.1,"HIGH",IF(D2149&lt;E2149*0.5,"LOW","OK"))))</f>
        <v/>
      </c>
    </row>
    <row r="2150" ht="22" customHeight="1">
      <c r="B2150" s="8" t="inlineStr">
        <is>
          <t>MTR-WSH-002</t>
        </is>
      </c>
      <c r="C2150" s="8" t="inlineStr">
        <is>
          <t>2024-11-21</t>
        </is>
      </c>
      <c r="D2150" s="12" t="n">
        <v>34.39</v>
      </c>
      <c r="E2150" s="12" t="n">
        <v>30</v>
      </c>
      <c r="F2150" s="12">
        <f>ROUND(D2150-E2150,2)</f>
        <v/>
      </c>
      <c r="G2150" s="15">
        <f>IFERROR(ROUND(F2150/E2150,4),"")</f>
        <v/>
      </c>
      <c r="H2150" s="16">
        <f>IF(D2150=0,"NO DATA",IF(D2150&gt;E2150*1.5,"OVER",IF(D2150&gt;E2150*1.1,"HIGH",IF(D2150&lt;E2150*0.5,"LOW","OK"))))</f>
        <v/>
      </c>
    </row>
    <row r="2151" ht="22" customHeight="1">
      <c r="B2151" s="5" t="inlineStr">
        <is>
          <t>MTR-WSH-002</t>
        </is>
      </c>
      <c r="C2151" s="5" t="inlineStr">
        <is>
          <t>2024-11-22</t>
        </is>
      </c>
      <c r="D2151" s="11" t="n">
        <v>35.34</v>
      </c>
      <c r="E2151" s="11" t="n">
        <v>30</v>
      </c>
      <c r="F2151" s="11">
        <f>ROUND(D2151-E2151,2)</f>
        <v/>
      </c>
      <c r="G2151" s="13">
        <f>IFERROR(ROUND(F2151/E2151,4),"")</f>
        <v/>
      </c>
      <c r="H2151" s="14">
        <f>IF(D2151=0,"NO DATA",IF(D2151&gt;E2151*1.5,"OVER",IF(D2151&gt;E2151*1.1,"HIGH",IF(D2151&lt;E2151*0.5,"LOW","OK"))))</f>
        <v/>
      </c>
    </row>
    <row r="2152" ht="22" customHeight="1">
      <c r="B2152" s="8" t="inlineStr">
        <is>
          <t>MTR-WSH-002</t>
        </is>
      </c>
      <c r="C2152" s="8" t="inlineStr">
        <is>
          <t>2024-11-23</t>
        </is>
      </c>
      <c r="D2152" s="12" t="n">
        <v>23.67</v>
      </c>
      <c r="E2152" s="12" t="n">
        <v>30</v>
      </c>
      <c r="F2152" s="12">
        <f>ROUND(D2152-E2152,2)</f>
        <v/>
      </c>
      <c r="G2152" s="15">
        <f>IFERROR(ROUND(F2152/E2152,4),"")</f>
        <v/>
      </c>
      <c r="H2152" s="16">
        <f>IF(D2152=0,"NO DATA",IF(D2152&gt;E2152*1.5,"OVER",IF(D2152&gt;E2152*1.1,"HIGH",IF(D2152&lt;E2152*0.5,"LOW","OK"))))</f>
        <v/>
      </c>
    </row>
    <row r="2153" ht="22" customHeight="1">
      <c r="B2153" s="5" t="inlineStr">
        <is>
          <t>MTR-WSH-002</t>
        </is>
      </c>
      <c r="C2153" s="5" t="inlineStr">
        <is>
          <t>2024-11-24</t>
        </is>
      </c>
      <c r="D2153" s="11" t="n">
        <v>15.9</v>
      </c>
      <c r="E2153" s="11" t="n">
        <v>30</v>
      </c>
      <c r="F2153" s="11">
        <f>ROUND(D2153-E2153,2)</f>
        <v/>
      </c>
      <c r="G2153" s="13">
        <f>IFERROR(ROUND(F2153/E2153,4),"")</f>
        <v/>
      </c>
      <c r="H2153" s="14">
        <f>IF(D2153=0,"NO DATA",IF(D2153&gt;E2153*1.5,"OVER",IF(D2153&gt;E2153*1.1,"HIGH",IF(D2153&lt;E2153*0.5,"LOW","OK"))))</f>
        <v/>
      </c>
    </row>
    <row r="2154" ht="22" customHeight="1">
      <c r="B2154" s="8" t="inlineStr">
        <is>
          <t>MTR-WSH-002</t>
        </is>
      </c>
      <c r="C2154" s="8" t="inlineStr">
        <is>
          <t>2024-11-25</t>
        </is>
      </c>
      <c r="D2154" s="12" t="n">
        <v>31.05</v>
      </c>
      <c r="E2154" s="12" t="n">
        <v>30</v>
      </c>
      <c r="F2154" s="12">
        <f>ROUND(D2154-E2154,2)</f>
        <v/>
      </c>
      <c r="G2154" s="15">
        <f>IFERROR(ROUND(F2154/E2154,4),"")</f>
        <v/>
      </c>
      <c r="H2154" s="16">
        <f>IF(D2154=0,"NO DATA",IF(D2154&gt;E2154*1.5,"OVER",IF(D2154&gt;E2154*1.1,"HIGH",IF(D2154&lt;E2154*0.5,"LOW","OK"))))</f>
        <v/>
      </c>
    </row>
    <row r="2155" ht="22" customHeight="1">
      <c r="B2155" s="5" t="inlineStr">
        <is>
          <t>MTR-WSH-002</t>
        </is>
      </c>
      <c r="C2155" s="5" t="inlineStr">
        <is>
          <t>2024-11-26</t>
        </is>
      </c>
      <c r="D2155" s="11" t="n">
        <v>31.07</v>
      </c>
      <c r="E2155" s="11" t="n">
        <v>30</v>
      </c>
      <c r="F2155" s="11">
        <f>ROUND(D2155-E2155,2)</f>
        <v/>
      </c>
      <c r="G2155" s="13">
        <f>IFERROR(ROUND(F2155/E2155,4),"")</f>
        <v/>
      </c>
      <c r="H2155" s="14">
        <f>IF(D2155=0,"NO DATA",IF(D2155&gt;E2155*1.5,"OVER",IF(D2155&gt;E2155*1.1,"HIGH",IF(D2155&lt;E2155*0.5,"LOW","OK"))))</f>
        <v/>
      </c>
    </row>
    <row r="2156" ht="22" customHeight="1">
      <c r="B2156" s="8" t="inlineStr">
        <is>
          <t>MTR-WSH-002</t>
        </is>
      </c>
      <c r="C2156" s="8" t="inlineStr">
        <is>
          <t>2024-11-27</t>
        </is>
      </c>
      <c r="D2156" s="12" t="n">
        <v>29.98</v>
      </c>
      <c r="E2156" s="12" t="n">
        <v>30</v>
      </c>
      <c r="F2156" s="12">
        <f>ROUND(D2156-E2156,2)</f>
        <v/>
      </c>
      <c r="G2156" s="15">
        <f>IFERROR(ROUND(F2156/E2156,4),"")</f>
        <v/>
      </c>
      <c r="H2156" s="16">
        <f>IF(D2156=0,"NO DATA",IF(D2156&gt;E2156*1.5,"OVER",IF(D2156&gt;E2156*1.1,"HIGH",IF(D2156&lt;E2156*0.5,"LOW","OK"))))</f>
        <v/>
      </c>
    </row>
    <row r="2157" ht="22" customHeight="1">
      <c r="B2157" s="5" t="inlineStr">
        <is>
          <t>MTR-WSH-002</t>
        </is>
      </c>
      <c r="C2157" s="5" t="inlineStr">
        <is>
          <t>2024-11-28</t>
        </is>
      </c>
      <c r="D2157" s="11" t="n">
        <v>27.69</v>
      </c>
      <c r="E2157" s="11" t="n">
        <v>30</v>
      </c>
      <c r="F2157" s="11">
        <f>ROUND(D2157-E2157,2)</f>
        <v/>
      </c>
      <c r="G2157" s="13">
        <f>IFERROR(ROUND(F2157/E2157,4),"")</f>
        <v/>
      </c>
      <c r="H2157" s="14">
        <f>IF(D2157=0,"NO DATA",IF(D2157&gt;E2157*1.5,"OVER",IF(D2157&gt;E2157*1.1,"HIGH",IF(D2157&lt;E2157*0.5,"LOW","OK"))))</f>
        <v/>
      </c>
    </row>
    <row r="2158" ht="22" customHeight="1">
      <c r="B2158" s="8" t="inlineStr">
        <is>
          <t>MTR-WSH-002</t>
        </is>
      </c>
      <c r="C2158" s="8" t="inlineStr">
        <is>
          <t>2024-11-29</t>
        </is>
      </c>
      <c r="D2158" s="12" t="n">
        <v>30.54</v>
      </c>
      <c r="E2158" s="12" t="n">
        <v>30</v>
      </c>
      <c r="F2158" s="12">
        <f>ROUND(D2158-E2158,2)</f>
        <v/>
      </c>
      <c r="G2158" s="15">
        <f>IFERROR(ROUND(F2158/E2158,4),"")</f>
        <v/>
      </c>
      <c r="H2158" s="16">
        <f>IF(D2158=0,"NO DATA",IF(D2158&gt;E2158*1.5,"OVER",IF(D2158&gt;E2158*1.1,"HIGH",IF(D2158&lt;E2158*0.5,"LOW","OK"))))</f>
        <v/>
      </c>
    </row>
    <row r="2159" ht="22" customHeight="1">
      <c r="B2159" s="5" t="inlineStr">
        <is>
          <t>MTR-WSH-002</t>
        </is>
      </c>
      <c r="C2159" s="5" t="inlineStr">
        <is>
          <t>2024-11-30</t>
        </is>
      </c>
      <c r="D2159" s="11" t="n">
        <v>26.95</v>
      </c>
      <c r="E2159" s="11" t="n">
        <v>30</v>
      </c>
      <c r="F2159" s="11">
        <f>ROUND(D2159-E2159,2)</f>
        <v/>
      </c>
      <c r="G2159" s="13">
        <f>IFERROR(ROUND(F2159/E2159,4),"")</f>
        <v/>
      </c>
      <c r="H2159" s="14">
        <f>IF(D2159=0,"NO DATA",IF(D2159&gt;E2159*1.5,"OVER",IF(D2159&gt;E2159*1.1,"HIGH",IF(D2159&lt;E2159*0.5,"LOW","OK"))))</f>
        <v/>
      </c>
    </row>
    <row r="2160" ht="22" customHeight="1">
      <c r="B2160" s="8" t="inlineStr">
        <is>
          <t>MTR-WSH-002</t>
        </is>
      </c>
      <c r="C2160" s="8" t="inlineStr">
        <is>
          <t>2024-12-01</t>
        </is>
      </c>
      <c r="D2160" s="12" t="n">
        <v>14.7</v>
      </c>
      <c r="E2160" s="12" t="n">
        <v>30</v>
      </c>
      <c r="F2160" s="12">
        <f>ROUND(D2160-E2160,2)</f>
        <v/>
      </c>
      <c r="G2160" s="15">
        <f>IFERROR(ROUND(F2160/E2160,4),"")</f>
        <v/>
      </c>
      <c r="H2160" s="16">
        <f>IF(D2160=0,"NO DATA",IF(D2160&gt;E2160*1.5,"OVER",IF(D2160&gt;E2160*1.1,"HIGH",IF(D2160&lt;E2160*0.5,"LOW","OK"))))</f>
        <v/>
      </c>
    </row>
    <row r="2161" ht="22" customHeight="1">
      <c r="B2161" s="5" t="inlineStr">
        <is>
          <t>MTR-WSH-002</t>
        </is>
      </c>
      <c r="C2161" s="5" t="inlineStr">
        <is>
          <t>2024-12-02</t>
        </is>
      </c>
      <c r="D2161" s="11" t="n">
        <v>26.86</v>
      </c>
      <c r="E2161" s="11" t="n">
        <v>30</v>
      </c>
      <c r="F2161" s="11">
        <f>ROUND(D2161-E2161,2)</f>
        <v/>
      </c>
      <c r="G2161" s="13">
        <f>IFERROR(ROUND(F2161/E2161,4),"")</f>
        <v/>
      </c>
      <c r="H2161" s="14">
        <f>IF(D2161=0,"NO DATA",IF(D2161&gt;E2161*1.5,"OVER",IF(D2161&gt;E2161*1.1,"HIGH",IF(D2161&lt;E2161*0.5,"LOW","OK"))))</f>
        <v/>
      </c>
    </row>
    <row r="2162" ht="22" customHeight="1">
      <c r="B2162" s="8" t="inlineStr">
        <is>
          <t>MTR-WSH-002</t>
        </is>
      </c>
      <c r="C2162" s="8" t="inlineStr">
        <is>
          <t>2024-12-03</t>
        </is>
      </c>
      <c r="D2162" s="12" t="n">
        <v>31.4</v>
      </c>
      <c r="E2162" s="12" t="n">
        <v>30</v>
      </c>
      <c r="F2162" s="12">
        <f>ROUND(D2162-E2162,2)</f>
        <v/>
      </c>
      <c r="G2162" s="15">
        <f>IFERROR(ROUND(F2162/E2162,4),"")</f>
        <v/>
      </c>
      <c r="H2162" s="16">
        <f>IF(D2162=0,"NO DATA",IF(D2162&gt;E2162*1.5,"OVER",IF(D2162&gt;E2162*1.1,"HIGH",IF(D2162&lt;E2162*0.5,"LOW","OK"))))</f>
        <v/>
      </c>
    </row>
    <row r="2163" ht="22" customHeight="1">
      <c r="B2163" s="5" t="inlineStr">
        <is>
          <t>MTR-WSH-002</t>
        </is>
      </c>
      <c r="C2163" s="5" t="inlineStr">
        <is>
          <t>2024-12-04</t>
        </is>
      </c>
      <c r="D2163" s="11" t="n">
        <v>32.81</v>
      </c>
      <c r="E2163" s="11" t="n">
        <v>30</v>
      </c>
      <c r="F2163" s="11">
        <f>ROUND(D2163-E2163,2)</f>
        <v/>
      </c>
      <c r="G2163" s="13">
        <f>IFERROR(ROUND(F2163/E2163,4),"")</f>
        <v/>
      </c>
      <c r="H2163" s="14">
        <f>IF(D2163=0,"NO DATA",IF(D2163&gt;E2163*1.5,"OVER",IF(D2163&gt;E2163*1.1,"HIGH",IF(D2163&lt;E2163*0.5,"LOW","OK"))))</f>
        <v/>
      </c>
    </row>
    <row r="2164" ht="22" customHeight="1">
      <c r="B2164" s="8" t="inlineStr">
        <is>
          <t>MTR-WSH-002</t>
        </is>
      </c>
      <c r="C2164" s="8" t="inlineStr">
        <is>
          <t>2024-12-05</t>
        </is>
      </c>
      <c r="D2164" s="12" t="n">
        <v>28.74</v>
      </c>
      <c r="E2164" s="12" t="n">
        <v>30</v>
      </c>
      <c r="F2164" s="12">
        <f>ROUND(D2164-E2164,2)</f>
        <v/>
      </c>
      <c r="G2164" s="15">
        <f>IFERROR(ROUND(F2164/E2164,4),"")</f>
        <v/>
      </c>
      <c r="H2164" s="16">
        <f>IF(D2164=0,"NO DATA",IF(D2164&gt;E2164*1.5,"OVER",IF(D2164&gt;E2164*1.1,"HIGH",IF(D2164&lt;E2164*0.5,"LOW","OK"))))</f>
        <v/>
      </c>
    </row>
    <row r="2165" ht="22" customHeight="1">
      <c r="B2165" s="5" t="inlineStr">
        <is>
          <t>MTR-WSH-002</t>
        </is>
      </c>
      <c r="C2165" s="5" t="inlineStr">
        <is>
          <t>2024-12-06</t>
        </is>
      </c>
      <c r="D2165" s="11" t="n">
        <v>26.66</v>
      </c>
      <c r="E2165" s="11" t="n">
        <v>30</v>
      </c>
      <c r="F2165" s="11">
        <f>ROUND(D2165-E2165,2)</f>
        <v/>
      </c>
      <c r="G2165" s="13">
        <f>IFERROR(ROUND(F2165/E2165,4),"")</f>
        <v/>
      </c>
      <c r="H2165" s="14">
        <f>IF(D2165=0,"NO DATA",IF(D2165&gt;E2165*1.5,"OVER",IF(D2165&gt;E2165*1.1,"HIGH",IF(D2165&lt;E2165*0.5,"LOW","OK"))))</f>
        <v/>
      </c>
    </row>
    <row r="2166" ht="22" customHeight="1">
      <c r="B2166" s="8" t="inlineStr">
        <is>
          <t>MTR-WSH-002</t>
        </is>
      </c>
      <c r="C2166" s="8" t="inlineStr">
        <is>
          <t>2024-12-07</t>
        </is>
      </c>
      <c r="D2166" s="12" t="n">
        <v>23.49</v>
      </c>
      <c r="E2166" s="12" t="n">
        <v>30</v>
      </c>
      <c r="F2166" s="12">
        <f>ROUND(D2166-E2166,2)</f>
        <v/>
      </c>
      <c r="G2166" s="15">
        <f>IFERROR(ROUND(F2166/E2166,4),"")</f>
        <v/>
      </c>
      <c r="H2166" s="16">
        <f>IF(D2166=0,"NO DATA",IF(D2166&gt;E2166*1.5,"OVER",IF(D2166&gt;E2166*1.1,"HIGH",IF(D2166&lt;E2166*0.5,"LOW","OK"))))</f>
        <v/>
      </c>
    </row>
    <row r="2167" ht="22" customHeight="1">
      <c r="B2167" s="5" t="inlineStr">
        <is>
          <t>MTR-WSH-002</t>
        </is>
      </c>
      <c r="C2167" s="5" t="inlineStr">
        <is>
          <t>2024-12-08</t>
        </is>
      </c>
      <c r="D2167" s="11" t="n">
        <v>18.03</v>
      </c>
      <c r="E2167" s="11" t="n">
        <v>30</v>
      </c>
      <c r="F2167" s="11">
        <f>ROUND(D2167-E2167,2)</f>
        <v/>
      </c>
      <c r="G2167" s="13">
        <f>IFERROR(ROUND(F2167/E2167,4),"")</f>
        <v/>
      </c>
      <c r="H2167" s="14">
        <f>IF(D2167=0,"NO DATA",IF(D2167&gt;E2167*1.5,"OVER",IF(D2167&gt;E2167*1.1,"HIGH",IF(D2167&lt;E2167*0.5,"LOW","OK"))))</f>
        <v/>
      </c>
    </row>
    <row r="2168" ht="22" customHeight="1">
      <c r="B2168" s="8" t="inlineStr">
        <is>
          <t>MTR-WSH-002</t>
        </is>
      </c>
      <c r="C2168" s="8" t="inlineStr">
        <is>
          <t>2024-12-09</t>
        </is>
      </c>
      <c r="D2168" s="12" t="n">
        <v>32.01</v>
      </c>
      <c r="E2168" s="12" t="n">
        <v>30</v>
      </c>
      <c r="F2168" s="12">
        <f>ROUND(D2168-E2168,2)</f>
        <v/>
      </c>
      <c r="G2168" s="15">
        <f>IFERROR(ROUND(F2168/E2168,4),"")</f>
        <v/>
      </c>
      <c r="H2168" s="16">
        <f>IF(D2168=0,"NO DATA",IF(D2168&gt;E2168*1.5,"OVER",IF(D2168&gt;E2168*1.1,"HIGH",IF(D2168&lt;E2168*0.5,"LOW","OK"))))</f>
        <v/>
      </c>
    </row>
    <row r="2169" ht="22" customHeight="1">
      <c r="B2169" s="5" t="inlineStr">
        <is>
          <t>MTR-WSH-002</t>
        </is>
      </c>
      <c r="C2169" s="5" t="inlineStr">
        <is>
          <t>2024-12-10</t>
        </is>
      </c>
      <c r="D2169" s="11" t="n">
        <v>30.12</v>
      </c>
      <c r="E2169" s="11" t="n">
        <v>30</v>
      </c>
      <c r="F2169" s="11">
        <f>ROUND(D2169-E2169,2)</f>
        <v/>
      </c>
      <c r="G2169" s="13">
        <f>IFERROR(ROUND(F2169/E2169,4),"")</f>
        <v/>
      </c>
      <c r="H2169" s="14">
        <f>IF(D2169=0,"NO DATA",IF(D2169&gt;E2169*1.5,"OVER",IF(D2169&gt;E2169*1.1,"HIGH",IF(D2169&lt;E2169*0.5,"LOW","OK"))))</f>
        <v/>
      </c>
    </row>
    <row r="2170" ht="22" customHeight="1">
      <c r="B2170" s="8" t="inlineStr">
        <is>
          <t>MTR-WSH-002</t>
        </is>
      </c>
      <c r="C2170" s="8" t="inlineStr">
        <is>
          <t>2024-12-11</t>
        </is>
      </c>
      <c r="D2170" s="12" t="n">
        <v>30.13</v>
      </c>
      <c r="E2170" s="12" t="n">
        <v>30</v>
      </c>
      <c r="F2170" s="12">
        <f>ROUND(D2170-E2170,2)</f>
        <v/>
      </c>
      <c r="G2170" s="15">
        <f>IFERROR(ROUND(F2170/E2170,4),"")</f>
        <v/>
      </c>
      <c r="H2170" s="16">
        <f>IF(D2170=0,"NO DATA",IF(D2170&gt;E2170*1.5,"OVER",IF(D2170&gt;E2170*1.1,"HIGH",IF(D2170&lt;E2170*0.5,"LOW","OK"))))</f>
        <v/>
      </c>
    </row>
    <row r="2171" ht="22" customHeight="1">
      <c r="B2171" s="5" t="inlineStr">
        <is>
          <t>MTR-WSH-002</t>
        </is>
      </c>
      <c r="C2171" s="5" t="inlineStr">
        <is>
          <t>2024-12-12</t>
        </is>
      </c>
      <c r="D2171" s="11" t="n">
        <v>30.98</v>
      </c>
      <c r="E2171" s="11" t="n">
        <v>30</v>
      </c>
      <c r="F2171" s="11">
        <f>ROUND(D2171-E2171,2)</f>
        <v/>
      </c>
      <c r="G2171" s="13">
        <f>IFERROR(ROUND(F2171/E2171,4),"")</f>
        <v/>
      </c>
      <c r="H2171" s="14">
        <f>IF(D2171=0,"NO DATA",IF(D2171&gt;E2171*1.5,"OVER",IF(D2171&gt;E2171*1.1,"HIGH",IF(D2171&lt;E2171*0.5,"LOW","OK"))))</f>
        <v/>
      </c>
    </row>
    <row r="2172" ht="22" customHeight="1">
      <c r="B2172" s="8" t="inlineStr">
        <is>
          <t>MTR-WSH-002</t>
        </is>
      </c>
      <c r="C2172" s="8" t="inlineStr">
        <is>
          <t>2024-12-13</t>
        </is>
      </c>
      <c r="D2172" s="12" t="n">
        <v>30.12</v>
      </c>
      <c r="E2172" s="12" t="n">
        <v>30</v>
      </c>
      <c r="F2172" s="12">
        <f>ROUND(D2172-E2172,2)</f>
        <v/>
      </c>
      <c r="G2172" s="15">
        <f>IFERROR(ROUND(F2172/E2172,4),"")</f>
        <v/>
      </c>
      <c r="H2172" s="16">
        <f>IF(D2172=0,"NO DATA",IF(D2172&gt;E2172*1.5,"OVER",IF(D2172&gt;E2172*1.1,"HIGH",IF(D2172&lt;E2172*0.5,"LOW","OK"))))</f>
        <v/>
      </c>
    </row>
    <row r="2173" ht="22" customHeight="1">
      <c r="B2173" s="5" t="inlineStr">
        <is>
          <t>MTR-WSH-002</t>
        </is>
      </c>
      <c r="C2173" s="5" t="inlineStr">
        <is>
          <t>2024-12-14</t>
        </is>
      </c>
      <c r="D2173" s="11" t="n">
        <v>27.08</v>
      </c>
      <c r="E2173" s="11" t="n">
        <v>30</v>
      </c>
      <c r="F2173" s="11">
        <f>ROUND(D2173-E2173,2)</f>
        <v/>
      </c>
      <c r="G2173" s="13">
        <f>IFERROR(ROUND(F2173/E2173,4),"")</f>
        <v/>
      </c>
      <c r="H2173" s="14">
        <f>IF(D2173=0,"NO DATA",IF(D2173&gt;E2173*1.5,"OVER",IF(D2173&gt;E2173*1.1,"HIGH",IF(D2173&lt;E2173*0.5,"LOW","OK"))))</f>
        <v/>
      </c>
    </row>
    <row r="2174" ht="22" customHeight="1">
      <c r="B2174" s="8" t="inlineStr">
        <is>
          <t>MTR-WSH-002</t>
        </is>
      </c>
      <c r="C2174" s="8" t="inlineStr">
        <is>
          <t>2024-12-15</t>
        </is>
      </c>
      <c r="D2174" s="12" t="n">
        <v>15.4</v>
      </c>
      <c r="E2174" s="12" t="n">
        <v>30</v>
      </c>
      <c r="F2174" s="12">
        <f>ROUND(D2174-E2174,2)</f>
        <v/>
      </c>
      <c r="G2174" s="15">
        <f>IFERROR(ROUND(F2174/E2174,4),"")</f>
        <v/>
      </c>
      <c r="H2174" s="16">
        <f>IF(D2174=0,"NO DATA",IF(D2174&gt;E2174*1.5,"OVER",IF(D2174&gt;E2174*1.1,"HIGH",IF(D2174&lt;E2174*0.5,"LOW","OK"))))</f>
        <v/>
      </c>
    </row>
    <row r="2175" ht="22" customHeight="1">
      <c r="B2175" s="5" t="inlineStr">
        <is>
          <t>MTR-WSH-002</t>
        </is>
      </c>
      <c r="C2175" s="5" t="inlineStr">
        <is>
          <t>2024-12-16</t>
        </is>
      </c>
      <c r="D2175" s="11" t="n">
        <v>31.68</v>
      </c>
      <c r="E2175" s="11" t="n">
        <v>30</v>
      </c>
      <c r="F2175" s="11">
        <f>ROUND(D2175-E2175,2)</f>
        <v/>
      </c>
      <c r="G2175" s="13">
        <f>IFERROR(ROUND(F2175/E2175,4),"")</f>
        <v/>
      </c>
      <c r="H2175" s="14">
        <f>IF(D2175=0,"NO DATA",IF(D2175&gt;E2175*1.5,"OVER",IF(D2175&gt;E2175*1.1,"HIGH",IF(D2175&lt;E2175*0.5,"LOW","OK"))))</f>
        <v/>
      </c>
    </row>
    <row r="2176" ht="22" customHeight="1">
      <c r="B2176" s="8" t="inlineStr">
        <is>
          <t>MTR-WSH-002</t>
        </is>
      </c>
      <c r="C2176" s="8" t="inlineStr">
        <is>
          <t>2024-12-17</t>
        </is>
      </c>
      <c r="D2176" s="12" t="n">
        <v>30.85</v>
      </c>
      <c r="E2176" s="12" t="n">
        <v>30</v>
      </c>
      <c r="F2176" s="12">
        <f>ROUND(D2176-E2176,2)</f>
        <v/>
      </c>
      <c r="G2176" s="15">
        <f>IFERROR(ROUND(F2176/E2176,4),"")</f>
        <v/>
      </c>
      <c r="H2176" s="16">
        <f>IF(D2176=0,"NO DATA",IF(D2176&gt;E2176*1.5,"OVER",IF(D2176&gt;E2176*1.1,"HIGH",IF(D2176&lt;E2176*0.5,"LOW","OK"))))</f>
        <v/>
      </c>
    </row>
    <row r="2177" ht="22" customHeight="1">
      <c r="B2177" s="5" t="inlineStr">
        <is>
          <t>MTR-WSH-002</t>
        </is>
      </c>
      <c r="C2177" s="5" t="inlineStr">
        <is>
          <t>2024-12-18</t>
        </is>
      </c>
      <c r="D2177" s="11" t="n">
        <v>31.71</v>
      </c>
      <c r="E2177" s="11" t="n">
        <v>30</v>
      </c>
      <c r="F2177" s="11">
        <f>ROUND(D2177-E2177,2)</f>
        <v/>
      </c>
      <c r="G2177" s="13">
        <f>IFERROR(ROUND(F2177/E2177,4),"")</f>
        <v/>
      </c>
      <c r="H2177" s="14">
        <f>IF(D2177=0,"NO DATA",IF(D2177&gt;E2177*1.5,"OVER",IF(D2177&gt;E2177*1.1,"HIGH",IF(D2177&lt;E2177*0.5,"LOW","OK"))))</f>
        <v/>
      </c>
    </row>
    <row r="2178" ht="22" customHeight="1">
      <c r="B2178" s="8" t="inlineStr">
        <is>
          <t>MTR-WSH-002</t>
        </is>
      </c>
      <c r="C2178" s="8" t="inlineStr">
        <is>
          <t>2024-12-19</t>
        </is>
      </c>
      <c r="D2178" s="12" t="n">
        <v>32.12</v>
      </c>
      <c r="E2178" s="12" t="n">
        <v>30</v>
      </c>
      <c r="F2178" s="12">
        <f>ROUND(D2178-E2178,2)</f>
        <v/>
      </c>
      <c r="G2178" s="15">
        <f>IFERROR(ROUND(F2178/E2178,4),"")</f>
        <v/>
      </c>
      <c r="H2178" s="16">
        <f>IF(D2178=0,"NO DATA",IF(D2178&gt;E2178*1.5,"OVER",IF(D2178&gt;E2178*1.1,"HIGH",IF(D2178&lt;E2178*0.5,"LOW","OK"))))</f>
        <v/>
      </c>
    </row>
    <row r="2179" ht="22" customHeight="1">
      <c r="B2179" s="5" t="inlineStr">
        <is>
          <t>MTR-WSH-002</t>
        </is>
      </c>
      <c r="C2179" s="5" t="inlineStr">
        <is>
          <t>2024-12-20</t>
        </is>
      </c>
      <c r="D2179" s="11" t="n">
        <v>34.19</v>
      </c>
      <c r="E2179" s="11" t="n">
        <v>30</v>
      </c>
      <c r="F2179" s="11">
        <f>ROUND(D2179-E2179,2)</f>
        <v/>
      </c>
      <c r="G2179" s="13">
        <f>IFERROR(ROUND(F2179/E2179,4),"")</f>
        <v/>
      </c>
      <c r="H2179" s="14">
        <f>IF(D2179=0,"NO DATA",IF(D2179&gt;E2179*1.5,"OVER",IF(D2179&gt;E2179*1.1,"HIGH",IF(D2179&lt;E2179*0.5,"LOW","OK"))))</f>
        <v/>
      </c>
    </row>
    <row r="2180" ht="22" customHeight="1">
      <c r="B2180" s="8" t="inlineStr">
        <is>
          <t>MTR-WSH-002</t>
        </is>
      </c>
      <c r="C2180" s="8" t="inlineStr">
        <is>
          <t>2024-12-21</t>
        </is>
      </c>
      <c r="D2180" s="12" t="n">
        <v>24.2</v>
      </c>
      <c r="E2180" s="12" t="n">
        <v>30</v>
      </c>
      <c r="F2180" s="12">
        <f>ROUND(D2180-E2180,2)</f>
        <v/>
      </c>
      <c r="G2180" s="15">
        <f>IFERROR(ROUND(F2180/E2180,4),"")</f>
        <v/>
      </c>
      <c r="H2180" s="16">
        <f>IF(D2180=0,"NO DATA",IF(D2180&gt;E2180*1.5,"OVER",IF(D2180&gt;E2180*1.1,"HIGH",IF(D2180&lt;E2180*0.5,"LOW","OK"))))</f>
        <v/>
      </c>
    </row>
    <row r="2181" ht="22" customHeight="1">
      <c r="B2181" s="5" t="inlineStr">
        <is>
          <t>MTR-WSH-002</t>
        </is>
      </c>
      <c r="C2181" s="5" t="inlineStr">
        <is>
          <t>2024-12-22</t>
        </is>
      </c>
      <c r="D2181" s="11" t="n">
        <v>17.88</v>
      </c>
      <c r="E2181" s="11" t="n">
        <v>30</v>
      </c>
      <c r="F2181" s="11">
        <f>ROUND(D2181-E2181,2)</f>
        <v/>
      </c>
      <c r="G2181" s="13">
        <f>IFERROR(ROUND(F2181/E2181,4),"")</f>
        <v/>
      </c>
      <c r="H2181" s="14">
        <f>IF(D2181=0,"NO DATA",IF(D2181&gt;E2181*1.5,"OVER",IF(D2181&gt;E2181*1.1,"HIGH",IF(D2181&lt;E2181*0.5,"LOW","OK"))))</f>
        <v/>
      </c>
    </row>
    <row r="2182" ht="22" customHeight="1">
      <c r="B2182" s="8" t="inlineStr">
        <is>
          <t>MTR-WSH-002</t>
        </is>
      </c>
      <c r="C2182" s="8" t="inlineStr">
        <is>
          <t>2024-12-23</t>
        </is>
      </c>
      <c r="D2182" s="12" t="n">
        <v>29.54</v>
      </c>
      <c r="E2182" s="12" t="n">
        <v>30</v>
      </c>
      <c r="F2182" s="12">
        <f>ROUND(D2182-E2182,2)</f>
        <v/>
      </c>
      <c r="G2182" s="15">
        <f>IFERROR(ROUND(F2182/E2182,4),"")</f>
        <v/>
      </c>
      <c r="H2182" s="16">
        <f>IF(D2182=0,"NO DATA",IF(D2182&gt;E2182*1.5,"OVER",IF(D2182&gt;E2182*1.1,"HIGH",IF(D2182&lt;E2182*0.5,"LOW","OK"))))</f>
        <v/>
      </c>
    </row>
    <row r="2183" ht="22" customHeight="1">
      <c r="B2183" s="5" t="inlineStr">
        <is>
          <t>MTR-WSH-002</t>
        </is>
      </c>
      <c r="C2183" s="5" t="inlineStr">
        <is>
          <t>2024-12-24</t>
        </is>
      </c>
      <c r="D2183" s="11" t="n">
        <v>33.79</v>
      </c>
      <c r="E2183" s="11" t="n">
        <v>30</v>
      </c>
      <c r="F2183" s="11">
        <f>ROUND(D2183-E2183,2)</f>
        <v/>
      </c>
      <c r="G2183" s="13">
        <f>IFERROR(ROUND(F2183/E2183,4),"")</f>
        <v/>
      </c>
      <c r="H2183" s="14">
        <f>IF(D2183=0,"NO DATA",IF(D2183&gt;E2183*1.5,"OVER",IF(D2183&gt;E2183*1.1,"HIGH",IF(D2183&lt;E2183*0.5,"LOW","OK"))))</f>
        <v/>
      </c>
    </row>
    <row r="2184" ht="22" customHeight="1">
      <c r="B2184" s="8" t="inlineStr">
        <is>
          <t>MTR-WSH-002</t>
        </is>
      </c>
      <c r="C2184" s="8" t="inlineStr">
        <is>
          <t>2024-12-25</t>
        </is>
      </c>
      <c r="D2184" s="12" t="n">
        <v>28.38</v>
      </c>
      <c r="E2184" s="12" t="n">
        <v>30</v>
      </c>
      <c r="F2184" s="12">
        <f>ROUND(D2184-E2184,2)</f>
        <v/>
      </c>
      <c r="G2184" s="15">
        <f>IFERROR(ROUND(F2184/E2184,4),"")</f>
        <v/>
      </c>
      <c r="H2184" s="16">
        <f>IF(D2184=0,"NO DATA",IF(D2184&gt;E2184*1.5,"OVER",IF(D2184&gt;E2184*1.1,"HIGH",IF(D2184&lt;E2184*0.5,"LOW","OK"))))</f>
        <v/>
      </c>
    </row>
    <row r="2185" ht="22" customHeight="1">
      <c r="B2185" s="5" t="inlineStr">
        <is>
          <t>MTR-WSH-002</t>
        </is>
      </c>
      <c r="C2185" s="5" t="inlineStr">
        <is>
          <t>2024-12-26</t>
        </is>
      </c>
      <c r="D2185" s="11" t="n">
        <v>26.79</v>
      </c>
      <c r="E2185" s="11" t="n">
        <v>30</v>
      </c>
      <c r="F2185" s="11">
        <f>ROUND(D2185-E2185,2)</f>
        <v/>
      </c>
      <c r="G2185" s="13">
        <f>IFERROR(ROUND(F2185/E2185,4),"")</f>
        <v/>
      </c>
      <c r="H2185" s="14">
        <f>IF(D2185=0,"NO DATA",IF(D2185&gt;E2185*1.5,"OVER",IF(D2185&gt;E2185*1.1,"HIGH",IF(D2185&lt;E2185*0.5,"LOW","OK"))))</f>
        <v/>
      </c>
    </row>
    <row r="2186" ht="22" customHeight="1">
      <c r="B2186" s="8" t="inlineStr">
        <is>
          <t>MTR-WSH-002</t>
        </is>
      </c>
      <c r="C2186" s="8" t="inlineStr">
        <is>
          <t>2024-12-27</t>
        </is>
      </c>
      <c r="D2186" s="12" t="n">
        <v>33.08</v>
      </c>
      <c r="E2186" s="12" t="n">
        <v>30</v>
      </c>
      <c r="F2186" s="12">
        <f>ROUND(D2186-E2186,2)</f>
        <v/>
      </c>
      <c r="G2186" s="15">
        <f>IFERROR(ROUND(F2186/E2186,4),"")</f>
        <v/>
      </c>
      <c r="H2186" s="16">
        <f>IF(D2186=0,"NO DATA",IF(D2186&gt;E2186*1.5,"OVER",IF(D2186&gt;E2186*1.1,"HIGH",IF(D2186&lt;E2186*0.5,"LOW","OK"))))</f>
        <v/>
      </c>
    </row>
    <row r="2187" ht="22" customHeight="1">
      <c r="B2187" s="5" t="inlineStr">
        <is>
          <t>MTR-WSH-002</t>
        </is>
      </c>
      <c r="C2187" s="5" t="inlineStr">
        <is>
          <t>2024-12-28</t>
        </is>
      </c>
      <c r="D2187" s="11" t="n">
        <v>22.68</v>
      </c>
      <c r="E2187" s="11" t="n">
        <v>30</v>
      </c>
      <c r="F2187" s="11">
        <f>ROUND(D2187-E2187,2)</f>
        <v/>
      </c>
      <c r="G2187" s="13">
        <f>IFERROR(ROUND(F2187/E2187,4),"")</f>
        <v/>
      </c>
      <c r="H2187" s="14">
        <f>IF(D2187=0,"NO DATA",IF(D2187&gt;E2187*1.5,"OVER",IF(D2187&gt;E2187*1.1,"HIGH",IF(D2187&lt;E2187*0.5,"LOW","OK"))))</f>
        <v/>
      </c>
    </row>
    <row r="2188" ht="22" customHeight="1">
      <c r="B2188" s="8" t="inlineStr">
        <is>
          <t>MTR-WSH-002</t>
        </is>
      </c>
      <c r="C2188" s="8" t="inlineStr">
        <is>
          <t>2024-12-29</t>
        </is>
      </c>
      <c r="D2188" s="12" t="n">
        <v>17.02</v>
      </c>
      <c r="E2188" s="12" t="n">
        <v>30</v>
      </c>
      <c r="F2188" s="12">
        <f>ROUND(D2188-E2188,2)</f>
        <v/>
      </c>
      <c r="G2188" s="15">
        <f>IFERROR(ROUND(F2188/E2188,4),"")</f>
        <v/>
      </c>
      <c r="H2188" s="16">
        <f>IF(D2188=0,"NO DATA",IF(D2188&gt;E2188*1.5,"OVER",IF(D2188&gt;E2188*1.1,"HIGH",IF(D2188&lt;E2188*0.5,"LOW","OK"))))</f>
        <v/>
      </c>
    </row>
    <row r="2189" ht="22" customHeight="1">
      <c r="B2189" s="5" t="inlineStr">
        <is>
          <t>MTR-WSH-002</t>
        </is>
      </c>
      <c r="C2189" s="5" t="inlineStr">
        <is>
          <t>2024-12-30</t>
        </is>
      </c>
      <c r="D2189" s="11" t="n">
        <v>28.58</v>
      </c>
      <c r="E2189" s="11" t="n">
        <v>30</v>
      </c>
      <c r="F2189" s="11">
        <f>ROUND(D2189-E2189,2)</f>
        <v/>
      </c>
      <c r="G2189" s="13">
        <f>IFERROR(ROUND(F2189/E2189,4),"")</f>
        <v/>
      </c>
      <c r="H2189" s="14">
        <f>IF(D2189=0,"NO DATA",IF(D2189&gt;E2189*1.5,"OVER",IF(D2189&gt;E2189*1.1,"HIGH",IF(D2189&lt;E2189*0.5,"LOW","OK"))))</f>
        <v/>
      </c>
    </row>
    <row r="2190" ht="22" customHeight="1">
      <c r="B2190" s="8" t="inlineStr">
        <is>
          <t>MTR-WSH-002</t>
        </is>
      </c>
      <c r="C2190" s="8" t="inlineStr">
        <is>
          <t>2024-12-31</t>
        </is>
      </c>
      <c r="D2190" s="12" t="n">
        <v>29.08</v>
      </c>
      <c r="E2190" s="12" t="n">
        <v>30</v>
      </c>
      <c r="F2190" s="12">
        <f>ROUND(D2190-E2190,2)</f>
        <v/>
      </c>
      <c r="G2190" s="15">
        <f>IFERROR(ROUND(F2190/E2190,4),"")</f>
        <v/>
      </c>
      <c r="H2190" s="16">
        <f>IF(D2190=0,"NO DATA",IF(D2190&gt;E2190*1.5,"OVER",IF(D2190&gt;E2190*1.1,"HIGH",IF(D2190&lt;E2190*0.5,"LOW","OK"))))</f>
        <v/>
      </c>
    </row>
  </sheetData>
  <mergeCells count="1">
    <mergeCell ref="B2:G2"/>
  </mergeCells>
  <conditionalFormatting sqref="H5:H2190">
    <cfRule type="expression" priority="1" dxfId="0">
      <formula>H5="OVER"</formula>
    </cfRule>
    <cfRule type="expression" priority="2" dxfId="1">
      <formula>H5="HIGH"</formula>
    </cfRule>
    <cfRule type="expression" priority="3" dxfId="2">
      <formula>H5="OK"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7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5" customWidth="1" min="3" max="3"/>
    <col width="9" customWidth="1" min="4" max="4"/>
    <col width="9" customWidth="1" min="5" max="5"/>
    <col width="8" customWidth="1" min="6" max="6"/>
    <col width="8" customWidth="1" min="7" max="7"/>
    <col width="19" customWidth="1" min="8" max="8"/>
    <col width="28" customWidth="1" min="9" max="9"/>
  </cols>
  <sheetData>
    <row r="1" ht="15" customHeight="1"/>
    <row r="2" ht="32" customHeight="1">
      <c r="B2" s="1" t="inlineStr">
        <is>
          <t>Monthly Consumption Summary by Meter</t>
        </is>
      </c>
    </row>
    <row r="3" ht="8" customHeight="1"/>
    <row r="4" ht="28" customHeight="1">
      <c r="B4" s="4" t="inlineStr">
        <is>
          <t>Meter ID</t>
        </is>
      </c>
      <c r="C4" s="4" t="inlineStr">
        <is>
          <t>Area</t>
        </is>
      </c>
      <c r="D4" s="4" t="inlineStr">
        <is>
          <t>Month</t>
        </is>
      </c>
      <c r="E4" s="4" t="inlineStr">
        <is>
          <t>Monthly Consumption (m3)</t>
        </is>
      </c>
      <c r="F4" s="4" t="inlineStr">
        <is>
          <t>Daily Target (m3)</t>
        </is>
      </c>
      <c r="G4" s="4" t="inlineStr">
        <is>
          <t>Monthly Target (m3)</t>
        </is>
      </c>
      <c r="H4" s="4" t="inlineStr">
        <is>
          <t>Variance (m3)</t>
        </is>
      </c>
      <c r="I4" s="4" t="inlineStr">
        <is>
          <t>Variance %</t>
        </is>
      </c>
    </row>
    <row r="5" ht="22" customHeight="1">
      <c r="B5" s="5" t="inlineStr">
        <is>
          <t>MTR-BLR-003</t>
        </is>
      </c>
      <c r="C5" s="5" t="inlineStr">
        <is>
          <t>Boiler House</t>
        </is>
      </c>
      <c r="D5" s="5" t="inlineStr">
        <is>
          <t>2024-01</t>
        </is>
      </c>
      <c r="E5" s="11" t="n">
        <v>517.9299999999999</v>
      </c>
      <c r="F5" s="11" t="n">
        <v>20</v>
      </c>
      <c r="G5" s="11" t="n">
        <v>620</v>
      </c>
      <c r="H5" s="11">
        <f>ROUND(E5-G5,2)</f>
        <v/>
      </c>
      <c r="I5" s="13">
        <f>IFERROR(ROUND(H5/G5,4),"")</f>
        <v/>
      </c>
    </row>
    <row r="6" ht="22" customHeight="1">
      <c r="B6" s="8" t="inlineStr">
        <is>
          <t>MTR-BLR-003</t>
        </is>
      </c>
      <c r="C6" s="8" t="inlineStr">
        <is>
          <t>Boiler House</t>
        </is>
      </c>
      <c r="D6" s="8" t="inlineStr">
        <is>
          <t>2024-02</t>
        </is>
      </c>
      <c r="E6" s="12" t="n">
        <v>530.08</v>
      </c>
      <c r="F6" s="12" t="n">
        <v>20</v>
      </c>
      <c r="G6" s="12" t="n">
        <v>580</v>
      </c>
      <c r="H6" s="12">
        <f>ROUND(E6-G6,2)</f>
        <v/>
      </c>
      <c r="I6" s="15">
        <f>IFERROR(ROUND(H6/G6,4),"")</f>
        <v/>
      </c>
    </row>
    <row r="7" ht="22" customHeight="1">
      <c r="B7" s="5" t="inlineStr">
        <is>
          <t>MTR-BLR-003</t>
        </is>
      </c>
      <c r="C7" s="5" t="inlineStr">
        <is>
          <t>Boiler House</t>
        </is>
      </c>
      <c r="D7" s="5" t="inlineStr">
        <is>
          <t>2024-03</t>
        </is>
      </c>
      <c r="E7" s="11" t="n">
        <v>528.45</v>
      </c>
      <c r="F7" s="11" t="n">
        <v>20</v>
      </c>
      <c r="G7" s="11" t="n">
        <v>620</v>
      </c>
      <c r="H7" s="11">
        <f>ROUND(E7-G7,2)</f>
        <v/>
      </c>
      <c r="I7" s="13">
        <f>IFERROR(ROUND(H7/G7,4),"")</f>
        <v/>
      </c>
    </row>
    <row r="8" ht="22" customHeight="1">
      <c r="B8" s="8" t="inlineStr">
        <is>
          <t>MTR-BLR-003</t>
        </is>
      </c>
      <c r="C8" s="8" t="inlineStr">
        <is>
          <t>Boiler House</t>
        </is>
      </c>
      <c r="D8" s="8" t="inlineStr">
        <is>
          <t>2024-04</t>
        </is>
      </c>
      <c r="E8" s="12" t="n">
        <v>558.29</v>
      </c>
      <c r="F8" s="12" t="n">
        <v>20</v>
      </c>
      <c r="G8" s="12" t="n">
        <v>600</v>
      </c>
      <c r="H8" s="12">
        <f>ROUND(E8-G8,2)</f>
        <v/>
      </c>
      <c r="I8" s="15">
        <f>IFERROR(ROUND(H8/G8,4),"")</f>
        <v/>
      </c>
    </row>
    <row r="9" ht="22" customHeight="1">
      <c r="B9" s="5" t="inlineStr">
        <is>
          <t>MTR-BLR-003</t>
        </is>
      </c>
      <c r="C9" s="5" t="inlineStr">
        <is>
          <t>Boiler House</t>
        </is>
      </c>
      <c r="D9" s="5" t="inlineStr">
        <is>
          <t>2024-05</t>
        </is>
      </c>
      <c r="E9" s="11" t="n">
        <v>598.36</v>
      </c>
      <c r="F9" s="11" t="n">
        <v>20</v>
      </c>
      <c r="G9" s="11" t="n">
        <v>620</v>
      </c>
      <c r="H9" s="11">
        <f>ROUND(E9-G9,2)</f>
        <v/>
      </c>
      <c r="I9" s="13">
        <f>IFERROR(ROUND(H9/G9,4),"")</f>
        <v/>
      </c>
    </row>
    <row r="10" ht="22" customHeight="1">
      <c r="B10" s="8" t="inlineStr">
        <is>
          <t>MTR-BLR-003</t>
        </is>
      </c>
      <c r="C10" s="8" t="inlineStr">
        <is>
          <t>Boiler House</t>
        </is>
      </c>
      <c r="D10" s="8" t="inlineStr">
        <is>
          <t>2024-06</t>
        </is>
      </c>
      <c r="E10" s="12" t="n">
        <v>571.46</v>
      </c>
      <c r="F10" s="12" t="n">
        <v>20</v>
      </c>
      <c r="G10" s="12" t="n">
        <v>600</v>
      </c>
      <c r="H10" s="12">
        <f>ROUND(E10-G10,2)</f>
        <v/>
      </c>
      <c r="I10" s="15">
        <f>IFERROR(ROUND(H10/G10,4),"")</f>
        <v/>
      </c>
    </row>
    <row r="11" ht="22" customHeight="1">
      <c r="B11" s="5" t="inlineStr">
        <is>
          <t>MTR-BLR-003</t>
        </is>
      </c>
      <c r="C11" s="5" t="inlineStr">
        <is>
          <t>Boiler House</t>
        </is>
      </c>
      <c r="D11" s="5" t="inlineStr">
        <is>
          <t>2024-07</t>
        </is>
      </c>
      <c r="E11" s="11" t="n">
        <v>636.41</v>
      </c>
      <c r="F11" s="11" t="n">
        <v>20</v>
      </c>
      <c r="G11" s="11" t="n">
        <v>620</v>
      </c>
      <c r="H11" s="11">
        <f>ROUND(E11-G11,2)</f>
        <v/>
      </c>
      <c r="I11" s="13">
        <f>IFERROR(ROUND(H11/G11,4),"")</f>
        <v/>
      </c>
    </row>
    <row r="12" ht="22" customHeight="1">
      <c r="B12" s="8" t="inlineStr">
        <is>
          <t>MTR-BLR-003</t>
        </is>
      </c>
      <c r="C12" s="8" t="inlineStr">
        <is>
          <t>Boiler House</t>
        </is>
      </c>
      <c r="D12" s="8" t="inlineStr">
        <is>
          <t>2024-08</t>
        </is>
      </c>
      <c r="E12" s="12" t="n">
        <v>608.77</v>
      </c>
      <c r="F12" s="12" t="n">
        <v>20</v>
      </c>
      <c r="G12" s="12" t="n">
        <v>620</v>
      </c>
      <c r="H12" s="12">
        <f>ROUND(E12-G12,2)</f>
        <v/>
      </c>
      <c r="I12" s="15">
        <f>IFERROR(ROUND(H12/G12,4),"")</f>
        <v/>
      </c>
    </row>
    <row r="13" ht="22" customHeight="1">
      <c r="B13" s="5" t="inlineStr">
        <is>
          <t>MTR-BLR-003</t>
        </is>
      </c>
      <c r="C13" s="5" t="inlineStr">
        <is>
          <t>Boiler House</t>
        </is>
      </c>
      <c r="D13" s="5" t="inlineStr">
        <is>
          <t>2024-09</t>
        </is>
      </c>
      <c r="E13" s="11" t="n">
        <v>570.9299999999999</v>
      </c>
      <c r="F13" s="11" t="n">
        <v>20</v>
      </c>
      <c r="G13" s="11" t="n">
        <v>600</v>
      </c>
      <c r="H13" s="11">
        <f>ROUND(E13-G13,2)</f>
        <v/>
      </c>
      <c r="I13" s="13">
        <f>IFERROR(ROUND(H13/G13,4),"")</f>
        <v/>
      </c>
    </row>
    <row r="14" ht="22" customHeight="1">
      <c r="B14" s="8" t="inlineStr">
        <is>
          <t>MTR-BLR-003</t>
        </is>
      </c>
      <c r="C14" s="8" t="inlineStr">
        <is>
          <t>Boiler House</t>
        </is>
      </c>
      <c r="D14" s="8" t="inlineStr">
        <is>
          <t>2024-10</t>
        </is>
      </c>
      <c r="E14" s="12" t="n">
        <v>565.64</v>
      </c>
      <c r="F14" s="12" t="n">
        <v>20</v>
      </c>
      <c r="G14" s="12" t="n">
        <v>620</v>
      </c>
      <c r="H14" s="12">
        <f>ROUND(E14-G14,2)</f>
        <v/>
      </c>
      <c r="I14" s="15">
        <f>IFERROR(ROUND(H14/G14,4),"")</f>
        <v/>
      </c>
    </row>
    <row r="15" ht="22" customHeight="1">
      <c r="B15" s="5" t="inlineStr">
        <is>
          <t>MTR-BLR-003</t>
        </is>
      </c>
      <c r="C15" s="5" t="inlineStr">
        <is>
          <t>Boiler House</t>
        </is>
      </c>
      <c r="D15" s="5" t="inlineStr">
        <is>
          <t>2024-11</t>
        </is>
      </c>
      <c r="E15" s="11" t="n">
        <v>574.15</v>
      </c>
      <c r="F15" s="11" t="n">
        <v>20</v>
      </c>
      <c r="G15" s="11" t="n">
        <v>600</v>
      </c>
      <c r="H15" s="11">
        <f>ROUND(E15-G15,2)</f>
        <v/>
      </c>
      <c r="I15" s="13">
        <f>IFERROR(ROUND(H15/G15,4),"")</f>
        <v/>
      </c>
    </row>
    <row r="16" ht="22" customHeight="1">
      <c r="B16" s="8" t="inlineStr">
        <is>
          <t>MTR-BLR-003</t>
        </is>
      </c>
      <c r="C16" s="8" t="inlineStr">
        <is>
          <t>Boiler House</t>
        </is>
      </c>
      <c r="D16" s="8" t="inlineStr">
        <is>
          <t>2024-12</t>
        </is>
      </c>
      <c r="E16" s="12" t="n">
        <v>545.4299999999999</v>
      </c>
      <c r="F16" s="12" t="n">
        <v>20</v>
      </c>
      <c r="G16" s="12" t="n">
        <v>620</v>
      </c>
      <c r="H16" s="12">
        <f>ROUND(E16-G16,2)</f>
        <v/>
      </c>
      <c r="I16" s="15">
        <f>IFERROR(ROUND(H16/G16,4),"")</f>
        <v/>
      </c>
    </row>
    <row r="17" ht="22" customHeight="1">
      <c r="B17" s="5" t="inlineStr">
        <is>
          <t>MTR-CTW-004</t>
        </is>
      </c>
      <c r="C17" s="5" t="inlineStr">
        <is>
          <t>Cooling Tower</t>
        </is>
      </c>
      <c r="D17" s="5" t="inlineStr">
        <is>
          <t>2024-01</t>
        </is>
      </c>
      <c r="E17" s="11" t="n">
        <v>1010.54</v>
      </c>
      <c r="F17" s="11" t="n">
        <v>38</v>
      </c>
      <c r="G17" s="11" t="n">
        <v>1178</v>
      </c>
      <c r="H17" s="11">
        <f>ROUND(E17-G17,2)</f>
        <v/>
      </c>
      <c r="I17" s="13">
        <f>IFERROR(ROUND(H17/G17,4),"")</f>
        <v/>
      </c>
    </row>
    <row r="18" ht="22" customHeight="1">
      <c r="B18" s="8" t="inlineStr">
        <is>
          <t>MTR-CTW-004</t>
        </is>
      </c>
      <c r="C18" s="8" t="inlineStr">
        <is>
          <t>Cooling Tower</t>
        </is>
      </c>
      <c r="D18" s="8" t="inlineStr">
        <is>
          <t>2024-02</t>
        </is>
      </c>
      <c r="E18" s="12" t="n">
        <v>991.33</v>
      </c>
      <c r="F18" s="12" t="n">
        <v>38</v>
      </c>
      <c r="G18" s="12" t="n">
        <v>1102</v>
      </c>
      <c r="H18" s="12">
        <f>ROUND(E18-G18,2)</f>
        <v/>
      </c>
      <c r="I18" s="15">
        <f>IFERROR(ROUND(H18/G18,4),"")</f>
        <v/>
      </c>
    </row>
    <row r="19" ht="22" customHeight="1">
      <c r="B19" s="5" t="inlineStr">
        <is>
          <t>MTR-CTW-004</t>
        </is>
      </c>
      <c r="C19" s="5" t="inlineStr">
        <is>
          <t>Cooling Tower</t>
        </is>
      </c>
      <c r="D19" s="5" t="inlineStr">
        <is>
          <t>2024-03</t>
        </is>
      </c>
      <c r="E19" s="11" t="n">
        <v>1067.74</v>
      </c>
      <c r="F19" s="11" t="n">
        <v>38</v>
      </c>
      <c r="G19" s="11" t="n">
        <v>1178</v>
      </c>
      <c r="H19" s="11">
        <f>ROUND(E19-G19,2)</f>
        <v/>
      </c>
      <c r="I19" s="13">
        <f>IFERROR(ROUND(H19/G19,4),"")</f>
        <v/>
      </c>
    </row>
    <row r="20" ht="22" customHeight="1">
      <c r="B20" s="8" t="inlineStr">
        <is>
          <t>MTR-CTW-004</t>
        </is>
      </c>
      <c r="C20" s="8" t="inlineStr">
        <is>
          <t>Cooling Tower</t>
        </is>
      </c>
      <c r="D20" s="8" t="inlineStr">
        <is>
          <t>2024-04</t>
        </is>
      </c>
      <c r="E20" s="12" t="n">
        <v>1074.43</v>
      </c>
      <c r="F20" s="12" t="n">
        <v>38</v>
      </c>
      <c r="G20" s="12" t="n">
        <v>1140</v>
      </c>
      <c r="H20" s="12">
        <f>ROUND(E20-G20,2)</f>
        <v/>
      </c>
      <c r="I20" s="15">
        <f>IFERROR(ROUND(H20/G20,4),"")</f>
        <v/>
      </c>
    </row>
    <row r="21" ht="22" customHeight="1">
      <c r="B21" s="5" t="inlineStr">
        <is>
          <t>MTR-CTW-004</t>
        </is>
      </c>
      <c r="C21" s="5" t="inlineStr">
        <is>
          <t>Cooling Tower</t>
        </is>
      </c>
      <c r="D21" s="5" t="inlineStr">
        <is>
          <t>2024-05</t>
        </is>
      </c>
      <c r="E21" s="11" t="n">
        <v>1135.67</v>
      </c>
      <c r="F21" s="11" t="n">
        <v>38</v>
      </c>
      <c r="G21" s="11" t="n">
        <v>1178</v>
      </c>
      <c r="H21" s="11">
        <f>ROUND(E21-G21,2)</f>
        <v/>
      </c>
      <c r="I21" s="13">
        <f>IFERROR(ROUND(H21/G21,4),"")</f>
        <v/>
      </c>
    </row>
    <row r="22" ht="22" customHeight="1">
      <c r="B22" s="8" t="inlineStr">
        <is>
          <t>MTR-CTW-004</t>
        </is>
      </c>
      <c r="C22" s="8" t="inlineStr">
        <is>
          <t>Cooling Tower</t>
        </is>
      </c>
      <c r="D22" s="8" t="inlineStr">
        <is>
          <t>2024-06</t>
        </is>
      </c>
      <c r="E22" s="12" t="n">
        <v>1131.21</v>
      </c>
      <c r="F22" s="12" t="n">
        <v>38</v>
      </c>
      <c r="G22" s="12" t="n">
        <v>1140</v>
      </c>
      <c r="H22" s="12">
        <f>ROUND(E22-G22,2)</f>
        <v/>
      </c>
      <c r="I22" s="15">
        <f>IFERROR(ROUND(H22/G22,4),"")</f>
        <v/>
      </c>
    </row>
    <row r="23" ht="22" customHeight="1">
      <c r="B23" s="5" t="inlineStr">
        <is>
          <t>MTR-CTW-004</t>
        </is>
      </c>
      <c r="C23" s="5" t="inlineStr">
        <is>
          <t>Cooling Tower</t>
        </is>
      </c>
      <c r="D23" s="5" t="inlineStr">
        <is>
          <t>2024-07</t>
        </is>
      </c>
      <c r="E23" s="11" t="n">
        <v>1250.09</v>
      </c>
      <c r="F23" s="11" t="n">
        <v>38</v>
      </c>
      <c r="G23" s="11" t="n">
        <v>1178</v>
      </c>
      <c r="H23" s="11">
        <f>ROUND(E23-G23,2)</f>
        <v/>
      </c>
      <c r="I23" s="13">
        <f>IFERROR(ROUND(H23/G23,4),"")</f>
        <v/>
      </c>
    </row>
    <row r="24" ht="22" customHeight="1">
      <c r="B24" s="8" t="inlineStr">
        <is>
          <t>MTR-CTW-004</t>
        </is>
      </c>
      <c r="C24" s="8" t="inlineStr">
        <is>
          <t>Cooling Tower</t>
        </is>
      </c>
      <c r="D24" s="8" t="inlineStr">
        <is>
          <t>2024-08</t>
        </is>
      </c>
      <c r="E24" s="12" t="n">
        <v>1166.04</v>
      </c>
      <c r="F24" s="12" t="n">
        <v>38</v>
      </c>
      <c r="G24" s="12" t="n">
        <v>1178</v>
      </c>
      <c r="H24" s="12">
        <f>ROUND(E24-G24,2)</f>
        <v/>
      </c>
      <c r="I24" s="15">
        <f>IFERROR(ROUND(H24/G24,4),"")</f>
        <v/>
      </c>
    </row>
    <row r="25" ht="22" customHeight="1">
      <c r="B25" s="5" t="inlineStr">
        <is>
          <t>MTR-CTW-004</t>
        </is>
      </c>
      <c r="C25" s="5" t="inlineStr">
        <is>
          <t>Cooling Tower</t>
        </is>
      </c>
      <c r="D25" s="5" t="inlineStr">
        <is>
          <t>2024-09</t>
        </is>
      </c>
      <c r="E25" s="11" t="n">
        <v>1113.75</v>
      </c>
      <c r="F25" s="11" t="n">
        <v>38</v>
      </c>
      <c r="G25" s="11" t="n">
        <v>1140</v>
      </c>
      <c r="H25" s="11">
        <f>ROUND(E25-G25,2)</f>
        <v/>
      </c>
      <c r="I25" s="13">
        <f>IFERROR(ROUND(H25/G25,4),"")</f>
        <v/>
      </c>
    </row>
    <row r="26" ht="22" customHeight="1">
      <c r="B26" s="8" t="inlineStr">
        <is>
          <t>MTR-CTW-004</t>
        </is>
      </c>
      <c r="C26" s="8" t="inlineStr">
        <is>
          <t>Cooling Tower</t>
        </is>
      </c>
      <c r="D26" s="8" t="inlineStr">
        <is>
          <t>2024-10</t>
        </is>
      </c>
      <c r="E26" s="12" t="n">
        <v>1111.27</v>
      </c>
      <c r="F26" s="12" t="n">
        <v>38</v>
      </c>
      <c r="G26" s="12" t="n">
        <v>1178</v>
      </c>
      <c r="H26" s="12">
        <f>ROUND(E26-G26,2)</f>
        <v/>
      </c>
      <c r="I26" s="15">
        <f>IFERROR(ROUND(H26/G26,4),"")</f>
        <v/>
      </c>
    </row>
    <row r="27" ht="22" customHeight="1">
      <c r="B27" s="5" t="inlineStr">
        <is>
          <t>MTR-CTW-004</t>
        </is>
      </c>
      <c r="C27" s="5" t="inlineStr">
        <is>
          <t>Cooling Tower</t>
        </is>
      </c>
      <c r="D27" s="5" t="inlineStr">
        <is>
          <t>2024-11</t>
        </is>
      </c>
      <c r="E27" s="11" t="n">
        <v>1058.91</v>
      </c>
      <c r="F27" s="11" t="n">
        <v>38</v>
      </c>
      <c r="G27" s="11" t="n">
        <v>1140</v>
      </c>
      <c r="H27" s="11">
        <f>ROUND(E27-G27,2)</f>
        <v/>
      </c>
      <c r="I27" s="13">
        <f>IFERROR(ROUND(H27/G27,4),"")</f>
        <v/>
      </c>
    </row>
    <row r="28" ht="22" customHeight="1">
      <c r="B28" s="8" t="inlineStr">
        <is>
          <t>MTR-CTW-004</t>
        </is>
      </c>
      <c r="C28" s="8" t="inlineStr">
        <is>
          <t>Cooling Tower</t>
        </is>
      </c>
      <c r="D28" s="8" t="inlineStr">
        <is>
          <t>2024-12</t>
        </is>
      </c>
      <c r="E28" s="12" t="n">
        <v>1070.67</v>
      </c>
      <c r="F28" s="12" t="n">
        <v>38</v>
      </c>
      <c r="G28" s="12" t="n">
        <v>1178</v>
      </c>
      <c r="H28" s="12">
        <f>ROUND(E28-G28,2)</f>
        <v/>
      </c>
      <c r="I28" s="15">
        <f>IFERROR(ROUND(H28/G28,4),"")</f>
        <v/>
      </c>
    </row>
    <row r="29" ht="22" customHeight="1">
      <c r="B29" s="5" t="inlineStr">
        <is>
          <t>MTR-DOM-006</t>
        </is>
      </c>
      <c r="C29" s="5" t="inlineStr">
        <is>
          <t>Utilities</t>
        </is>
      </c>
      <c r="D29" s="5" t="inlineStr">
        <is>
          <t>2024-01</t>
        </is>
      </c>
      <c r="E29" s="11" t="n">
        <v>253.19</v>
      </c>
      <c r="F29" s="11" t="n">
        <v>10</v>
      </c>
      <c r="G29" s="11" t="n">
        <v>310</v>
      </c>
      <c r="H29" s="11">
        <f>ROUND(E29-G29,2)</f>
        <v/>
      </c>
      <c r="I29" s="13">
        <f>IFERROR(ROUND(H29/G29,4),"")</f>
        <v/>
      </c>
    </row>
    <row r="30" ht="22" customHeight="1">
      <c r="B30" s="8" t="inlineStr">
        <is>
          <t>MTR-DOM-006</t>
        </is>
      </c>
      <c r="C30" s="8" t="inlineStr">
        <is>
          <t>Utilities</t>
        </is>
      </c>
      <c r="D30" s="8" t="inlineStr">
        <is>
          <t>2024-02</t>
        </is>
      </c>
      <c r="E30" s="12" t="n">
        <v>254.7</v>
      </c>
      <c r="F30" s="12" t="n">
        <v>10</v>
      </c>
      <c r="G30" s="12" t="n">
        <v>290</v>
      </c>
      <c r="H30" s="12">
        <f>ROUND(E30-G30,2)</f>
        <v/>
      </c>
      <c r="I30" s="15">
        <f>IFERROR(ROUND(H30/G30,4),"")</f>
        <v/>
      </c>
    </row>
    <row r="31" ht="22" customHeight="1">
      <c r="B31" s="5" t="inlineStr">
        <is>
          <t>MTR-DOM-006</t>
        </is>
      </c>
      <c r="C31" s="5" t="inlineStr">
        <is>
          <t>Utilities</t>
        </is>
      </c>
      <c r="D31" s="5" t="inlineStr">
        <is>
          <t>2024-03</t>
        </is>
      </c>
      <c r="E31" s="11" t="n">
        <v>279.52</v>
      </c>
      <c r="F31" s="11" t="n">
        <v>10</v>
      </c>
      <c r="G31" s="11" t="n">
        <v>310</v>
      </c>
      <c r="H31" s="11">
        <f>ROUND(E31-G31,2)</f>
        <v/>
      </c>
      <c r="I31" s="13">
        <f>IFERROR(ROUND(H31/G31,4),"")</f>
        <v/>
      </c>
    </row>
    <row r="32" ht="22" customHeight="1">
      <c r="B32" s="8" t="inlineStr">
        <is>
          <t>MTR-DOM-006</t>
        </is>
      </c>
      <c r="C32" s="8" t="inlineStr">
        <is>
          <t>Utilities</t>
        </is>
      </c>
      <c r="D32" s="8" t="inlineStr">
        <is>
          <t>2024-04</t>
        </is>
      </c>
      <c r="E32" s="12" t="n">
        <v>275.07</v>
      </c>
      <c r="F32" s="12" t="n">
        <v>10</v>
      </c>
      <c r="G32" s="12" t="n">
        <v>300</v>
      </c>
      <c r="H32" s="12">
        <f>ROUND(E32-G32,2)</f>
        <v/>
      </c>
      <c r="I32" s="15">
        <f>IFERROR(ROUND(H32/G32,4),"")</f>
        <v/>
      </c>
    </row>
    <row r="33" ht="22" customHeight="1">
      <c r="B33" s="5" t="inlineStr">
        <is>
          <t>MTR-DOM-006</t>
        </is>
      </c>
      <c r="C33" s="5" t="inlineStr">
        <is>
          <t>Utilities</t>
        </is>
      </c>
      <c r="D33" s="5" t="inlineStr">
        <is>
          <t>2024-05</t>
        </is>
      </c>
      <c r="E33" s="11" t="n">
        <v>309.28</v>
      </c>
      <c r="F33" s="11" t="n">
        <v>10</v>
      </c>
      <c r="G33" s="11" t="n">
        <v>310</v>
      </c>
      <c r="H33" s="11">
        <f>ROUND(E33-G33,2)</f>
        <v/>
      </c>
      <c r="I33" s="13">
        <f>IFERROR(ROUND(H33/G33,4),"")</f>
        <v/>
      </c>
    </row>
    <row r="34" ht="22" customHeight="1">
      <c r="B34" s="8" t="inlineStr">
        <is>
          <t>MTR-DOM-006</t>
        </is>
      </c>
      <c r="C34" s="8" t="inlineStr">
        <is>
          <t>Utilities</t>
        </is>
      </c>
      <c r="D34" s="8" t="inlineStr">
        <is>
          <t>2024-06</t>
        </is>
      </c>
      <c r="E34" s="12" t="n">
        <v>287.9</v>
      </c>
      <c r="F34" s="12" t="n">
        <v>10</v>
      </c>
      <c r="G34" s="12" t="n">
        <v>300</v>
      </c>
      <c r="H34" s="12">
        <f>ROUND(E34-G34,2)</f>
        <v/>
      </c>
      <c r="I34" s="15">
        <f>IFERROR(ROUND(H34/G34,4),"")</f>
        <v/>
      </c>
    </row>
    <row r="35" ht="22" customHeight="1">
      <c r="B35" s="5" t="inlineStr">
        <is>
          <t>MTR-DOM-006</t>
        </is>
      </c>
      <c r="C35" s="5" t="inlineStr">
        <is>
          <t>Utilities</t>
        </is>
      </c>
      <c r="D35" s="5" t="inlineStr">
        <is>
          <t>2024-07</t>
        </is>
      </c>
      <c r="E35" s="11" t="n">
        <v>318.9</v>
      </c>
      <c r="F35" s="11" t="n">
        <v>10</v>
      </c>
      <c r="G35" s="11" t="n">
        <v>310</v>
      </c>
      <c r="H35" s="11">
        <f>ROUND(E35-G35,2)</f>
        <v/>
      </c>
      <c r="I35" s="13">
        <f>IFERROR(ROUND(H35/G35,4),"")</f>
        <v/>
      </c>
    </row>
    <row r="36" ht="22" customHeight="1">
      <c r="B36" s="8" t="inlineStr">
        <is>
          <t>MTR-DOM-006</t>
        </is>
      </c>
      <c r="C36" s="8" t="inlineStr">
        <is>
          <t>Utilities</t>
        </is>
      </c>
      <c r="D36" s="8" t="inlineStr">
        <is>
          <t>2024-08</t>
        </is>
      </c>
      <c r="E36" s="12" t="n">
        <v>305.04</v>
      </c>
      <c r="F36" s="12" t="n">
        <v>10</v>
      </c>
      <c r="G36" s="12" t="n">
        <v>310</v>
      </c>
      <c r="H36" s="12">
        <f>ROUND(E36-G36,2)</f>
        <v/>
      </c>
      <c r="I36" s="15">
        <f>IFERROR(ROUND(H36/G36,4),"")</f>
        <v/>
      </c>
    </row>
    <row r="37" ht="22" customHeight="1">
      <c r="B37" s="5" t="inlineStr">
        <is>
          <t>MTR-DOM-006</t>
        </is>
      </c>
      <c r="C37" s="5" t="inlineStr">
        <is>
          <t>Utilities</t>
        </is>
      </c>
      <c r="D37" s="5" t="inlineStr">
        <is>
          <t>2024-09</t>
        </is>
      </c>
      <c r="E37" s="11" t="n">
        <v>279.57</v>
      </c>
      <c r="F37" s="11" t="n">
        <v>10</v>
      </c>
      <c r="G37" s="11" t="n">
        <v>300</v>
      </c>
      <c r="H37" s="11">
        <f>ROUND(E37-G37,2)</f>
        <v/>
      </c>
      <c r="I37" s="13">
        <f>IFERROR(ROUND(H37/G37,4),"")</f>
        <v/>
      </c>
    </row>
    <row r="38" ht="22" customHeight="1">
      <c r="B38" s="8" t="inlineStr">
        <is>
          <t>MTR-DOM-006</t>
        </is>
      </c>
      <c r="C38" s="8" t="inlineStr">
        <is>
          <t>Utilities</t>
        </is>
      </c>
      <c r="D38" s="8" t="inlineStr">
        <is>
          <t>2024-10</t>
        </is>
      </c>
      <c r="E38" s="12" t="n">
        <v>286.49</v>
      </c>
      <c r="F38" s="12" t="n">
        <v>10</v>
      </c>
      <c r="G38" s="12" t="n">
        <v>310</v>
      </c>
      <c r="H38" s="12">
        <f>ROUND(E38-G38,2)</f>
        <v/>
      </c>
      <c r="I38" s="15">
        <f>IFERROR(ROUND(H38/G38,4),"")</f>
        <v/>
      </c>
    </row>
    <row r="39" ht="22" customHeight="1">
      <c r="B39" s="5" t="inlineStr">
        <is>
          <t>MTR-DOM-006</t>
        </is>
      </c>
      <c r="C39" s="5" t="inlineStr">
        <is>
          <t>Utilities</t>
        </is>
      </c>
      <c r="D39" s="5" t="inlineStr">
        <is>
          <t>2024-11</t>
        </is>
      </c>
      <c r="E39" s="11" t="n">
        <v>273.39</v>
      </c>
      <c r="F39" s="11" t="n">
        <v>10</v>
      </c>
      <c r="G39" s="11" t="n">
        <v>300</v>
      </c>
      <c r="H39" s="11">
        <f>ROUND(E39-G39,2)</f>
        <v/>
      </c>
      <c r="I39" s="13">
        <f>IFERROR(ROUND(H39/G39,4),"")</f>
        <v/>
      </c>
    </row>
    <row r="40" ht="22" customHeight="1">
      <c r="B40" s="8" t="inlineStr">
        <is>
          <t>MTR-DOM-006</t>
        </is>
      </c>
      <c r="C40" s="8" t="inlineStr">
        <is>
          <t>Utilities</t>
        </is>
      </c>
      <c r="D40" s="8" t="inlineStr">
        <is>
          <t>2024-12</t>
        </is>
      </c>
      <c r="E40" s="12" t="n">
        <v>273.81</v>
      </c>
      <c r="F40" s="12" t="n">
        <v>10</v>
      </c>
      <c r="G40" s="12" t="n">
        <v>310</v>
      </c>
      <c r="H40" s="12">
        <f>ROUND(E40-G40,2)</f>
        <v/>
      </c>
      <c r="I40" s="15">
        <f>IFERROR(ROUND(H40/G40,4),"")</f>
        <v/>
      </c>
    </row>
    <row r="41" ht="22" customHeight="1">
      <c r="B41" s="5" t="inlineStr">
        <is>
          <t>MTR-DYE-001</t>
        </is>
      </c>
      <c r="C41" s="5" t="inlineStr">
        <is>
          <t>Dyeing Hall</t>
        </is>
      </c>
      <c r="D41" s="5" t="inlineStr">
        <is>
          <t>2024-01</t>
        </is>
      </c>
      <c r="E41" s="11" t="n">
        <v>1286.49</v>
      </c>
      <c r="F41" s="11" t="n">
        <v>50</v>
      </c>
      <c r="G41" s="11" t="n">
        <v>1550</v>
      </c>
      <c r="H41" s="11">
        <f>ROUND(E41-G41,2)</f>
        <v/>
      </c>
      <c r="I41" s="13">
        <f>IFERROR(ROUND(H41/G41,4),"")</f>
        <v/>
      </c>
    </row>
    <row r="42" ht="22" customHeight="1">
      <c r="B42" s="8" t="inlineStr">
        <is>
          <t>MTR-DYE-001</t>
        </is>
      </c>
      <c r="C42" s="8" t="inlineStr">
        <is>
          <t>Dyeing Hall</t>
        </is>
      </c>
      <c r="D42" s="8" t="inlineStr">
        <is>
          <t>2024-02</t>
        </is>
      </c>
      <c r="E42" s="12" t="n">
        <v>1296.85</v>
      </c>
      <c r="F42" s="12" t="n">
        <v>50</v>
      </c>
      <c r="G42" s="12" t="n">
        <v>1450</v>
      </c>
      <c r="H42" s="12">
        <f>ROUND(E42-G42,2)</f>
        <v/>
      </c>
      <c r="I42" s="15">
        <f>IFERROR(ROUND(H42/G42,4),"")</f>
        <v/>
      </c>
    </row>
    <row r="43" ht="22" customHeight="1">
      <c r="B43" s="5" t="inlineStr">
        <is>
          <t>MTR-DYE-001</t>
        </is>
      </c>
      <c r="C43" s="5" t="inlineStr">
        <is>
          <t>Dyeing Hall</t>
        </is>
      </c>
      <c r="D43" s="5" t="inlineStr">
        <is>
          <t>2024-03</t>
        </is>
      </c>
      <c r="E43" s="11" t="n">
        <v>1391.89</v>
      </c>
      <c r="F43" s="11" t="n">
        <v>50</v>
      </c>
      <c r="G43" s="11" t="n">
        <v>1550</v>
      </c>
      <c r="H43" s="11">
        <f>ROUND(E43-G43,2)</f>
        <v/>
      </c>
      <c r="I43" s="13">
        <f>IFERROR(ROUND(H43/G43,4),"")</f>
        <v/>
      </c>
    </row>
    <row r="44" ht="22" customHeight="1">
      <c r="B44" s="8" t="inlineStr">
        <is>
          <t>MTR-DYE-001</t>
        </is>
      </c>
      <c r="C44" s="8" t="inlineStr">
        <is>
          <t>Dyeing Hall</t>
        </is>
      </c>
      <c r="D44" s="8" t="inlineStr">
        <is>
          <t>2024-04</t>
        </is>
      </c>
      <c r="E44" s="12" t="n">
        <v>1405.24</v>
      </c>
      <c r="F44" s="12" t="n">
        <v>50</v>
      </c>
      <c r="G44" s="12" t="n">
        <v>1500</v>
      </c>
      <c r="H44" s="12">
        <f>ROUND(E44-G44,2)</f>
        <v/>
      </c>
      <c r="I44" s="15">
        <f>IFERROR(ROUND(H44/G44,4),"")</f>
        <v/>
      </c>
    </row>
    <row r="45" ht="22" customHeight="1">
      <c r="B45" s="5" t="inlineStr">
        <is>
          <t>MTR-DYE-001</t>
        </is>
      </c>
      <c r="C45" s="5" t="inlineStr">
        <is>
          <t>Dyeing Hall</t>
        </is>
      </c>
      <c r="D45" s="5" t="inlineStr">
        <is>
          <t>2024-05</t>
        </is>
      </c>
      <c r="E45" s="11" t="n">
        <v>1484.08</v>
      </c>
      <c r="F45" s="11" t="n">
        <v>50</v>
      </c>
      <c r="G45" s="11" t="n">
        <v>1550</v>
      </c>
      <c r="H45" s="11">
        <f>ROUND(E45-G45,2)</f>
        <v/>
      </c>
      <c r="I45" s="13">
        <f>IFERROR(ROUND(H45/G45,4),"")</f>
        <v/>
      </c>
    </row>
    <row r="46" ht="22" customHeight="1">
      <c r="B46" s="8" t="inlineStr">
        <is>
          <t>MTR-DYE-001</t>
        </is>
      </c>
      <c r="C46" s="8" t="inlineStr">
        <is>
          <t>Dyeing Hall</t>
        </is>
      </c>
      <c r="D46" s="8" t="inlineStr">
        <is>
          <t>2024-06</t>
        </is>
      </c>
      <c r="E46" s="12" t="n">
        <v>1492.57</v>
      </c>
      <c r="F46" s="12" t="n">
        <v>50</v>
      </c>
      <c r="G46" s="12" t="n">
        <v>1500</v>
      </c>
      <c r="H46" s="12">
        <f>ROUND(E46-G46,2)</f>
        <v/>
      </c>
      <c r="I46" s="15">
        <f>IFERROR(ROUND(H46/G46,4),"")</f>
        <v/>
      </c>
    </row>
    <row r="47" ht="22" customHeight="1">
      <c r="B47" s="5" t="inlineStr">
        <is>
          <t>MTR-DYE-001</t>
        </is>
      </c>
      <c r="C47" s="5" t="inlineStr">
        <is>
          <t>Dyeing Hall</t>
        </is>
      </c>
      <c r="D47" s="5" t="inlineStr">
        <is>
          <t>2024-07</t>
        </is>
      </c>
      <c r="E47" s="11" t="n">
        <v>1596.84</v>
      </c>
      <c r="F47" s="11" t="n">
        <v>50</v>
      </c>
      <c r="G47" s="11" t="n">
        <v>1550</v>
      </c>
      <c r="H47" s="11">
        <f>ROUND(E47-G47,2)</f>
        <v/>
      </c>
      <c r="I47" s="13">
        <f>IFERROR(ROUND(H47/G47,4),"")</f>
        <v/>
      </c>
    </row>
    <row r="48" ht="22" customHeight="1">
      <c r="B48" s="8" t="inlineStr">
        <is>
          <t>MTR-DYE-001</t>
        </is>
      </c>
      <c r="C48" s="8" t="inlineStr">
        <is>
          <t>Dyeing Hall</t>
        </is>
      </c>
      <c r="D48" s="8" t="inlineStr">
        <is>
          <t>2024-08</t>
        </is>
      </c>
      <c r="E48" s="12" t="n">
        <v>1520.44</v>
      </c>
      <c r="F48" s="12" t="n">
        <v>50</v>
      </c>
      <c r="G48" s="12" t="n">
        <v>1550</v>
      </c>
      <c r="H48" s="12">
        <f>ROUND(E48-G48,2)</f>
        <v/>
      </c>
      <c r="I48" s="15">
        <f>IFERROR(ROUND(H48/G48,4),"")</f>
        <v/>
      </c>
    </row>
    <row r="49" ht="22" customHeight="1">
      <c r="B49" s="5" t="inlineStr">
        <is>
          <t>MTR-DYE-001</t>
        </is>
      </c>
      <c r="C49" s="5" t="inlineStr">
        <is>
          <t>Dyeing Hall</t>
        </is>
      </c>
      <c r="D49" s="5" t="inlineStr">
        <is>
          <t>2024-09</t>
        </is>
      </c>
      <c r="E49" s="11" t="n">
        <v>6235.12</v>
      </c>
      <c r="F49" s="11" t="n">
        <v>50</v>
      </c>
      <c r="G49" s="11" t="n">
        <v>1500</v>
      </c>
      <c r="H49" s="11">
        <f>ROUND(E49-G49,2)</f>
        <v/>
      </c>
      <c r="I49" s="13">
        <f>IFERROR(ROUND(H49/G49,4),"")</f>
        <v/>
      </c>
    </row>
    <row r="50" ht="22" customHeight="1">
      <c r="B50" s="8" t="inlineStr">
        <is>
          <t>MTR-DYE-001</t>
        </is>
      </c>
      <c r="C50" s="8" t="inlineStr">
        <is>
          <t>Dyeing Hall</t>
        </is>
      </c>
      <c r="D50" s="8" t="inlineStr">
        <is>
          <t>2024-10</t>
        </is>
      </c>
      <c r="E50" s="12" t="n">
        <v>1426.23</v>
      </c>
      <c r="F50" s="12" t="n">
        <v>50</v>
      </c>
      <c r="G50" s="12" t="n">
        <v>1550</v>
      </c>
      <c r="H50" s="12">
        <f>ROUND(E50-G50,2)</f>
        <v/>
      </c>
      <c r="I50" s="15">
        <f>IFERROR(ROUND(H50/G50,4),"")</f>
        <v/>
      </c>
    </row>
    <row r="51" ht="22" customHeight="1">
      <c r="B51" s="5" t="inlineStr">
        <is>
          <t>MTR-DYE-001</t>
        </is>
      </c>
      <c r="C51" s="5" t="inlineStr">
        <is>
          <t>Dyeing Hall</t>
        </is>
      </c>
      <c r="D51" s="5" t="inlineStr">
        <is>
          <t>2024-11</t>
        </is>
      </c>
      <c r="E51" s="11" t="n">
        <v>1350.6</v>
      </c>
      <c r="F51" s="11" t="n">
        <v>50</v>
      </c>
      <c r="G51" s="11" t="n">
        <v>1500</v>
      </c>
      <c r="H51" s="11">
        <f>ROUND(E51-G51,2)</f>
        <v/>
      </c>
      <c r="I51" s="13">
        <f>IFERROR(ROUND(H51/G51,4),"")</f>
        <v/>
      </c>
    </row>
    <row r="52" ht="22" customHeight="1">
      <c r="B52" s="8" t="inlineStr">
        <is>
          <t>MTR-DYE-001</t>
        </is>
      </c>
      <c r="C52" s="8" t="inlineStr">
        <is>
          <t>Dyeing Hall</t>
        </is>
      </c>
      <c r="D52" s="8" t="inlineStr">
        <is>
          <t>2024-12</t>
        </is>
      </c>
      <c r="E52" s="12" t="n">
        <v>1365.08</v>
      </c>
      <c r="F52" s="12" t="n">
        <v>50</v>
      </c>
      <c r="G52" s="12" t="n">
        <v>1550</v>
      </c>
      <c r="H52" s="12">
        <f>ROUND(E52-G52,2)</f>
        <v/>
      </c>
      <c r="I52" s="15">
        <f>IFERROR(ROUND(H52/G52,4),"")</f>
        <v/>
      </c>
    </row>
    <row r="53" ht="22" customHeight="1">
      <c r="B53" s="5" t="inlineStr">
        <is>
          <t>MTR-PRC-005</t>
        </is>
      </c>
      <c r="C53" s="5" t="inlineStr">
        <is>
          <t>Process Hall</t>
        </is>
      </c>
      <c r="D53" s="5" t="inlineStr">
        <is>
          <t>2024-01</t>
        </is>
      </c>
      <c r="E53" s="11" t="n">
        <v>637.21</v>
      </c>
      <c r="F53" s="11" t="n">
        <v>25</v>
      </c>
      <c r="G53" s="11" t="n">
        <v>775</v>
      </c>
      <c r="H53" s="11">
        <f>ROUND(E53-G53,2)</f>
        <v/>
      </c>
      <c r="I53" s="13">
        <f>IFERROR(ROUND(H53/G53,4),"")</f>
        <v/>
      </c>
    </row>
    <row r="54" ht="22" customHeight="1">
      <c r="B54" s="8" t="inlineStr">
        <is>
          <t>MTR-PRC-005</t>
        </is>
      </c>
      <c r="C54" s="8" t="inlineStr">
        <is>
          <t>Process Hall</t>
        </is>
      </c>
      <c r="D54" s="8" t="inlineStr">
        <is>
          <t>2024-02</t>
        </is>
      </c>
      <c r="E54" s="12" t="n">
        <v>630.71</v>
      </c>
      <c r="F54" s="12" t="n">
        <v>25</v>
      </c>
      <c r="G54" s="12" t="n">
        <v>725</v>
      </c>
      <c r="H54" s="12">
        <f>ROUND(E54-G54,2)</f>
        <v/>
      </c>
      <c r="I54" s="15">
        <f>IFERROR(ROUND(H54/G54,4),"")</f>
        <v/>
      </c>
    </row>
    <row r="55" ht="22" customHeight="1">
      <c r="B55" s="5" t="inlineStr">
        <is>
          <t>MTR-PRC-005</t>
        </is>
      </c>
      <c r="C55" s="5" t="inlineStr">
        <is>
          <t>Process Hall</t>
        </is>
      </c>
      <c r="D55" s="5" t="inlineStr">
        <is>
          <t>2024-03</t>
        </is>
      </c>
      <c r="E55" s="11" t="n">
        <v>679.28</v>
      </c>
      <c r="F55" s="11" t="n">
        <v>25</v>
      </c>
      <c r="G55" s="11" t="n">
        <v>775</v>
      </c>
      <c r="H55" s="11">
        <f>ROUND(E55-G55,2)</f>
        <v/>
      </c>
      <c r="I55" s="13">
        <f>IFERROR(ROUND(H55/G55,4),"")</f>
        <v/>
      </c>
    </row>
    <row r="56" ht="22" customHeight="1">
      <c r="B56" s="8" t="inlineStr">
        <is>
          <t>MTR-PRC-005</t>
        </is>
      </c>
      <c r="C56" s="8" t="inlineStr">
        <is>
          <t>Process Hall</t>
        </is>
      </c>
      <c r="D56" s="8" t="inlineStr">
        <is>
          <t>2024-04</t>
        </is>
      </c>
      <c r="E56" s="12" t="n">
        <v>691.08</v>
      </c>
      <c r="F56" s="12" t="n">
        <v>25</v>
      </c>
      <c r="G56" s="12" t="n">
        <v>750</v>
      </c>
      <c r="H56" s="12">
        <f>ROUND(E56-G56,2)</f>
        <v/>
      </c>
      <c r="I56" s="15">
        <f>IFERROR(ROUND(H56/G56,4),"")</f>
        <v/>
      </c>
    </row>
    <row r="57" ht="22" customHeight="1">
      <c r="B57" s="5" t="inlineStr">
        <is>
          <t>MTR-PRC-005</t>
        </is>
      </c>
      <c r="C57" s="5" t="inlineStr">
        <is>
          <t>Process Hall</t>
        </is>
      </c>
      <c r="D57" s="5" t="inlineStr">
        <is>
          <t>2024-05</t>
        </is>
      </c>
      <c r="E57" s="11" t="n">
        <v>727.12</v>
      </c>
      <c r="F57" s="11" t="n">
        <v>25</v>
      </c>
      <c r="G57" s="11" t="n">
        <v>775</v>
      </c>
      <c r="H57" s="11">
        <f>ROUND(E57-G57,2)</f>
        <v/>
      </c>
      <c r="I57" s="13">
        <f>IFERROR(ROUND(H57/G57,4),"")</f>
        <v/>
      </c>
    </row>
    <row r="58" ht="22" customHeight="1">
      <c r="B58" s="8" t="inlineStr">
        <is>
          <t>MTR-PRC-005</t>
        </is>
      </c>
      <c r="C58" s="8" t="inlineStr">
        <is>
          <t>Process Hall</t>
        </is>
      </c>
      <c r="D58" s="8" t="inlineStr">
        <is>
          <t>2024-06</t>
        </is>
      </c>
      <c r="E58" s="12" t="n">
        <v>686.83</v>
      </c>
      <c r="F58" s="12" t="n">
        <v>25</v>
      </c>
      <c r="G58" s="12" t="n">
        <v>750</v>
      </c>
      <c r="H58" s="12">
        <f>ROUND(E58-G58,2)</f>
        <v/>
      </c>
      <c r="I58" s="15">
        <f>IFERROR(ROUND(H58/G58,4),"")</f>
        <v/>
      </c>
    </row>
    <row r="59" ht="22" customHeight="1">
      <c r="B59" s="5" t="inlineStr">
        <is>
          <t>MTR-PRC-005</t>
        </is>
      </c>
      <c r="C59" s="5" t="inlineStr">
        <is>
          <t>Process Hall</t>
        </is>
      </c>
      <c r="D59" s="5" t="inlineStr">
        <is>
          <t>2024-07</t>
        </is>
      </c>
      <c r="E59" s="11" t="n">
        <v>767.5</v>
      </c>
      <c r="F59" s="11" t="n">
        <v>25</v>
      </c>
      <c r="G59" s="11" t="n">
        <v>775</v>
      </c>
      <c r="H59" s="11">
        <f>ROUND(E59-G59,2)</f>
        <v/>
      </c>
      <c r="I59" s="13">
        <f>IFERROR(ROUND(H59/G59,4),"")</f>
        <v/>
      </c>
    </row>
    <row r="60" ht="22" customHeight="1">
      <c r="B60" s="8" t="inlineStr">
        <is>
          <t>MTR-PRC-005</t>
        </is>
      </c>
      <c r="C60" s="8" t="inlineStr">
        <is>
          <t>Process Hall</t>
        </is>
      </c>
      <c r="D60" s="8" t="inlineStr">
        <is>
          <t>2024-08</t>
        </is>
      </c>
      <c r="E60" s="12" t="n">
        <v>726.02</v>
      </c>
      <c r="F60" s="12" t="n">
        <v>25</v>
      </c>
      <c r="G60" s="12" t="n">
        <v>775</v>
      </c>
      <c r="H60" s="12">
        <f>ROUND(E60-G60,2)</f>
        <v/>
      </c>
      <c r="I60" s="15">
        <f>IFERROR(ROUND(H60/G60,4),"")</f>
        <v/>
      </c>
    </row>
    <row r="61" ht="22" customHeight="1">
      <c r="B61" s="5" t="inlineStr">
        <is>
          <t>MTR-PRC-005</t>
        </is>
      </c>
      <c r="C61" s="5" t="inlineStr">
        <is>
          <t>Process Hall</t>
        </is>
      </c>
      <c r="D61" s="5" t="inlineStr">
        <is>
          <t>2024-09</t>
        </is>
      </c>
      <c r="E61" s="11" t="n">
        <v>684.73</v>
      </c>
      <c r="F61" s="11" t="n">
        <v>25</v>
      </c>
      <c r="G61" s="11" t="n">
        <v>750</v>
      </c>
      <c r="H61" s="11">
        <f>ROUND(E61-G61,2)</f>
        <v/>
      </c>
      <c r="I61" s="13">
        <f>IFERROR(ROUND(H61/G61,4),"")</f>
        <v/>
      </c>
    </row>
    <row r="62" ht="22" customHeight="1">
      <c r="B62" s="8" t="inlineStr">
        <is>
          <t>MTR-PRC-005</t>
        </is>
      </c>
      <c r="C62" s="8" t="inlineStr">
        <is>
          <t>Process Hall</t>
        </is>
      </c>
      <c r="D62" s="8" t="inlineStr">
        <is>
          <t>2024-10</t>
        </is>
      </c>
      <c r="E62" s="12" t="n">
        <v>698.41</v>
      </c>
      <c r="F62" s="12" t="n">
        <v>25</v>
      </c>
      <c r="G62" s="12" t="n">
        <v>775</v>
      </c>
      <c r="H62" s="12">
        <f>ROUND(E62-G62,2)</f>
        <v/>
      </c>
      <c r="I62" s="15">
        <f>IFERROR(ROUND(H62/G62,4),"")</f>
        <v/>
      </c>
    </row>
    <row r="63" ht="22" customHeight="1">
      <c r="B63" s="5" t="inlineStr">
        <is>
          <t>MTR-PRC-005</t>
        </is>
      </c>
      <c r="C63" s="5" t="inlineStr">
        <is>
          <t>Process Hall</t>
        </is>
      </c>
      <c r="D63" s="5" t="inlineStr">
        <is>
          <t>2024-11</t>
        </is>
      </c>
      <c r="E63" s="11" t="n">
        <v>670.29</v>
      </c>
      <c r="F63" s="11" t="n">
        <v>25</v>
      </c>
      <c r="G63" s="11" t="n">
        <v>750</v>
      </c>
      <c r="H63" s="11">
        <f>ROUND(E63-G63,2)</f>
        <v/>
      </c>
      <c r="I63" s="13">
        <f>IFERROR(ROUND(H63/G63,4),"")</f>
        <v/>
      </c>
    </row>
    <row r="64" ht="22" customHeight="1">
      <c r="B64" s="8" t="inlineStr">
        <is>
          <t>MTR-PRC-005</t>
        </is>
      </c>
      <c r="C64" s="8" t="inlineStr">
        <is>
          <t>Process Hall</t>
        </is>
      </c>
      <c r="D64" s="8" t="inlineStr">
        <is>
          <t>2024-12</t>
        </is>
      </c>
      <c r="E64" s="12" t="n">
        <v>661.22</v>
      </c>
      <c r="F64" s="12" t="n">
        <v>25</v>
      </c>
      <c r="G64" s="12" t="n">
        <v>775</v>
      </c>
      <c r="H64" s="12">
        <f>ROUND(E64-G64,2)</f>
        <v/>
      </c>
      <c r="I64" s="15">
        <f>IFERROR(ROUND(H64/G64,4),"")</f>
        <v/>
      </c>
    </row>
    <row r="65" ht="22" customHeight="1">
      <c r="B65" s="5" t="inlineStr">
        <is>
          <t>MTR-WSH-002</t>
        </is>
      </c>
      <c r="C65" s="5" t="inlineStr">
        <is>
          <t>Washing Hall</t>
        </is>
      </c>
      <c r="D65" s="5" t="inlineStr">
        <is>
          <t>2024-01</t>
        </is>
      </c>
      <c r="E65" s="11" t="n">
        <v>801.86</v>
      </c>
      <c r="F65" s="11" t="n">
        <v>30</v>
      </c>
      <c r="G65" s="11" t="n">
        <v>930</v>
      </c>
      <c r="H65" s="11">
        <f>ROUND(E65-G65,2)</f>
        <v/>
      </c>
      <c r="I65" s="13">
        <f>IFERROR(ROUND(H65/G65,4),"")</f>
        <v/>
      </c>
    </row>
    <row r="66" ht="22" customHeight="1">
      <c r="B66" s="8" t="inlineStr">
        <is>
          <t>MTR-WSH-002</t>
        </is>
      </c>
      <c r="C66" s="8" t="inlineStr">
        <is>
          <t>Washing Hall</t>
        </is>
      </c>
      <c r="D66" s="8" t="inlineStr">
        <is>
          <t>2024-02</t>
        </is>
      </c>
      <c r="E66" s="12" t="n">
        <v>811.04</v>
      </c>
      <c r="F66" s="12" t="n">
        <v>30</v>
      </c>
      <c r="G66" s="12" t="n">
        <v>870</v>
      </c>
      <c r="H66" s="12">
        <f>ROUND(E66-G66,2)</f>
        <v/>
      </c>
      <c r="I66" s="15">
        <f>IFERROR(ROUND(H66/G66,4),"")</f>
        <v/>
      </c>
    </row>
    <row r="67" ht="22" customHeight="1">
      <c r="B67" s="5" t="inlineStr">
        <is>
          <t>MTR-WSH-002</t>
        </is>
      </c>
      <c r="C67" s="5" t="inlineStr">
        <is>
          <t>Washing Hall</t>
        </is>
      </c>
      <c r="D67" s="5" t="inlineStr">
        <is>
          <t>2024-03</t>
        </is>
      </c>
      <c r="E67" s="11" t="n">
        <v>879.88</v>
      </c>
      <c r="F67" s="11" t="n">
        <v>30</v>
      </c>
      <c r="G67" s="11" t="n">
        <v>930</v>
      </c>
      <c r="H67" s="11">
        <f>ROUND(E67-G67,2)</f>
        <v/>
      </c>
      <c r="I67" s="13">
        <f>IFERROR(ROUND(H67/G67,4),"")</f>
        <v/>
      </c>
    </row>
    <row r="68" ht="22" customHeight="1">
      <c r="B68" s="8" t="inlineStr">
        <is>
          <t>MTR-WSH-002</t>
        </is>
      </c>
      <c r="C68" s="8" t="inlineStr">
        <is>
          <t>Washing Hall</t>
        </is>
      </c>
      <c r="D68" s="8" t="inlineStr">
        <is>
          <t>2024-04</t>
        </is>
      </c>
      <c r="E68" s="12" t="n">
        <v>879.3</v>
      </c>
      <c r="F68" s="12" t="n">
        <v>30</v>
      </c>
      <c r="G68" s="12" t="n">
        <v>900</v>
      </c>
      <c r="H68" s="12">
        <f>ROUND(E68-G68,2)</f>
        <v/>
      </c>
      <c r="I68" s="15">
        <f>IFERROR(ROUND(H68/G68,4),"")</f>
        <v/>
      </c>
    </row>
    <row r="69" ht="22" customHeight="1">
      <c r="B69" s="5" t="inlineStr">
        <is>
          <t>MTR-WSH-002</t>
        </is>
      </c>
      <c r="C69" s="5" t="inlineStr">
        <is>
          <t>Washing Hall</t>
        </is>
      </c>
      <c r="D69" s="5" t="inlineStr">
        <is>
          <t>2024-05</t>
        </is>
      </c>
      <c r="E69" s="11" t="n">
        <v>926.41</v>
      </c>
      <c r="F69" s="11" t="n">
        <v>30</v>
      </c>
      <c r="G69" s="11" t="n">
        <v>930</v>
      </c>
      <c r="H69" s="11">
        <f>ROUND(E69-G69,2)</f>
        <v/>
      </c>
      <c r="I69" s="13">
        <f>IFERROR(ROUND(H69/G69,4),"")</f>
        <v/>
      </c>
    </row>
    <row r="70" ht="22" customHeight="1">
      <c r="B70" s="8" t="inlineStr">
        <is>
          <t>MTR-WSH-002</t>
        </is>
      </c>
      <c r="C70" s="8" t="inlineStr">
        <is>
          <t>Washing Hall</t>
        </is>
      </c>
      <c r="D70" s="8" t="inlineStr">
        <is>
          <t>2024-06</t>
        </is>
      </c>
      <c r="E70" s="12" t="n">
        <v>917.9</v>
      </c>
      <c r="F70" s="12" t="n">
        <v>30</v>
      </c>
      <c r="G70" s="12" t="n">
        <v>900</v>
      </c>
      <c r="H70" s="12">
        <f>ROUND(E70-G70,2)</f>
        <v/>
      </c>
      <c r="I70" s="15">
        <f>IFERROR(ROUND(H70/G70,4),"")</f>
        <v/>
      </c>
    </row>
    <row r="71" ht="22" customHeight="1">
      <c r="B71" s="5" t="inlineStr">
        <is>
          <t>MTR-WSH-002</t>
        </is>
      </c>
      <c r="C71" s="5" t="inlineStr">
        <is>
          <t>Washing Hall</t>
        </is>
      </c>
      <c r="D71" s="5" t="inlineStr">
        <is>
          <t>2024-07</t>
        </is>
      </c>
      <c r="E71" s="11" t="n">
        <v>983.34</v>
      </c>
      <c r="F71" s="11" t="n">
        <v>30</v>
      </c>
      <c r="G71" s="11" t="n">
        <v>930</v>
      </c>
      <c r="H71" s="11">
        <f>ROUND(E71-G71,2)</f>
        <v/>
      </c>
      <c r="I71" s="13">
        <f>IFERROR(ROUND(H71/G71,4),"")</f>
        <v/>
      </c>
    </row>
    <row r="72" ht="22" customHeight="1">
      <c r="B72" s="8" t="inlineStr">
        <is>
          <t>MTR-WSH-002</t>
        </is>
      </c>
      <c r="C72" s="8" t="inlineStr">
        <is>
          <t>Washing Hall</t>
        </is>
      </c>
      <c r="D72" s="8" t="inlineStr">
        <is>
          <t>2024-08</t>
        </is>
      </c>
      <c r="E72" s="12" t="n">
        <v>940.58</v>
      </c>
      <c r="F72" s="12" t="n">
        <v>30</v>
      </c>
      <c r="G72" s="12" t="n">
        <v>930</v>
      </c>
      <c r="H72" s="12">
        <f>ROUND(E72-G72,2)</f>
        <v/>
      </c>
      <c r="I72" s="15">
        <f>IFERROR(ROUND(H72/G72,4),"")</f>
        <v/>
      </c>
    </row>
    <row r="73" ht="22" customHeight="1">
      <c r="B73" s="5" t="inlineStr">
        <is>
          <t>MTR-WSH-002</t>
        </is>
      </c>
      <c r="C73" s="5" t="inlineStr">
        <is>
          <t>Washing Hall</t>
        </is>
      </c>
      <c r="D73" s="5" t="inlineStr">
        <is>
          <t>2024-09</t>
        </is>
      </c>
      <c r="E73" s="11" t="n">
        <v>889.09</v>
      </c>
      <c r="F73" s="11" t="n">
        <v>30</v>
      </c>
      <c r="G73" s="11" t="n">
        <v>900</v>
      </c>
      <c r="H73" s="11">
        <f>ROUND(E73-G73,2)</f>
        <v/>
      </c>
      <c r="I73" s="13">
        <f>IFERROR(ROUND(H73/G73,4),"")</f>
        <v/>
      </c>
    </row>
    <row r="74" ht="22" customHeight="1">
      <c r="B74" s="8" t="inlineStr">
        <is>
          <t>MTR-WSH-002</t>
        </is>
      </c>
      <c r="C74" s="8" t="inlineStr">
        <is>
          <t>Washing Hall</t>
        </is>
      </c>
      <c r="D74" s="8" t="inlineStr">
        <is>
          <t>2024-10</t>
        </is>
      </c>
      <c r="E74" s="12" t="n">
        <v>907.3099999999999</v>
      </c>
      <c r="F74" s="12" t="n">
        <v>30</v>
      </c>
      <c r="G74" s="12" t="n">
        <v>930</v>
      </c>
      <c r="H74" s="12">
        <f>ROUND(E74-G74,2)</f>
        <v/>
      </c>
      <c r="I74" s="15">
        <f>IFERROR(ROUND(H74/G74,4),"")</f>
        <v/>
      </c>
    </row>
    <row r="75" ht="22" customHeight="1">
      <c r="B75" s="5" t="inlineStr">
        <is>
          <t>MTR-WSH-002</t>
        </is>
      </c>
      <c r="C75" s="5" t="inlineStr">
        <is>
          <t>Washing Hall</t>
        </is>
      </c>
      <c r="D75" s="5" t="inlineStr">
        <is>
          <t>2024-11</t>
        </is>
      </c>
      <c r="E75" s="11" t="n">
        <v>856.98</v>
      </c>
      <c r="F75" s="11" t="n">
        <v>30</v>
      </c>
      <c r="G75" s="11" t="n">
        <v>900</v>
      </c>
      <c r="H75" s="11">
        <f>ROUND(E75-G75,2)</f>
        <v/>
      </c>
      <c r="I75" s="13">
        <f>IFERROR(ROUND(H75/G75,4),"")</f>
        <v/>
      </c>
    </row>
    <row r="76" ht="22" customHeight="1">
      <c r="B76" s="8" t="inlineStr">
        <is>
          <t>MTR-WSH-002</t>
        </is>
      </c>
      <c r="C76" s="8" t="inlineStr">
        <is>
          <t>Washing Hall</t>
        </is>
      </c>
      <c r="D76" s="8" t="inlineStr">
        <is>
          <t>2024-12</t>
        </is>
      </c>
      <c r="E76" s="12" t="n">
        <v>850.1</v>
      </c>
      <c r="F76" s="12" t="n">
        <v>30</v>
      </c>
      <c r="G76" s="12" t="n">
        <v>930</v>
      </c>
      <c r="H76" s="12">
        <f>ROUND(E76-G76,2)</f>
        <v/>
      </c>
      <c r="I76" s="15">
        <f>IFERROR(ROUND(H76/G76,4),"")</f>
        <v/>
      </c>
    </row>
  </sheetData>
  <mergeCells count="1">
    <mergeCell ref="B2:H2"/>
  </mergeCells>
  <conditionalFormatting sqref="I5:I76">
    <cfRule type="colorScale" priority="1">
      <colorScale>
        <cfvo type="min"/>
        <cfvo type="num" val="0"/>
        <cfvo type="max"/>
        <color rgb="00FDEDEC"/>
        <color rgb="00FFFFFF"/>
        <color rgb="00E8F5E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40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 ht="36" customHeight="1">
      <c r="B2" s="17" t="inlineStr">
        <is>
          <t>Industrial Water Consumption Dashboard</t>
        </is>
      </c>
    </row>
    <row r="4">
      <c r="B4" s="18" t="inlineStr">
        <is>
          <t>Total Water Consumption (2024)</t>
        </is>
      </c>
      <c r="E4" s="18" t="inlineStr">
        <is>
          <t>Active Meters</t>
        </is>
      </c>
      <c r="H4" s="18" t="inlineStr">
        <is>
          <t>Total Readings Recorded</t>
        </is>
      </c>
      <c r="K4" s="18" t="inlineStr">
        <is>
          <t>Anomalies Flagged (Potential Issues)</t>
        </is>
      </c>
    </row>
    <row r="5" ht="36" customHeight="1">
      <c r="B5" s="19" t="inlineStr">
        <is>
          <t>64,140 m³</t>
        </is>
      </c>
      <c r="E5" s="19" t="inlineStr">
        <is>
          <t>6</t>
        </is>
      </c>
      <c r="H5" s="19" t="inlineStr">
        <is>
          <t>2,219</t>
        </is>
      </c>
      <c r="K5" s="20" t="inlineStr">
        <is>
          <t>14</t>
        </is>
      </c>
    </row>
    <row r="6" ht="18" customHeight="1"/>
    <row r="9">
      <c r="B9" s="4" t="inlineStr">
        <is>
          <t>Date</t>
        </is>
      </c>
      <c r="C9" s="4" t="inlineStr">
        <is>
          <t>MTR-DYE-001</t>
        </is>
      </c>
      <c r="D9" s="4" t="inlineStr">
        <is>
          <t>MTR-CTW-004</t>
        </is>
      </c>
      <c r="E9" s="4" t="inlineStr">
        <is>
          <t>MTR-WSH-002</t>
        </is>
      </c>
    </row>
    <row r="10">
      <c r="B10" s="21" t="inlineStr">
        <is>
          <t>2024-01-02</t>
        </is>
      </c>
      <c r="C10" s="22" t="n">
        <v>40.58</v>
      </c>
      <c r="D10" s="22" t="n">
        <v>39.13</v>
      </c>
      <c r="E10" s="22" t="n">
        <v>27.04</v>
      </c>
    </row>
    <row r="11">
      <c r="B11" s="21" t="inlineStr">
        <is>
          <t>2024-01-03</t>
        </is>
      </c>
      <c r="C11" s="22" t="n">
        <v>51.64</v>
      </c>
      <c r="D11" s="22" t="n">
        <v>34.3</v>
      </c>
      <c r="E11" s="22" t="n">
        <v>31.68</v>
      </c>
    </row>
    <row r="12">
      <c r="B12" s="21" t="inlineStr">
        <is>
          <t>2024-01-04</t>
        </is>
      </c>
      <c r="C12" s="22" t="n">
        <v>41.53</v>
      </c>
      <c r="D12" s="22" t="n">
        <v>32.61</v>
      </c>
      <c r="E12" s="22" t="n">
        <v>30.31</v>
      </c>
    </row>
    <row r="13">
      <c r="B13" s="21" t="inlineStr">
        <is>
          <t>2024-01-05</t>
        </is>
      </c>
      <c r="C13" s="22" t="n">
        <v>52.71</v>
      </c>
      <c r="D13" s="22" t="n">
        <v>33.75</v>
      </c>
      <c r="E13" s="22" t="n">
        <v>30.08</v>
      </c>
    </row>
    <row r="14">
      <c r="B14" s="21" t="inlineStr">
        <is>
          <t>2024-01-06</t>
        </is>
      </c>
      <c r="C14" s="22" t="n">
        <v>35.7</v>
      </c>
      <c r="D14" s="22" t="n">
        <v>31.27</v>
      </c>
      <c r="E14" s="22" t="n">
        <v>26.19</v>
      </c>
    </row>
    <row r="15">
      <c r="B15" s="21" t="inlineStr">
        <is>
          <t>2024-01-07</t>
        </is>
      </c>
      <c r="C15" s="22" t="n">
        <v>22.31</v>
      </c>
      <c r="D15" s="22" t="n">
        <v>20.34</v>
      </c>
      <c r="E15" s="22" t="n">
        <v>14.22</v>
      </c>
    </row>
    <row r="16">
      <c r="B16" s="21" t="inlineStr">
        <is>
          <t>2024-01-08</t>
        </is>
      </c>
      <c r="C16" s="22" t="n">
        <v>51.57</v>
      </c>
      <c r="D16" s="22" t="n">
        <v>40.9</v>
      </c>
      <c r="E16" s="22" t="n">
        <v>27.35</v>
      </c>
    </row>
    <row r="17">
      <c r="B17" s="21" t="inlineStr">
        <is>
          <t>2024-01-09</t>
        </is>
      </c>
      <c r="C17" s="22" t="n">
        <v>46.67</v>
      </c>
      <c r="D17" s="22" t="n">
        <v>39.47</v>
      </c>
      <c r="E17" s="22" t="n">
        <v>26.22</v>
      </c>
    </row>
    <row r="18">
      <c r="B18" s="21" t="inlineStr">
        <is>
          <t>2024-01-10</t>
        </is>
      </c>
      <c r="C18" s="22" t="n">
        <v>47.39</v>
      </c>
      <c r="D18" s="22" t="n">
        <v>39.97</v>
      </c>
      <c r="E18" s="22" t="n">
        <v>31.66</v>
      </c>
    </row>
    <row r="19">
      <c r="B19" s="21" t="inlineStr">
        <is>
          <t>2024-01-11</t>
        </is>
      </c>
      <c r="C19" s="22" t="n">
        <v>47.66</v>
      </c>
      <c r="D19" s="22" t="n">
        <v>38.75</v>
      </c>
      <c r="E19" s="22" t="n">
        <v>32.58</v>
      </c>
    </row>
    <row r="20">
      <c r="B20" s="21" t="inlineStr">
        <is>
          <t>2024-01-12</t>
        </is>
      </c>
      <c r="C20" s="22" t="n">
        <v>46.33</v>
      </c>
      <c r="D20" s="22" t="n">
        <v>41.95</v>
      </c>
      <c r="E20" s="22" t="n">
        <v>25.02</v>
      </c>
    </row>
    <row r="21">
      <c r="B21" s="21" t="inlineStr">
        <is>
          <t>2024-01-13</t>
        </is>
      </c>
      <c r="C21" s="22" t="n">
        <v>42.17</v>
      </c>
      <c r="D21" s="22" t="n">
        <v>30.1</v>
      </c>
      <c r="E21" s="22" t="n">
        <v>24.58</v>
      </c>
    </row>
    <row r="22">
      <c r="B22" s="21" t="inlineStr">
        <is>
          <t>2024-01-14</t>
        </is>
      </c>
      <c r="C22" s="22" t="n">
        <v>21.87</v>
      </c>
      <c r="D22" s="22" t="n">
        <v>21.43</v>
      </c>
      <c r="E22" s="22" t="n">
        <v>17.15</v>
      </c>
    </row>
    <row r="23">
      <c r="B23" s="21" t="inlineStr">
        <is>
          <t>2024-01-15</t>
        </is>
      </c>
      <c r="C23" s="22" t="n">
        <v>51.02</v>
      </c>
      <c r="D23" s="22" t="n">
        <v>40.86</v>
      </c>
      <c r="E23" s="22" t="n">
        <v>30.81</v>
      </c>
    </row>
    <row r="24">
      <c r="B24" s="21" t="inlineStr">
        <is>
          <t>2024-01-16</t>
        </is>
      </c>
      <c r="C24" s="22" t="n">
        <v>43.01</v>
      </c>
      <c r="D24" s="22" t="n">
        <v>41.16</v>
      </c>
      <c r="E24" s="22" t="n">
        <v>28.51</v>
      </c>
    </row>
    <row r="25">
      <c r="B25" s="21" t="inlineStr">
        <is>
          <t>2024-01-17</t>
        </is>
      </c>
      <c r="C25" s="22" t="n">
        <v>48.5</v>
      </c>
      <c r="D25" s="22" t="n">
        <v>31.89</v>
      </c>
      <c r="E25" s="22" t="n">
        <v>30.18</v>
      </c>
    </row>
    <row r="26">
      <c r="B26" s="21" t="inlineStr">
        <is>
          <t>2024-01-18</t>
        </is>
      </c>
      <c r="C26" s="22" t="n">
        <v>44.11</v>
      </c>
      <c r="D26" s="22" t="n">
        <v>37.59</v>
      </c>
      <c r="E26" s="22" t="n">
        <v>26.88</v>
      </c>
    </row>
    <row r="27">
      <c r="B27" s="21" t="inlineStr">
        <is>
          <t>2024-01-19</t>
        </is>
      </c>
      <c r="C27" s="22" t="n">
        <v>49.5</v>
      </c>
      <c r="D27" s="22" t="n">
        <v>38.66</v>
      </c>
      <c r="E27" s="22" t="n">
        <v>28.73</v>
      </c>
    </row>
    <row r="28">
      <c r="B28" s="21" t="inlineStr">
        <is>
          <t>2024-01-20</t>
        </is>
      </c>
      <c r="C28" s="22" t="n">
        <v>35.37</v>
      </c>
      <c r="D28" s="22" t="n">
        <v>29.42</v>
      </c>
      <c r="E28" s="22" t="n">
        <v>24.06</v>
      </c>
    </row>
    <row r="29">
      <c r="B29" s="21" t="inlineStr">
        <is>
          <t>2024-01-21</t>
        </is>
      </c>
      <c r="C29" s="22" t="n">
        <v>28.46</v>
      </c>
      <c r="D29" s="22" t="n">
        <v>19.14</v>
      </c>
      <c r="E29" s="22" t="n">
        <v>17.57</v>
      </c>
    </row>
    <row r="30">
      <c r="B30" s="21" t="inlineStr">
        <is>
          <t>2024-01-22</t>
        </is>
      </c>
      <c r="C30" s="22" t="n">
        <v>43.92</v>
      </c>
      <c r="D30" s="22" t="n">
        <v>38.53</v>
      </c>
      <c r="E30" s="22" t="n">
        <v>27.51</v>
      </c>
    </row>
    <row r="31">
      <c r="B31" s="21" t="inlineStr">
        <is>
          <t>2024-01-23</t>
        </is>
      </c>
      <c r="C31" s="22" t="n">
        <v>48.37</v>
      </c>
      <c r="D31" s="22" t="n">
        <v>36.49</v>
      </c>
      <c r="E31" s="22" t="n">
        <v>25.53</v>
      </c>
    </row>
    <row r="32">
      <c r="B32" s="21" t="inlineStr">
        <is>
          <t>2024-01-24</t>
        </is>
      </c>
      <c r="C32" s="22" t="n">
        <v>41.13</v>
      </c>
      <c r="D32" s="22" t="n">
        <v>33.95</v>
      </c>
      <c r="E32" s="22" t="n">
        <v>30.95</v>
      </c>
    </row>
    <row r="33">
      <c r="B33" s="21" t="inlineStr">
        <is>
          <t>2024-01-25</t>
        </is>
      </c>
      <c r="C33" s="22" t="n">
        <v>48.17</v>
      </c>
      <c r="D33" s="22" t="n">
        <v>33.87</v>
      </c>
      <c r="E33" s="22" t="n">
        <v>33.23</v>
      </c>
    </row>
    <row r="34">
      <c r="B34" s="21" t="inlineStr">
        <is>
          <t>2024-01-26</t>
        </is>
      </c>
      <c r="C34" s="22" t="n">
        <v>53.33</v>
      </c>
      <c r="D34" s="22" t="n">
        <v>32.05</v>
      </c>
      <c r="E34" s="22" t="n">
        <v>25.07</v>
      </c>
    </row>
    <row r="35">
      <c r="B35" s="21" t="inlineStr">
        <is>
          <t>2024-01-27</t>
        </is>
      </c>
      <c r="C35" s="22" t="n">
        <v>42.6</v>
      </c>
      <c r="D35" s="22" t="n">
        <v>27.99</v>
      </c>
      <c r="E35" s="22" t="n">
        <v>22.26</v>
      </c>
    </row>
    <row r="36">
      <c r="B36" s="21" t="inlineStr">
        <is>
          <t>2024-01-28</t>
        </is>
      </c>
      <c r="C36" s="22" t="n">
        <v>27.96</v>
      </c>
      <c r="D36" s="22" t="n">
        <v>20.65</v>
      </c>
      <c r="E36" s="22" t="n">
        <v>17.43</v>
      </c>
    </row>
    <row r="37">
      <c r="B37" s="21" t="inlineStr">
        <is>
          <t>2024-01-29</t>
        </is>
      </c>
      <c r="C37" s="22" t="n">
        <v>43.05</v>
      </c>
      <c r="D37" s="22" t="n">
        <v>32.26</v>
      </c>
      <c r="E37" s="22" t="n">
        <v>32.51</v>
      </c>
    </row>
    <row r="38">
      <c r="B38" s="21" t="inlineStr">
        <is>
          <t>2024-01-30</t>
        </is>
      </c>
      <c r="C38" s="22" t="n">
        <v>49.19</v>
      </c>
      <c r="D38" s="22" t="n">
        <v>37.42</v>
      </c>
      <c r="E38" s="22" t="n">
        <v>26.42</v>
      </c>
    </row>
    <row r="39">
      <c r="B39" s="21" t="inlineStr">
        <is>
          <t>2024-01-31</t>
        </is>
      </c>
      <c r="C39" s="22" t="n">
        <v>40.67</v>
      </c>
      <c r="D39" s="22" t="n">
        <v>34.64</v>
      </c>
      <c r="E39" s="22" t="n">
        <v>30.13</v>
      </c>
    </row>
    <row r="40">
      <c r="B40" s="21" t="inlineStr">
        <is>
          <t>2024-02-01</t>
        </is>
      </c>
      <c r="C40" s="22" t="n">
        <v>42.87</v>
      </c>
      <c r="D40" s="22" t="n">
        <v>33.93</v>
      </c>
      <c r="E40" s="22" t="n">
        <v>33.77</v>
      </c>
    </row>
    <row r="41">
      <c r="B41" s="21" t="inlineStr">
        <is>
          <t>2024-02-02</t>
        </is>
      </c>
      <c r="C41" s="22" t="n">
        <v>43.99</v>
      </c>
      <c r="D41" s="22" t="n">
        <v>41.38</v>
      </c>
      <c r="E41" s="22" t="n">
        <v>32.85</v>
      </c>
    </row>
    <row r="42">
      <c r="B42" s="21" t="inlineStr">
        <is>
          <t>2024-02-03</t>
        </is>
      </c>
      <c r="C42" s="22" t="n">
        <v>43.64</v>
      </c>
      <c r="D42" s="22" t="n">
        <v>28.1</v>
      </c>
      <c r="E42" s="22" t="n">
        <v>22.3</v>
      </c>
    </row>
    <row r="43">
      <c r="B43" s="21" t="inlineStr">
        <is>
          <t>2024-02-04</t>
        </is>
      </c>
      <c r="C43" s="22" t="n">
        <v>29.06</v>
      </c>
      <c r="D43" s="22" t="n">
        <v>18.82</v>
      </c>
      <c r="E43" s="22" t="n">
        <v>15.15</v>
      </c>
    </row>
    <row r="44">
      <c r="B44" s="21" t="inlineStr">
        <is>
          <t>2024-02-05</t>
        </is>
      </c>
      <c r="C44" s="22" t="n">
        <v>41.93</v>
      </c>
      <c r="D44" s="22" t="n">
        <v>39.06</v>
      </c>
      <c r="E44" s="22" t="n">
        <v>29.69</v>
      </c>
    </row>
    <row r="45">
      <c r="B45" s="21" t="inlineStr">
        <is>
          <t>2024-02-06</t>
        </is>
      </c>
      <c r="C45" s="22" t="n">
        <v>51.72</v>
      </c>
      <c r="D45" s="22" t="n">
        <v>40.54</v>
      </c>
      <c r="E45" s="22" t="n">
        <v>30.46</v>
      </c>
    </row>
    <row r="46">
      <c r="B46" s="21" t="inlineStr">
        <is>
          <t>2024-02-07</t>
        </is>
      </c>
      <c r="C46" s="22" t="n">
        <v>50.47</v>
      </c>
      <c r="D46" s="22" t="n">
        <v>35.69</v>
      </c>
      <c r="E46" s="22" t="n">
        <v>33.44</v>
      </c>
    </row>
    <row r="47">
      <c r="B47" s="21" t="inlineStr">
        <is>
          <t>2024-02-08</t>
        </is>
      </c>
      <c r="C47" s="22" t="n">
        <v>44.17</v>
      </c>
      <c r="D47" s="22" t="n">
        <v>39.16</v>
      </c>
      <c r="E47" s="22" t="n">
        <v>34.28</v>
      </c>
    </row>
    <row r="48">
      <c r="B48" s="21" t="inlineStr">
        <is>
          <t>2024-02-09</t>
        </is>
      </c>
      <c r="C48" s="22" t="n">
        <v>47.64</v>
      </c>
      <c r="D48" s="22" t="n">
        <v>39.85</v>
      </c>
      <c r="E48" s="22" t="n">
        <v>31.25</v>
      </c>
    </row>
    <row r="49">
      <c r="B49" s="21" t="inlineStr">
        <is>
          <t>2024-02-10</t>
        </is>
      </c>
      <c r="C49" s="22" t="n">
        <v>36.84</v>
      </c>
      <c r="D49" s="22" t="n">
        <v>32.23</v>
      </c>
      <c r="E49" s="22" t="n">
        <v>25.49</v>
      </c>
    </row>
    <row r="50">
      <c r="B50" s="21" t="inlineStr">
        <is>
          <t>2024-02-11</t>
        </is>
      </c>
      <c r="C50" s="22" t="n">
        <v>29.19</v>
      </c>
      <c r="D50" s="22" t="n">
        <v>20.28</v>
      </c>
      <c r="E50" s="22" t="n">
        <v>17.53</v>
      </c>
    </row>
    <row r="51">
      <c r="B51" s="21" t="inlineStr">
        <is>
          <t>2024-02-12</t>
        </is>
      </c>
      <c r="C51" s="22" t="n">
        <v>50.95</v>
      </c>
      <c r="D51" s="22" t="n">
        <v>34.17</v>
      </c>
      <c r="E51" s="22" t="n">
        <v>33.85</v>
      </c>
    </row>
    <row r="52">
      <c r="B52" s="21" t="inlineStr">
        <is>
          <t>2024-02-13</t>
        </is>
      </c>
      <c r="C52" s="22" t="n">
        <v>48.03</v>
      </c>
      <c r="D52" s="22" t="n">
        <v>39.13</v>
      </c>
      <c r="E52" s="22" t="n">
        <v>31.8</v>
      </c>
    </row>
    <row r="53">
      <c r="B53" s="21" t="inlineStr">
        <is>
          <t>2024-02-14</t>
        </is>
      </c>
      <c r="C53" s="22" t="n">
        <v>47.88</v>
      </c>
      <c r="D53" s="22" t="n">
        <v>41.71</v>
      </c>
      <c r="E53" s="22" t="n">
        <v>32.5</v>
      </c>
    </row>
    <row r="54">
      <c r="B54" s="21" t="inlineStr">
        <is>
          <t>2024-02-15</t>
        </is>
      </c>
      <c r="C54" s="22" t="n">
        <v>45.38</v>
      </c>
      <c r="D54" s="22" t="n">
        <v>42.32</v>
      </c>
      <c r="E54" s="22" t="n">
        <v>32.22</v>
      </c>
    </row>
    <row r="55">
      <c r="B55" s="21" t="inlineStr">
        <is>
          <t>2024-02-16</t>
        </is>
      </c>
      <c r="C55" s="22" t="n">
        <v>51.68</v>
      </c>
      <c r="D55" s="22" t="n">
        <v>32.88</v>
      </c>
      <c r="E55" s="22" t="n">
        <v>29.51</v>
      </c>
    </row>
    <row r="56">
      <c r="B56" s="21" t="inlineStr">
        <is>
          <t>2024-02-17</t>
        </is>
      </c>
      <c r="C56" s="22" t="n">
        <v>43.61</v>
      </c>
      <c r="D56" s="22" t="n">
        <v>32.97</v>
      </c>
      <c r="E56" s="22" t="n">
        <v>23.63</v>
      </c>
    </row>
    <row r="57">
      <c r="B57" s="21" t="inlineStr">
        <is>
          <t>2024-02-18</t>
        </is>
      </c>
      <c r="C57" s="22" t="n">
        <v>28.53</v>
      </c>
      <c r="D57" s="22" t="n">
        <v>18.85</v>
      </c>
      <c r="E57" s="22" t="n">
        <v>14.53</v>
      </c>
    </row>
    <row r="58">
      <c r="B58" s="21" t="inlineStr">
        <is>
          <t>2024-02-19</t>
        </is>
      </c>
      <c r="C58" s="22" t="n">
        <v>54.79</v>
      </c>
      <c r="D58" s="22" t="n">
        <v>32.48</v>
      </c>
      <c r="E58" s="22" t="n">
        <v>30.59</v>
      </c>
    </row>
    <row r="59">
      <c r="B59" s="21" t="inlineStr">
        <is>
          <t>2024-02-20</t>
        </is>
      </c>
      <c r="C59" s="22" t="n">
        <v>46.9</v>
      </c>
      <c r="D59" s="22" t="n">
        <v>35.33</v>
      </c>
      <c r="E59" s="22" t="n">
        <v>29.87</v>
      </c>
    </row>
    <row r="60">
      <c r="B60" s="21" t="inlineStr">
        <is>
          <t>2024-02-21</t>
        </is>
      </c>
      <c r="C60" s="22" t="n">
        <v>49.24</v>
      </c>
      <c r="D60" s="22" t="n">
        <v>32.63</v>
      </c>
      <c r="E60" s="22" t="n">
        <v>27.78</v>
      </c>
    </row>
    <row r="61">
      <c r="B61" s="21" t="inlineStr">
        <is>
          <t>2024-02-22</t>
        </is>
      </c>
      <c r="C61" s="22" t="n">
        <v>43.59</v>
      </c>
      <c r="D61" s="22" t="n">
        <v>37.46</v>
      </c>
      <c r="E61" s="22" t="n">
        <v>30.04</v>
      </c>
    </row>
    <row r="62">
      <c r="B62" s="21" t="inlineStr">
        <is>
          <t>2024-02-23</t>
        </is>
      </c>
      <c r="C62" s="22" t="n">
        <v>51.86</v>
      </c>
      <c r="D62" s="22" t="n">
        <v>38.71</v>
      </c>
      <c r="E62" s="22" t="n">
        <v>34.5</v>
      </c>
    </row>
    <row r="63">
      <c r="B63" s="21" t="inlineStr">
        <is>
          <t>2024-02-24</t>
        </is>
      </c>
      <c r="C63" s="22" t="n">
        <v>41.65</v>
      </c>
      <c r="D63" s="22" t="n">
        <v>31.57</v>
      </c>
      <c r="E63" s="22" t="n">
        <v>22.62</v>
      </c>
    </row>
    <row r="64">
      <c r="B64" s="21" t="inlineStr">
        <is>
          <t>2024-02-25</t>
        </is>
      </c>
      <c r="C64" s="22" t="n">
        <v>25.74</v>
      </c>
      <c r="D64" s="22" t="n">
        <v>21.91</v>
      </c>
      <c r="E64" s="22" t="n">
        <v>15.25</v>
      </c>
    </row>
    <row r="65">
      <c r="B65" s="21" t="inlineStr">
        <is>
          <t>2024-02-26</t>
        </is>
      </c>
      <c r="C65" s="22" t="n">
        <v>51.69</v>
      </c>
      <c r="D65" s="22" t="n">
        <v>39.17</v>
      </c>
      <c r="E65" s="22" t="n">
        <v>27.34</v>
      </c>
    </row>
    <row r="66">
      <c r="B66" s="21" t="inlineStr">
        <is>
          <t>2024-02-27</t>
        </is>
      </c>
      <c r="C66" s="22" t="n">
        <v>50.02</v>
      </c>
      <c r="D66" s="22" t="n">
        <v>34.94</v>
      </c>
      <c r="E66" s="22" t="n">
        <v>33.48</v>
      </c>
    </row>
    <row r="67">
      <c r="B67" s="21" t="inlineStr">
        <is>
          <t>2024-02-28</t>
        </is>
      </c>
      <c r="C67" s="22" t="n">
        <v>48.58</v>
      </c>
      <c r="D67" s="22" t="n">
        <v>36.04</v>
      </c>
      <c r="E67" s="22" t="n">
        <v>27.39</v>
      </c>
    </row>
    <row r="68">
      <c r="B68" s="21" t="inlineStr">
        <is>
          <t>2024-02-29</t>
        </is>
      </c>
      <c r="C68" s="22" t="n">
        <v>55.21</v>
      </c>
      <c r="D68" s="22" t="n">
        <v>40.02</v>
      </c>
      <c r="E68" s="22" t="n">
        <v>27.93</v>
      </c>
    </row>
    <row r="69">
      <c r="B69" s="21" t="inlineStr">
        <is>
          <t>2024-03-01</t>
        </is>
      </c>
      <c r="C69" s="22" t="n">
        <v>46.99</v>
      </c>
      <c r="D69" s="22" t="n">
        <v>38.64</v>
      </c>
      <c r="E69" s="22" t="n">
        <v>32.96</v>
      </c>
    </row>
    <row r="70">
      <c r="B70" s="21" t="inlineStr">
        <is>
          <t>2024-03-02</t>
        </is>
      </c>
      <c r="C70" s="22" t="n">
        <v>43.01</v>
      </c>
      <c r="D70" s="22" t="n">
        <v>29.79</v>
      </c>
      <c r="E70" s="22" t="n">
        <v>23.76</v>
      </c>
    </row>
    <row r="71">
      <c r="B71" s="21" t="inlineStr">
        <is>
          <t>2024-03-03</t>
        </is>
      </c>
      <c r="C71" s="22" t="n">
        <v>28.11</v>
      </c>
      <c r="D71" s="22" t="n">
        <v>22.44</v>
      </c>
      <c r="E71" s="22" t="n">
        <v>17.42</v>
      </c>
    </row>
    <row r="72">
      <c r="B72" s="21" t="inlineStr">
        <is>
          <t>2024-03-04</t>
        </is>
      </c>
      <c r="C72" s="22" t="n">
        <v>50.6</v>
      </c>
      <c r="D72" s="22" t="n">
        <v>44.14</v>
      </c>
      <c r="E72" s="22" t="n">
        <v>26.91</v>
      </c>
    </row>
    <row r="73">
      <c r="B73" s="21" t="inlineStr">
        <is>
          <t>2024-03-05</t>
        </is>
      </c>
      <c r="C73" s="22" t="n">
        <v>51.2</v>
      </c>
      <c r="D73" s="22" t="n">
        <v>36.06</v>
      </c>
      <c r="E73" s="22" t="n">
        <v>30.96</v>
      </c>
    </row>
    <row r="74">
      <c r="B74" s="21" t="inlineStr">
        <is>
          <t>2024-03-06</t>
        </is>
      </c>
      <c r="C74" s="22" t="n">
        <v>51.24</v>
      </c>
      <c r="D74" s="22" t="n">
        <v>34.11</v>
      </c>
      <c r="E74" s="22" t="n">
        <v>26.99</v>
      </c>
    </row>
    <row r="75">
      <c r="B75" s="21" t="inlineStr">
        <is>
          <t>2024-03-07</t>
        </is>
      </c>
      <c r="C75" s="22" t="n">
        <v>45.96</v>
      </c>
      <c r="D75" s="22" t="n">
        <v>44.68</v>
      </c>
      <c r="E75" s="22" t="n">
        <v>30.05</v>
      </c>
    </row>
    <row r="76">
      <c r="B76" s="21" t="inlineStr">
        <is>
          <t>2024-03-08</t>
        </is>
      </c>
      <c r="C76" s="22" t="n">
        <v>44.06</v>
      </c>
      <c r="D76" s="22" t="n">
        <v>35.91</v>
      </c>
      <c r="E76" s="22" t="n">
        <v>32.34</v>
      </c>
    </row>
    <row r="77">
      <c r="B77" s="21" t="inlineStr">
        <is>
          <t>2024-03-09</t>
        </is>
      </c>
      <c r="C77" s="22" t="n">
        <v>41.69</v>
      </c>
      <c r="D77" s="22" t="n">
        <v>34.94</v>
      </c>
      <c r="E77" s="22" t="n">
        <v>21.69</v>
      </c>
    </row>
    <row r="78">
      <c r="B78" s="21" t="inlineStr">
        <is>
          <t>2024-03-10</t>
        </is>
      </c>
      <c r="C78" s="22" t="n">
        <v>26.94</v>
      </c>
      <c r="D78" s="22" t="n">
        <v>22.91</v>
      </c>
      <c r="E78" s="22" t="n">
        <v>15.96</v>
      </c>
    </row>
    <row r="79">
      <c r="B79" s="21" t="inlineStr">
        <is>
          <t>2024-03-11</t>
        </is>
      </c>
      <c r="C79" s="22" t="n">
        <v>53.83</v>
      </c>
      <c r="D79" s="22" t="n">
        <v>36.67</v>
      </c>
      <c r="E79" s="22" t="n">
        <v>35.1</v>
      </c>
    </row>
    <row r="80">
      <c r="B80" s="21" t="inlineStr">
        <is>
          <t>2024-03-12</t>
        </is>
      </c>
      <c r="C80" s="22" t="n">
        <v>43.78</v>
      </c>
      <c r="D80" s="22" t="n">
        <v>33.41</v>
      </c>
      <c r="E80" s="22" t="n">
        <v>34.8</v>
      </c>
    </row>
    <row r="81">
      <c r="B81" s="21" t="inlineStr">
        <is>
          <t>2024-03-13</t>
        </is>
      </c>
      <c r="C81" s="22" t="n">
        <v>57.59</v>
      </c>
      <c r="D81" s="22" t="n">
        <v>38.61</v>
      </c>
      <c r="E81" s="22" t="n">
        <v>34.17</v>
      </c>
    </row>
    <row r="82">
      <c r="B82" s="21" t="inlineStr">
        <is>
          <t>2024-03-14</t>
        </is>
      </c>
      <c r="C82" s="22" t="n">
        <v>49.12</v>
      </c>
      <c r="D82" s="22" t="n">
        <v>36.86</v>
      </c>
      <c r="E82" s="22" t="n">
        <v>35.55</v>
      </c>
    </row>
    <row r="83">
      <c r="B83" s="21" t="inlineStr">
        <is>
          <t>2024-03-15</t>
        </is>
      </c>
      <c r="C83" s="22" t="n">
        <v>46.9</v>
      </c>
      <c r="D83" s="22" t="n">
        <v>33.54</v>
      </c>
      <c r="E83" s="22" t="n">
        <v>34.1</v>
      </c>
    </row>
    <row r="84">
      <c r="B84" s="21" t="inlineStr">
        <is>
          <t>2024-03-16</t>
        </is>
      </c>
      <c r="C84" s="22" t="n">
        <v>44.98</v>
      </c>
      <c r="D84" s="22" t="n">
        <v>28.58</v>
      </c>
      <c r="E84" s="22" t="n">
        <v>26.42</v>
      </c>
    </row>
    <row r="85">
      <c r="B85" s="21" t="inlineStr">
        <is>
          <t>2024-03-17</t>
        </is>
      </c>
      <c r="C85" s="22" t="n">
        <v>23.9</v>
      </c>
      <c r="D85" s="22" t="n">
        <v>20.31</v>
      </c>
      <c r="E85" s="22" t="n">
        <v>14.52</v>
      </c>
    </row>
    <row r="86">
      <c r="B86" s="21" t="inlineStr">
        <is>
          <t>2024-03-18</t>
        </is>
      </c>
      <c r="C86" s="22" t="n">
        <v>44.95</v>
      </c>
      <c r="D86" s="22" t="n">
        <v>38.5</v>
      </c>
      <c r="E86" s="22" t="n">
        <v>26.62</v>
      </c>
    </row>
    <row r="87">
      <c r="B87" s="21" t="inlineStr">
        <is>
          <t>2024-03-19</t>
        </is>
      </c>
      <c r="C87" s="22" t="n">
        <v>46.96</v>
      </c>
      <c r="D87" s="22" t="n">
        <v>38.45</v>
      </c>
      <c r="E87" s="22" t="n">
        <v>29.05</v>
      </c>
    </row>
    <row r="88">
      <c r="B88" s="21" t="inlineStr">
        <is>
          <t>2024-03-20</t>
        </is>
      </c>
      <c r="C88" s="22" t="n">
        <v>55.55</v>
      </c>
      <c r="D88" s="22" t="n">
        <v>36.23</v>
      </c>
      <c r="E88" s="22" t="n">
        <v>33.71</v>
      </c>
    </row>
    <row r="89">
      <c r="B89" s="21" t="inlineStr">
        <is>
          <t>2024-03-21</t>
        </is>
      </c>
      <c r="C89" s="22" t="n">
        <v>57.58</v>
      </c>
      <c r="D89" s="22" t="n">
        <v>37</v>
      </c>
      <c r="E89" s="22" t="n">
        <v>34.58</v>
      </c>
    </row>
    <row r="90">
      <c r="B90" s="21" t="inlineStr">
        <is>
          <t>2024-03-22</t>
        </is>
      </c>
      <c r="C90" s="22" t="n">
        <v>46.16</v>
      </c>
      <c r="D90" s="22" t="n">
        <v>38.64</v>
      </c>
      <c r="E90" s="22" t="n">
        <v>28.67</v>
      </c>
    </row>
    <row r="91">
      <c r="B91" s="21" t="inlineStr">
        <is>
          <t>2024-03-23</t>
        </is>
      </c>
      <c r="C91" s="22" t="n">
        <v>46.39</v>
      </c>
      <c r="D91" s="22" t="n">
        <v>29.95</v>
      </c>
      <c r="E91" s="22" t="n">
        <v>28.75</v>
      </c>
    </row>
    <row r="92">
      <c r="B92" s="21" t="inlineStr">
        <is>
          <t>2024-03-24</t>
        </is>
      </c>
      <c r="C92" s="22" t="n">
        <v>22.42</v>
      </c>
      <c r="D92" s="22" t="n">
        <v>20.22</v>
      </c>
      <c r="E92" s="22" t="n">
        <v>15.88</v>
      </c>
    </row>
    <row r="93">
      <c r="B93" s="21" t="inlineStr">
        <is>
          <t>2024-03-25</t>
        </is>
      </c>
      <c r="C93" s="22" t="n">
        <v>55.37</v>
      </c>
      <c r="D93" s="22" t="n">
        <v>41.51</v>
      </c>
      <c r="E93" s="22" t="n">
        <v>34.52</v>
      </c>
    </row>
    <row r="94">
      <c r="B94" s="21" t="inlineStr">
        <is>
          <t>2024-03-26</t>
        </is>
      </c>
      <c r="C94" s="22" t="n">
        <v>52.06</v>
      </c>
      <c r="D94" s="22" t="n">
        <v>42</v>
      </c>
      <c r="E94" s="22" t="n">
        <v>35.81</v>
      </c>
    </row>
    <row r="95">
      <c r="B95" s="21" t="inlineStr">
        <is>
          <t>2024-03-27</t>
        </is>
      </c>
      <c r="C95" s="22" t="n">
        <v>56.15</v>
      </c>
      <c r="D95" s="22" t="n">
        <v>38.14</v>
      </c>
      <c r="E95" s="22" t="n">
        <v>29.52</v>
      </c>
    </row>
    <row r="96">
      <c r="B96" s="21" t="inlineStr">
        <is>
          <t>2024-03-28</t>
        </is>
      </c>
      <c r="C96" s="22" t="n">
        <v>45.13</v>
      </c>
      <c r="D96" s="22" t="n">
        <v>38.93</v>
      </c>
      <c r="E96" s="22" t="n">
        <v>32.19</v>
      </c>
    </row>
    <row r="97">
      <c r="B97" s="21" t="inlineStr">
        <is>
          <t>2024-03-29</t>
        </is>
      </c>
      <c r="C97" s="22" t="n">
        <v>46.41</v>
      </c>
      <c r="D97" s="22" t="n">
        <v>39.5</v>
      </c>
      <c r="E97" s="22" t="n">
        <v>34.89</v>
      </c>
    </row>
    <row r="98">
      <c r="B98" s="21" t="inlineStr">
        <is>
          <t>2024-03-30</t>
        </is>
      </c>
      <c r="C98" s="22" t="n">
        <v>42.23</v>
      </c>
      <c r="D98" s="22" t="n">
        <v>36.26</v>
      </c>
      <c r="E98" s="22" t="n">
        <v>26.67</v>
      </c>
    </row>
    <row r="99">
      <c r="B99" s="21" t="inlineStr">
        <is>
          <t>2024-03-31</t>
        </is>
      </c>
      <c r="C99" s="22" t="n">
        <v>24.63</v>
      </c>
      <c r="D99" s="22" t="n">
        <v>20.81</v>
      </c>
      <c r="E99" s="22" t="n">
        <v>15.32</v>
      </c>
    </row>
    <row r="100">
      <c r="B100" s="21" t="inlineStr">
        <is>
          <t>2024-04-01</t>
        </is>
      </c>
      <c r="C100" s="22" t="n">
        <v>51.45</v>
      </c>
      <c r="D100" s="22" t="n">
        <v>36.68</v>
      </c>
      <c r="E100" s="22" t="n">
        <v>34.7</v>
      </c>
    </row>
    <row r="101">
      <c r="B101" s="21" t="inlineStr">
        <is>
          <t>2024-04-02</t>
        </is>
      </c>
      <c r="C101" s="22" t="n">
        <v>54.3</v>
      </c>
      <c r="D101" s="22" t="n">
        <v>43.53</v>
      </c>
      <c r="E101" s="22" t="n">
        <v>33.28</v>
      </c>
    </row>
    <row r="102">
      <c r="B102" s="21" t="inlineStr">
        <is>
          <t>2024-04-03</t>
        </is>
      </c>
      <c r="C102" s="22" t="n">
        <v>48.83</v>
      </c>
      <c r="D102" s="22" t="n">
        <v>40.43</v>
      </c>
      <c r="E102" s="22" t="n">
        <v>28.93</v>
      </c>
    </row>
    <row r="103">
      <c r="B103" s="21" t="inlineStr">
        <is>
          <t>2024-04-04</t>
        </is>
      </c>
      <c r="C103" s="22" t="n">
        <v>58.72</v>
      </c>
      <c r="D103" s="22" t="n">
        <v>45.62</v>
      </c>
      <c r="E103" s="22" t="n">
        <v>34.42</v>
      </c>
    </row>
    <row r="104">
      <c r="B104" s="21" t="inlineStr">
        <is>
          <t>2024-04-05</t>
        </is>
      </c>
      <c r="C104" s="22" t="n">
        <v>54.2</v>
      </c>
      <c r="D104" s="22" t="n">
        <v>34.22</v>
      </c>
      <c r="E104" s="22" t="n">
        <v>36.54</v>
      </c>
    </row>
    <row r="105">
      <c r="B105" s="21" t="inlineStr">
        <is>
          <t>2024-04-06</t>
        </is>
      </c>
      <c r="C105" s="22" t="n">
        <v>38.72</v>
      </c>
      <c r="D105" s="22" t="n">
        <v>32.15</v>
      </c>
      <c r="E105" s="22" t="n">
        <v>28.45</v>
      </c>
    </row>
    <row r="106">
      <c r="B106" s="21" t="inlineStr">
        <is>
          <t>2024-04-07</t>
        </is>
      </c>
      <c r="C106" s="22" t="n">
        <v>24.72</v>
      </c>
      <c r="D106" s="22" t="n">
        <v>21.92</v>
      </c>
      <c r="E106" s="22" t="n">
        <v>17.47</v>
      </c>
    </row>
    <row r="107">
      <c r="B107" s="21" t="inlineStr">
        <is>
          <t>2024-04-08</t>
        </is>
      </c>
      <c r="C107" s="22" t="n">
        <v>45.57</v>
      </c>
      <c r="D107" s="22" t="n">
        <v>42.11</v>
      </c>
      <c r="E107" s="22" t="n">
        <v>35.77</v>
      </c>
    </row>
    <row r="108">
      <c r="B108" s="21" t="inlineStr">
        <is>
          <t>2024-04-09</t>
        </is>
      </c>
      <c r="C108" s="22" t="n">
        <v>55</v>
      </c>
      <c r="D108" s="22" t="n">
        <v>34.44</v>
      </c>
      <c r="E108" s="22" t="n">
        <v>33.54</v>
      </c>
    </row>
    <row r="109">
      <c r="B109" s="21" t="inlineStr">
        <is>
          <t>2024-04-10</t>
        </is>
      </c>
      <c r="C109" s="22" t="n">
        <v>45.31</v>
      </c>
      <c r="D109" s="22" t="n">
        <v>37.36</v>
      </c>
      <c r="E109" s="22" t="n">
        <v>30.77</v>
      </c>
    </row>
    <row r="110">
      <c r="B110" s="21" t="inlineStr">
        <is>
          <t>2024-04-11</t>
        </is>
      </c>
      <c r="C110" s="22" t="n">
        <v>53.69</v>
      </c>
      <c r="D110" s="22" t="n">
        <v>45.93</v>
      </c>
      <c r="E110" s="22" t="n">
        <v>36.57</v>
      </c>
    </row>
    <row r="111">
      <c r="B111" s="21" t="inlineStr">
        <is>
          <t>2024-04-12</t>
        </is>
      </c>
      <c r="C111" s="22" t="n">
        <v>56.34</v>
      </c>
      <c r="D111" s="22" t="n">
        <v>34.08</v>
      </c>
      <c r="E111" s="22" t="n">
        <v>30.4</v>
      </c>
    </row>
    <row r="112">
      <c r="B112" s="21" t="inlineStr">
        <is>
          <t>2024-04-13</t>
        </is>
      </c>
      <c r="C112" s="22" t="n">
        <v>36.81</v>
      </c>
      <c r="D112" s="22" t="n">
        <v>33.29</v>
      </c>
      <c r="E112" s="22" t="n">
        <v>23.08</v>
      </c>
    </row>
    <row r="113">
      <c r="B113" s="21" t="inlineStr">
        <is>
          <t>2024-04-14</t>
        </is>
      </c>
      <c r="C113" s="22" t="n">
        <v>27.19</v>
      </c>
      <c r="D113" s="22" t="n">
        <v>21.57</v>
      </c>
      <c r="E113" s="22" t="n">
        <v>14.59</v>
      </c>
    </row>
    <row r="114">
      <c r="B114" s="21" t="inlineStr">
        <is>
          <t>2024-04-15</t>
        </is>
      </c>
      <c r="C114" s="22" t="n">
        <v>51.83</v>
      </c>
      <c r="D114" s="22" t="n">
        <v>44.23</v>
      </c>
      <c r="E114" s="22" t="n">
        <v>33.42</v>
      </c>
    </row>
    <row r="115">
      <c r="B115" s="21" t="inlineStr">
        <is>
          <t>2024-04-16</t>
        </is>
      </c>
      <c r="C115" s="22" t="n">
        <v>44.91</v>
      </c>
      <c r="D115" s="22" t="n">
        <v>41.55</v>
      </c>
      <c r="E115" s="22" t="n">
        <v>30.34</v>
      </c>
    </row>
    <row r="116">
      <c r="B116" s="21" t="inlineStr">
        <is>
          <t>2024-04-17</t>
        </is>
      </c>
      <c r="C116" s="22" t="n">
        <v>51.97</v>
      </c>
      <c r="D116" s="22" t="n">
        <v>35.42</v>
      </c>
      <c r="E116" s="22" t="n">
        <v>32.1</v>
      </c>
    </row>
    <row r="117">
      <c r="B117" s="21" t="inlineStr">
        <is>
          <t>2024-04-18</t>
        </is>
      </c>
      <c r="C117" s="22" t="n">
        <v>50.42</v>
      </c>
      <c r="D117" s="22" t="n">
        <v>35.19</v>
      </c>
      <c r="E117" s="22" t="n">
        <v>31.22</v>
      </c>
    </row>
    <row r="118">
      <c r="B118" s="21" t="inlineStr">
        <is>
          <t>2024-04-19</t>
        </is>
      </c>
      <c r="C118" s="22" t="n">
        <v>54.39</v>
      </c>
      <c r="D118" s="22" t="n">
        <v>43</v>
      </c>
      <c r="E118" s="22" t="n">
        <v>27.88</v>
      </c>
    </row>
    <row r="119">
      <c r="B119" s="21" t="inlineStr">
        <is>
          <t>2024-04-20</t>
        </is>
      </c>
      <c r="C119" s="22" t="n">
        <v>42.46</v>
      </c>
      <c r="D119" s="22" t="n">
        <v>36.01</v>
      </c>
      <c r="E119" s="22" t="n">
        <v>23</v>
      </c>
    </row>
    <row r="120">
      <c r="B120" s="21" t="inlineStr">
        <is>
          <t>2024-04-21</t>
        </is>
      </c>
      <c r="C120" s="22" t="n">
        <v>23.77</v>
      </c>
      <c r="D120" s="22" t="n">
        <v>20.04</v>
      </c>
      <c r="E120" s="22" t="n">
        <v>15.34</v>
      </c>
    </row>
    <row r="121">
      <c r="B121" s="21" t="inlineStr">
        <is>
          <t>2024-04-22</t>
        </is>
      </c>
      <c r="C121" s="22" t="n">
        <v>56.84</v>
      </c>
      <c r="D121" s="22" t="n">
        <v>45.21</v>
      </c>
      <c r="E121" s="22" t="n">
        <v>33.14</v>
      </c>
    </row>
    <row r="122">
      <c r="B122" s="21" t="inlineStr">
        <is>
          <t>2024-04-23</t>
        </is>
      </c>
      <c r="C122" s="22" t="n">
        <v>58.02</v>
      </c>
      <c r="D122" s="22" t="n">
        <v>34.89</v>
      </c>
      <c r="E122" s="22" t="n">
        <v>27.3</v>
      </c>
    </row>
    <row r="123">
      <c r="B123" s="21" t="inlineStr">
        <is>
          <t>2024-04-24</t>
        </is>
      </c>
      <c r="C123" s="22" t="n">
        <v>47.1</v>
      </c>
      <c r="D123" s="22" t="n">
        <v>37.95</v>
      </c>
      <c r="E123" s="22" t="n">
        <v>31.6</v>
      </c>
    </row>
    <row r="124">
      <c r="B124" s="21" t="inlineStr">
        <is>
          <t>2024-04-25</t>
        </is>
      </c>
      <c r="C124" s="22" t="n">
        <v>44.55</v>
      </c>
      <c r="D124" s="22" t="n">
        <v>39.36</v>
      </c>
      <c r="E124" s="22" t="n">
        <v>29.86</v>
      </c>
    </row>
    <row r="125">
      <c r="B125" s="21" t="inlineStr">
        <is>
          <t>2024-04-26</t>
        </is>
      </c>
      <c r="C125" s="22" t="n">
        <v>45.49</v>
      </c>
      <c r="D125" s="22" t="n">
        <v>34.59</v>
      </c>
      <c r="E125" s="22" t="n">
        <v>33.76</v>
      </c>
    </row>
    <row r="126">
      <c r="B126" s="21" t="inlineStr">
        <is>
          <t>2024-04-27</t>
        </is>
      </c>
      <c r="C126" s="22" t="n">
        <v>47.26</v>
      </c>
      <c r="D126" s="22" t="n">
        <v>32.4</v>
      </c>
      <c r="E126" s="22" t="n">
        <v>28</v>
      </c>
    </row>
    <row r="127">
      <c r="B127" s="21" t="inlineStr">
        <is>
          <t>2024-04-28</t>
        </is>
      </c>
      <c r="C127" s="22" t="n">
        <v>26.98</v>
      </c>
      <c r="D127" s="22" t="n">
        <v>18.1</v>
      </c>
      <c r="E127" s="22" t="n">
        <v>18.33</v>
      </c>
    </row>
    <row r="128">
      <c r="B128" s="21" t="inlineStr">
        <is>
          <t>2024-04-29</t>
        </is>
      </c>
      <c r="C128" s="22" t="n">
        <v>50.41</v>
      </c>
      <c r="D128" s="22" t="n">
        <v>34.3</v>
      </c>
      <c r="E128" s="22" t="n">
        <v>34.06</v>
      </c>
    </row>
    <row r="129">
      <c r="B129" s="21" t="inlineStr">
        <is>
          <t>2024-04-30</t>
        </is>
      </c>
      <c r="C129" s="22" t="n">
        <v>57.99</v>
      </c>
      <c r="D129" s="22" t="n">
        <v>38.86</v>
      </c>
      <c r="E129" s="22" t="n">
        <v>31.44</v>
      </c>
    </row>
    <row r="130">
      <c r="B130" s="21" t="inlineStr">
        <is>
          <t>2024-05-01</t>
        </is>
      </c>
      <c r="C130" s="22" t="n">
        <v>50.27</v>
      </c>
      <c r="D130" s="22" t="n">
        <v>37.38</v>
      </c>
      <c r="E130" s="22" t="n">
        <v>28.74</v>
      </c>
    </row>
    <row r="131">
      <c r="B131" s="21" t="inlineStr">
        <is>
          <t>2024-05-02</t>
        </is>
      </c>
      <c r="C131" s="22" t="n">
        <v>46.61</v>
      </c>
      <c r="D131" s="22" t="n">
        <v>35.92</v>
      </c>
      <c r="E131" s="22" t="n">
        <v>29.94</v>
      </c>
    </row>
    <row r="132">
      <c r="B132" s="21" t="inlineStr">
        <is>
          <t>2024-05-03</t>
        </is>
      </c>
      <c r="C132" s="22" t="n">
        <v>55.8</v>
      </c>
      <c r="D132" s="22" t="n">
        <v>38.89</v>
      </c>
      <c r="E132" s="22" t="n">
        <v>34.34</v>
      </c>
    </row>
    <row r="133">
      <c r="B133" s="21" t="inlineStr">
        <is>
          <t>2024-05-04</t>
        </is>
      </c>
      <c r="C133" s="22" t="n">
        <v>44.01</v>
      </c>
      <c r="D133" s="22" t="n">
        <v>28.89</v>
      </c>
      <c r="E133" s="22" t="n">
        <v>26.71</v>
      </c>
    </row>
    <row r="134">
      <c r="B134" s="21" t="inlineStr">
        <is>
          <t>2024-05-05</t>
        </is>
      </c>
      <c r="C134" s="22" t="n">
        <v>26.76</v>
      </c>
      <c r="D134" s="22" t="n">
        <v>24.21</v>
      </c>
      <c r="E134" s="22" t="n">
        <v>17.53</v>
      </c>
    </row>
    <row r="135">
      <c r="B135" s="21" t="inlineStr">
        <is>
          <t>2024-05-06</t>
        </is>
      </c>
      <c r="C135" s="22" t="n">
        <v>47.38</v>
      </c>
      <c r="D135" s="22" t="n">
        <v>41.22</v>
      </c>
      <c r="E135" s="22" t="n">
        <v>32.44</v>
      </c>
    </row>
    <row r="136">
      <c r="B136" s="21" t="inlineStr">
        <is>
          <t>2024-05-07</t>
        </is>
      </c>
      <c r="C136" s="22" t="n">
        <v>53.3</v>
      </c>
      <c r="D136" s="22" t="n">
        <v>40.03</v>
      </c>
      <c r="E136" s="22" t="n">
        <v>29.56</v>
      </c>
    </row>
    <row r="137">
      <c r="B137" s="21" t="inlineStr">
        <is>
          <t>2024-05-08</t>
        </is>
      </c>
      <c r="C137" s="22" t="n">
        <v>50.29</v>
      </c>
      <c r="D137" s="22" t="n">
        <v>43.92</v>
      </c>
      <c r="E137" s="22" t="n">
        <v>28.92</v>
      </c>
    </row>
    <row r="138">
      <c r="B138" s="21" t="inlineStr">
        <is>
          <t>2024-05-09</t>
        </is>
      </c>
      <c r="C138" s="22" t="n">
        <v>46.28</v>
      </c>
      <c r="D138" s="22" t="n">
        <v>43.61</v>
      </c>
      <c r="E138" s="22" t="n">
        <v>29.39</v>
      </c>
    </row>
    <row r="139">
      <c r="B139" s="21" t="inlineStr">
        <is>
          <t>2024-05-10</t>
        </is>
      </c>
      <c r="C139" s="22" t="n">
        <v>53.86</v>
      </c>
      <c r="D139" s="22" t="n">
        <v>47.3</v>
      </c>
      <c r="E139" s="22" t="n">
        <v>37.31</v>
      </c>
    </row>
    <row r="140">
      <c r="B140" s="21" t="inlineStr">
        <is>
          <t>2024-05-11</t>
        </is>
      </c>
      <c r="C140" s="22" t="n">
        <v>36.65</v>
      </c>
      <c r="D140" s="22" t="n">
        <v>30.24</v>
      </c>
      <c r="E140" s="22" t="n">
        <v>22.6</v>
      </c>
    </row>
    <row r="141">
      <c r="B141" s="21" t="inlineStr">
        <is>
          <t>2024-05-12</t>
        </is>
      </c>
      <c r="C141" s="22" t="n">
        <v>27.78</v>
      </c>
      <c r="D141" s="22" t="n">
        <v>23.99</v>
      </c>
      <c r="E141" s="22" t="n">
        <v>18.98</v>
      </c>
    </row>
    <row r="142">
      <c r="B142" s="21" t="inlineStr">
        <is>
          <t>2024-05-13</t>
        </is>
      </c>
      <c r="C142" s="22" t="n">
        <v>58.18</v>
      </c>
      <c r="D142" s="22" t="n">
        <v>40.06</v>
      </c>
      <c r="E142" s="22" t="n">
        <v>35.98</v>
      </c>
    </row>
    <row r="143">
      <c r="B143" s="21" t="inlineStr">
        <is>
          <t>2024-05-14</t>
        </is>
      </c>
      <c r="C143" s="22" t="n">
        <v>57.43</v>
      </c>
      <c r="D143" s="22" t="n">
        <v>46.15</v>
      </c>
      <c r="E143" s="22" t="n">
        <v>33.26</v>
      </c>
    </row>
    <row r="144">
      <c r="B144" s="21" t="inlineStr">
        <is>
          <t>2024-05-15</t>
        </is>
      </c>
      <c r="C144" s="22" t="n">
        <v>57.2</v>
      </c>
      <c r="D144" s="22" t="n">
        <v>44.88</v>
      </c>
      <c r="E144" s="22" t="n">
        <v>32.96</v>
      </c>
    </row>
    <row r="145">
      <c r="B145" s="21" t="inlineStr">
        <is>
          <t>2024-05-16</t>
        </is>
      </c>
      <c r="C145" s="22" t="n">
        <v>53.79</v>
      </c>
      <c r="D145" s="22" t="n">
        <v>36.02</v>
      </c>
      <c r="E145" s="22" t="n">
        <v>35.02</v>
      </c>
    </row>
    <row r="146">
      <c r="B146" s="21" t="inlineStr">
        <is>
          <t>2024-05-17</t>
        </is>
      </c>
      <c r="C146" s="22" t="n">
        <v>46.44</v>
      </c>
      <c r="D146" s="22" t="n">
        <v>35.64</v>
      </c>
      <c r="E146" s="22" t="n">
        <v>36.06</v>
      </c>
    </row>
    <row r="147">
      <c r="B147" s="21" t="inlineStr">
        <is>
          <t>2024-05-18</t>
        </is>
      </c>
      <c r="C147" s="22" t="n">
        <v>39.3</v>
      </c>
      <c r="D147" s="22" t="n">
        <v>29.7</v>
      </c>
      <c r="E147" s="22" t="n">
        <v>30.1</v>
      </c>
    </row>
    <row r="148">
      <c r="B148" s="21" t="inlineStr">
        <is>
          <t>2024-05-19</t>
        </is>
      </c>
      <c r="C148" s="22" t="n">
        <v>29.87</v>
      </c>
      <c r="D148" s="22" t="n">
        <v>19.98</v>
      </c>
      <c r="E148" s="22" t="n">
        <v>16.98</v>
      </c>
    </row>
    <row r="149">
      <c r="B149" s="21" t="inlineStr">
        <is>
          <t>2024-05-20</t>
        </is>
      </c>
      <c r="C149" s="22" t="n">
        <v>46.75</v>
      </c>
      <c r="D149" s="22" t="n">
        <v>42.88</v>
      </c>
      <c r="E149" s="22" t="n">
        <v>30.34</v>
      </c>
    </row>
    <row r="150">
      <c r="B150" s="21" t="inlineStr">
        <is>
          <t>2024-05-21</t>
        </is>
      </c>
      <c r="C150" s="22" t="n">
        <v>54.46</v>
      </c>
      <c r="D150" s="22" t="n">
        <v>38.58</v>
      </c>
      <c r="E150" s="22" t="n">
        <v>34.23</v>
      </c>
    </row>
    <row r="151">
      <c r="B151" s="21" t="inlineStr">
        <is>
          <t>2024-05-22</t>
        </is>
      </c>
      <c r="C151" s="22" t="n">
        <v>55.53</v>
      </c>
      <c r="D151" s="22" t="n">
        <v>41.7</v>
      </c>
      <c r="E151" s="22" t="n">
        <v>33.16</v>
      </c>
    </row>
    <row r="152">
      <c r="B152" s="21" t="inlineStr">
        <is>
          <t>2024-05-23</t>
        </is>
      </c>
      <c r="C152" s="22" t="n">
        <v>55.07</v>
      </c>
      <c r="D152" s="22" t="n">
        <v>39.24</v>
      </c>
      <c r="E152" s="22" t="n">
        <v>30.49</v>
      </c>
    </row>
    <row r="153">
      <c r="B153" s="21" t="inlineStr">
        <is>
          <t>2024-05-24</t>
        </is>
      </c>
      <c r="C153" s="22" t="n">
        <v>57</v>
      </c>
      <c r="D153" s="22" t="n">
        <v>37.15</v>
      </c>
      <c r="E153" s="22" t="n">
        <v>28.43</v>
      </c>
    </row>
    <row r="154">
      <c r="B154" s="21" t="inlineStr">
        <is>
          <t>2024-05-25</t>
        </is>
      </c>
      <c r="C154" s="22" t="n">
        <v>46.84</v>
      </c>
      <c r="D154" s="22" t="n">
        <v>28.76</v>
      </c>
      <c r="E154" s="22" t="n">
        <v>28.38</v>
      </c>
    </row>
    <row r="155">
      <c r="B155" s="21" t="inlineStr">
        <is>
          <t>2024-05-26</t>
        </is>
      </c>
      <c r="C155" s="22" t="n">
        <v>26.87</v>
      </c>
      <c r="D155" s="22" t="n">
        <v>20.18</v>
      </c>
      <c r="E155" s="22" t="n">
        <v>17.11</v>
      </c>
    </row>
    <row r="156">
      <c r="B156" s="21" t="inlineStr">
        <is>
          <t>2024-05-27</t>
        </is>
      </c>
      <c r="C156" s="22" t="n">
        <v>51.92</v>
      </c>
      <c r="D156" s="22" t="n">
        <v>41.11</v>
      </c>
      <c r="E156" s="22" t="n">
        <v>35.33</v>
      </c>
    </row>
    <row r="157">
      <c r="B157" s="21" t="inlineStr">
        <is>
          <t>2024-05-28</t>
        </is>
      </c>
      <c r="C157" s="22" t="n">
        <v>56.53</v>
      </c>
      <c r="D157" s="22" t="n">
        <v>36.25</v>
      </c>
      <c r="E157" s="22" t="n">
        <v>32.24</v>
      </c>
    </row>
    <row r="158">
      <c r="B158" s="21" t="inlineStr">
        <is>
          <t>2024-05-29</t>
        </is>
      </c>
      <c r="C158" s="22" t="n">
        <v>51.75</v>
      </c>
      <c r="D158" s="22" t="n">
        <v>42.58</v>
      </c>
      <c r="E158" s="22" t="n">
        <v>32.37</v>
      </c>
    </row>
    <row r="159">
      <c r="B159" s="21" t="inlineStr">
        <is>
          <t>2024-05-30</t>
        </is>
      </c>
      <c r="C159" s="22" t="n">
        <v>51.43</v>
      </c>
      <c r="D159" s="22" t="n">
        <v>36.75</v>
      </c>
      <c r="E159" s="22" t="n">
        <v>35.9</v>
      </c>
    </row>
    <row r="160">
      <c r="B160" s="21" t="inlineStr">
        <is>
          <t>2024-05-31</t>
        </is>
      </c>
      <c r="C160" s="22" t="n">
        <v>48.73</v>
      </c>
      <c r="D160" s="22" t="n">
        <v>42.46</v>
      </c>
      <c r="E160" s="22" t="n">
        <v>31.61</v>
      </c>
    </row>
    <row r="161">
      <c r="B161" s="21" t="inlineStr">
        <is>
          <t>2024-06-01</t>
        </is>
      </c>
      <c r="C161" s="22" t="n">
        <v>44.96</v>
      </c>
      <c r="D161" s="22" t="n">
        <v>38.94</v>
      </c>
      <c r="E161" s="22" t="n">
        <v>26.28</v>
      </c>
    </row>
    <row r="162">
      <c r="B162" s="21" t="inlineStr">
        <is>
          <t>2024-06-02</t>
        </is>
      </c>
      <c r="C162" s="22" t="n">
        <v>25.2</v>
      </c>
      <c r="D162" s="22" t="n">
        <v>23.43</v>
      </c>
      <c r="E162" s="22" t="n">
        <v>18.79</v>
      </c>
    </row>
    <row r="163">
      <c r="B163" s="21" t="inlineStr">
        <is>
          <t>2024-06-03</t>
        </is>
      </c>
      <c r="C163" s="22" t="n">
        <v>49</v>
      </c>
      <c r="D163" s="22" t="n">
        <v>44.39</v>
      </c>
      <c r="E163" s="22" t="n">
        <v>33.25</v>
      </c>
    </row>
    <row r="164">
      <c r="B164" s="21" t="inlineStr">
        <is>
          <t>2024-06-04</t>
        </is>
      </c>
      <c r="C164" s="22" t="n">
        <v>60.07</v>
      </c>
      <c r="D164" s="22" t="n">
        <v>42.37</v>
      </c>
      <c r="E164" s="22" t="n">
        <v>35.94</v>
      </c>
    </row>
    <row r="165">
      <c r="B165" s="21" t="inlineStr">
        <is>
          <t>2024-06-05</t>
        </is>
      </c>
      <c r="C165" s="22" t="n">
        <v>46.62</v>
      </c>
      <c r="D165" s="22" t="n">
        <v>37.57</v>
      </c>
      <c r="E165" s="22" t="n">
        <v>34.54</v>
      </c>
    </row>
    <row r="166">
      <c r="B166" s="21" t="inlineStr">
        <is>
          <t>2024-06-06</t>
        </is>
      </c>
      <c r="C166" s="22" t="n">
        <v>53.99</v>
      </c>
      <c r="D166" s="22" t="n">
        <v>44.07</v>
      </c>
      <c r="E166" s="22" t="n">
        <v>36.54</v>
      </c>
    </row>
    <row r="167">
      <c r="B167" s="21" t="inlineStr">
        <is>
          <t>2024-06-07</t>
        </is>
      </c>
      <c r="C167" s="22" t="n">
        <v>56.62</v>
      </c>
      <c r="D167" s="22" t="n">
        <v>46.46</v>
      </c>
      <c r="E167" s="22" t="n">
        <v>36.53</v>
      </c>
    </row>
    <row r="168">
      <c r="B168" s="21" t="inlineStr">
        <is>
          <t>2024-06-08</t>
        </is>
      </c>
      <c r="C168" s="22" t="n">
        <v>40.36</v>
      </c>
      <c r="D168" s="22" t="n">
        <v>38.9</v>
      </c>
      <c r="E168" s="22" t="n">
        <v>30.61</v>
      </c>
    </row>
    <row r="169">
      <c r="B169" s="21" t="inlineStr">
        <is>
          <t>2024-06-09</t>
        </is>
      </c>
      <c r="C169" s="22" t="n">
        <v>28.48</v>
      </c>
      <c r="D169" s="22" t="n">
        <v>22.96</v>
      </c>
      <c r="E169" s="22" t="n">
        <v>18.2</v>
      </c>
    </row>
    <row r="170">
      <c r="B170" s="21" t="inlineStr">
        <is>
          <t>2024-06-10</t>
        </is>
      </c>
      <c r="C170" s="22" t="n">
        <v>47.51</v>
      </c>
      <c r="D170" s="22" t="n">
        <v>41.2</v>
      </c>
      <c r="E170" s="22" t="n">
        <v>36.56</v>
      </c>
    </row>
    <row r="171">
      <c r="B171" s="21" t="inlineStr">
        <is>
          <t>2024-06-11</t>
        </is>
      </c>
      <c r="C171" s="22" t="n">
        <v>61.78</v>
      </c>
      <c r="D171" s="22" t="n">
        <v>36.85</v>
      </c>
      <c r="E171" s="22" t="n">
        <v>31.22</v>
      </c>
    </row>
    <row r="172">
      <c r="B172" s="21" t="inlineStr">
        <is>
          <t>2024-06-12</t>
        </is>
      </c>
      <c r="C172" s="22" t="n">
        <v>51.73</v>
      </c>
      <c r="D172" s="22" t="n">
        <v>48.29</v>
      </c>
      <c r="E172" s="22" t="n">
        <v>31.91</v>
      </c>
    </row>
    <row r="173">
      <c r="B173" s="21" t="inlineStr">
        <is>
          <t>2024-06-13</t>
        </is>
      </c>
      <c r="C173" s="22" t="n">
        <v>50.13</v>
      </c>
      <c r="D173" s="22" t="n">
        <v>39.6</v>
      </c>
      <c r="E173" s="22" t="n">
        <v>31.45</v>
      </c>
    </row>
    <row r="174">
      <c r="B174" s="21" t="inlineStr">
        <is>
          <t>2024-06-14</t>
        </is>
      </c>
      <c r="C174" s="22" t="n">
        <v>59.45</v>
      </c>
      <c r="D174" s="22" t="n">
        <v>48.55</v>
      </c>
      <c r="E174" s="22" t="n">
        <v>36.05</v>
      </c>
    </row>
    <row r="175">
      <c r="B175" s="21" t="inlineStr">
        <is>
          <t>2024-06-15</t>
        </is>
      </c>
      <c r="C175" s="22" t="n">
        <v>49.86</v>
      </c>
      <c r="D175" s="22" t="n">
        <v>29.58</v>
      </c>
      <c r="E175" s="22" t="n">
        <v>27.02</v>
      </c>
    </row>
    <row r="176">
      <c r="B176" s="21" t="inlineStr">
        <is>
          <t>2024-06-16</t>
        </is>
      </c>
      <c r="C176" s="22" t="n">
        <v>28.78</v>
      </c>
      <c r="D176" s="22" t="n">
        <v>21.25</v>
      </c>
      <c r="E176" s="22" t="n">
        <v>17.34</v>
      </c>
    </row>
    <row r="177">
      <c r="B177" s="21" t="inlineStr">
        <is>
          <t>2024-06-17</t>
        </is>
      </c>
      <c r="C177" s="22" t="n">
        <v>50.89</v>
      </c>
      <c r="D177" s="22" t="n">
        <v>44.55</v>
      </c>
      <c r="E177" s="22" t="n">
        <v>33.85</v>
      </c>
    </row>
    <row r="178">
      <c r="B178" s="21" t="inlineStr">
        <is>
          <t>2024-06-18</t>
        </is>
      </c>
      <c r="C178" s="22" t="n">
        <v>55.28</v>
      </c>
      <c r="D178" s="22" t="n">
        <v>42.26</v>
      </c>
      <c r="E178" s="22" t="n">
        <v>36.4</v>
      </c>
    </row>
    <row r="179">
      <c r="B179" s="21" t="inlineStr">
        <is>
          <t>2024-06-19</t>
        </is>
      </c>
      <c r="C179" s="22" t="n">
        <v>54.65</v>
      </c>
      <c r="D179" s="22" t="n">
        <v>39.96</v>
      </c>
      <c r="E179" s="22" t="n">
        <v>34.89</v>
      </c>
    </row>
    <row r="180">
      <c r="B180" s="21" t="inlineStr">
        <is>
          <t>2024-06-20</t>
        </is>
      </c>
      <c r="C180" s="22" t="n">
        <v>51.67</v>
      </c>
      <c r="D180" s="22" t="n">
        <v>46.27</v>
      </c>
      <c r="E180" s="22" t="n">
        <v>34.14</v>
      </c>
    </row>
    <row r="181">
      <c r="B181" s="21" t="inlineStr">
        <is>
          <t>2024-06-21</t>
        </is>
      </c>
      <c r="C181" s="22" t="n">
        <v>51.2</v>
      </c>
      <c r="D181" s="22" t="n">
        <v>39.29</v>
      </c>
      <c r="E181" s="22" t="n">
        <v>37.58</v>
      </c>
    </row>
    <row r="182">
      <c r="B182" s="21" t="inlineStr">
        <is>
          <t>2024-06-22</t>
        </is>
      </c>
      <c r="C182" s="22" t="n">
        <v>98.97</v>
      </c>
      <c r="D182" s="22" t="n">
        <v>30.6</v>
      </c>
      <c r="E182" s="22" t="n">
        <v>24.66</v>
      </c>
    </row>
    <row r="183">
      <c r="B183" s="21" t="inlineStr">
        <is>
          <t>2024-06-23</t>
        </is>
      </c>
      <c r="C183" s="22" t="n">
        <v>25.82</v>
      </c>
      <c r="D183" s="22" t="n">
        <v>21.54</v>
      </c>
      <c r="E183" s="22" t="n">
        <v>16.72</v>
      </c>
    </row>
    <row r="184">
      <c r="B184" s="21" t="inlineStr">
        <is>
          <t>2024-06-24</t>
        </is>
      </c>
      <c r="C184" s="22" t="n">
        <v>48.44</v>
      </c>
      <c r="D184" s="22" t="n">
        <v>39.9</v>
      </c>
      <c r="E184" s="22" t="n">
        <v>34.43</v>
      </c>
    </row>
    <row r="185">
      <c r="B185" s="21" t="inlineStr">
        <is>
          <t>2024-06-25</t>
        </is>
      </c>
      <c r="C185" s="22" t="n">
        <v>57.2</v>
      </c>
      <c r="D185" s="22" t="n">
        <v>38.36</v>
      </c>
      <c r="E185" s="22" t="n">
        <v>35.64</v>
      </c>
    </row>
    <row r="186">
      <c r="B186" s="21" t="inlineStr">
        <is>
          <t>2024-06-26</t>
        </is>
      </c>
      <c r="C186" s="22" t="n">
        <v>58.76</v>
      </c>
      <c r="D186" s="22" t="n">
        <v>40.35</v>
      </c>
      <c r="E186" s="22" t="n">
        <v>30.84</v>
      </c>
    </row>
    <row r="187">
      <c r="B187" s="21" t="inlineStr">
        <is>
          <t>2024-06-27</t>
        </is>
      </c>
      <c r="C187" s="22" t="n">
        <v>52.38</v>
      </c>
      <c r="D187" s="22" t="n">
        <v>48.04</v>
      </c>
      <c r="E187" s="22" t="n">
        <v>37.04</v>
      </c>
    </row>
    <row r="188">
      <c r="B188" s="21" t="inlineStr">
        <is>
          <t>2024-06-28</t>
        </is>
      </c>
      <c r="C188" s="22" t="n">
        <v>54</v>
      </c>
      <c r="D188" s="22" t="n">
        <v>39.37</v>
      </c>
      <c r="E188" s="22" t="n">
        <v>37.14</v>
      </c>
    </row>
    <row r="189">
      <c r="B189" s="21" t="inlineStr">
        <is>
          <t>2024-06-29</t>
        </is>
      </c>
      <c r="C189" s="22" t="n">
        <v>46.23</v>
      </c>
      <c r="D189" s="22" t="n">
        <v>32.47</v>
      </c>
      <c r="E189" s="22" t="n">
        <v>25.12</v>
      </c>
    </row>
    <row r="190">
      <c r="B190" s="21" t="inlineStr">
        <is>
          <t>2024-06-30</t>
        </is>
      </c>
      <c r="C190" s="22" t="n">
        <v>32.54</v>
      </c>
      <c r="D190" s="22" t="n">
        <v>23.84</v>
      </c>
      <c r="E190" s="22" t="n">
        <v>17.22</v>
      </c>
    </row>
    <row r="191">
      <c r="B191" s="21" t="inlineStr">
        <is>
          <t>2024-07-01</t>
        </is>
      </c>
      <c r="C191" s="22" t="n">
        <v>58.3</v>
      </c>
      <c r="D191" s="22" t="n">
        <v>48.74</v>
      </c>
      <c r="E191" s="22" t="n">
        <v>35.06</v>
      </c>
    </row>
    <row r="192">
      <c r="B192" s="21" t="inlineStr">
        <is>
          <t>2024-07-02</t>
        </is>
      </c>
      <c r="C192" s="22" t="n">
        <v>64.06999999999999</v>
      </c>
      <c r="D192" s="22" t="n">
        <v>48.27</v>
      </c>
      <c r="E192" s="22" t="n">
        <v>37.69</v>
      </c>
    </row>
    <row r="193">
      <c r="B193" s="21" t="inlineStr">
        <is>
          <t>2024-07-03</t>
        </is>
      </c>
      <c r="C193" s="22" t="n">
        <v>52.15</v>
      </c>
      <c r="D193" s="22" t="n">
        <v>47.93</v>
      </c>
      <c r="E193" s="22" t="n">
        <v>35.14</v>
      </c>
    </row>
    <row r="194">
      <c r="B194" s="21" t="inlineStr">
        <is>
          <t>2024-07-04</t>
        </is>
      </c>
      <c r="C194" s="22" t="n">
        <v>55.07</v>
      </c>
      <c r="D194" s="22" t="n">
        <v>44.25</v>
      </c>
      <c r="E194" s="22" t="n">
        <v>36.97</v>
      </c>
    </row>
    <row r="195">
      <c r="B195" s="21" t="inlineStr">
        <is>
          <t>2024-07-05</t>
        </is>
      </c>
      <c r="C195" s="22" t="n">
        <v>56.01</v>
      </c>
      <c r="D195" s="22" t="n">
        <v>43.07</v>
      </c>
      <c r="E195" s="22" t="n">
        <v>33.66</v>
      </c>
    </row>
    <row r="196">
      <c r="B196" s="21" t="inlineStr">
        <is>
          <t>2024-07-06</t>
        </is>
      </c>
      <c r="C196" s="22" t="n">
        <v>51.28</v>
      </c>
      <c r="D196" s="22" t="n">
        <v>33.63</v>
      </c>
      <c r="E196" s="22" t="n">
        <v>28.78</v>
      </c>
    </row>
    <row r="197">
      <c r="B197" s="21" t="inlineStr">
        <is>
          <t>2024-07-07</t>
        </is>
      </c>
      <c r="C197" s="22" t="n">
        <v>28.38</v>
      </c>
      <c r="D197" s="22" t="n">
        <v>20.11</v>
      </c>
      <c r="E197" s="22" t="n">
        <v>20.48</v>
      </c>
    </row>
    <row r="198">
      <c r="B198" s="21" t="inlineStr">
        <is>
          <t>2024-07-08</t>
        </is>
      </c>
      <c r="C198" s="22" t="n">
        <v>55.39</v>
      </c>
      <c r="D198" s="22" t="n">
        <v>44.01</v>
      </c>
      <c r="E198" s="22" t="n">
        <v>37.27</v>
      </c>
    </row>
    <row r="199">
      <c r="B199" s="21" t="inlineStr">
        <is>
          <t>2024-07-09</t>
        </is>
      </c>
      <c r="C199" s="22" t="n">
        <v>58.77</v>
      </c>
      <c r="D199" s="22" t="n">
        <v>46.02</v>
      </c>
      <c r="E199" s="22" t="n">
        <v>38.58</v>
      </c>
    </row>
    <row r="200">
      <c r="B200" s="21" t="inlineStr">
        <is>
          <t>2024-07-10</t>
        </is>
      </c>
      <c r="C200" s="22" t="n">
        <v>62.49</v>
      </c>
      <c r="D200" s="22" t="n">
        <v>42.61</v>
      </c>
      <c r="E200" s="22" t="n">
        <v>35.45</v>
      </c>
    </row>
    <row r="201">
      <c r="B201" s="21" t="inlineStr">
        <is>
          <t>2024-07-11</t>
        </is>
      </c>
      <c r="C201" s="22" t="n">
        <v>54.84</v>
      </c>
      <c r="D201" s="22" t="n">
        <v>37.61</v>
      </c>
      <c r="E201" s="22" t="n">
        <v>34.21</v>
      </c>
    </row>
    <row r="202">
      <c r="B202" s="21" t="inlineStr">
        <is>
          <t>2024-07-12</t>
        </is>
      </c>
      <c r="C202" s="22" t="n">
        <v>51.65</v>
      </c>
      <c r="D202" s="22" t="n">
        <v>41.34</v>
      </c>
      <c r="E202" s="22" t="n">
        <v>37.25</v>
      </c>
    </row>
    <row r="203">
      <c r="B203" s="21" t="inlineStr">
        <is>
          <t>2024-07-13</t>
        </is>
      </c>
      <c r="C203" s="22" t="n">
        <v>51.72</v>
      </c>
      <c r="D203" s="22" t="n">
        <v>37.9</v>
      </c>
      <c r="E203" s="22" t="n">
        <v>24.14</v>
      </c>
    </row>
    <row r="204">
      <c r="B204" s="21" t="inlineStr">
        <is>
          <t>2024-07-14</t>
        </is>
      </c>
      <c r="C204" s="22" t="n">
        <v>28.75</v>
      </c>
      <c r="D204" s="22" t="n">
        <v>20.21</v>
      </c>
      <c r="E204" s="22" t="n">
        <v>17.49</v>
      </c>
    </row>
    <row r="205">
      <c r="B205" s="21" t="inlineStr">
        <is>
          <t>2024-07-15</t>
        </is>
      </c>
      <c r="C205" s="22" t="n">
        <v>59.57</v>
      </c>
      <c r="D205" s="22" t="n">
        <v>45.62</v>
      </c>
      <c r="E205" s="22" t="n">
        <v>38.18</v>
      </c>
    </row>
    <row r="206">
      <c r="B206" s="21" t="inlineStr">
        <is>
          <t>2024-07-16</t>
        </is>
      </c>
      <c r="C206" s="22" t="n">
        <v>55.1</v>
      </c>
      <c r="D206" s="22" t="n">
        <v>47.39</v>
      </c>
      <c r="E206" s="22" t="n">
        <v>32.36</v>
      </c>
    </row>
    <row r="207">
      <c r="B207" s="21" t="inlineStr">
        <is>
          <t>2024-07-17</t>
        </is>
      </c>
      <c r="C207" s="22" t="n">
        <v>49.08</v>
      </c>
      <c r="D207" s="22" t="n">
        <v>40.04</v>
      </c>
      <c r="E207" s="22" t="n">
        <v>34.13</v>
      </c>
    </row>
    <row r="208">
      <c r="B208" s="21" t="inlineStr">
        <is>
          <t>2024-07-18</t>
        </is>
      </c>
      <c r="C208" s="22" t="n">
        <v>49.74</v>
      </c>
      <c r="D208" s="22" t="n">
        <v>44.64</v>
      </c>
      <c r="E208" s="22" t="n">
        <v>31.93</v>
      </c>
    </row>
    <row r="209">
      <c r="B209" s="21" t="inlineStr">
        <is>
          <t>2024-07-19</t>
        </is>
      </c>
      <c r="C209" s="22" t="n">
        <v>63.88</v>
      </c>
      <c r="D209" s="22" t="n">
        <v>49.2</v>
      </c>
      <c r="E209" s="22" t="n">
        <v>31.79</v>
      </c>
    </row>
    <row r="210">
      <c r="B210" s="21" t="inlineStr">
        <is>
          <t>2024-07-20</t>
        </is>
      </c>
      <c r="C210" s="22" t="n">
        <v>45.08</v>
      </c>
      <c r="D210" s="22" t="n">
        <v>33.2</v>
      </c>
      <c r="E210" s="22" t="n">
        <v>31.8</v>
      </c>
    </row>
    <row r="211">
      <c r="B211" s="21" t="inlineStr">
        <is>
          <t>2024-07-21</t>
        </is>
      </c>
      <c r="C211" s="22" t="n">
        <v>28.97</v>
      </c>
      <c r="D211" s="22" t="n">
        <v>25.54</v>
      </c>
      <c r="E211" s="22" t="n">
        <v>17.09</v>
      </c>
    </row>
    <row r="212">
      <c r="B212" s="21" t="inlineStr">
        <is>
          <t>2024-07-22</t>
        </is>
      </c>
      <c r="C212" s="22" t="n">
        <v>53.89</v>
      </c>
      <c r="D212" s="22" t="n">
        <v>47.88</v>
      </c>
      <c r="E212" s="22" t="n">
        <v>31.6</v>
      </c>
    </row>
    <row r="213">
      <c r="B213" s="21" t="inlineStr">
        <is>
          <t>2024-07-23</t>
        </is>
      </c>
      <c r="C213" s="22" t="n">
        <v>58.66</v>
      </c>
      <c r="D213" s="22" t="n">
        <v>46.28</v>
      </c>
      <c r="E213" s="22" t="n">
        <v>29.9</v>
      </c>
    </row>
    <row r="214">
      <c r="B214" s="21" t="inlineStr">
        <is>
          <t>2024-07-24</t>
        </is>
      </c>
      <c r="C214" s="22" t="n">
        <v>52.46</v>
      </c>
      <c r="D214" s="22" t="n">
        <v>46.58</v>
      </c>
      <c r="E214" s="22" t="n">
        <v>31.69</v>
      </c>
    </row>
    <row r="215">
      <c r="B215" s="21" t="inlineStr">
        <is>
          <t>2024-07-25</t>
        </is>
      </c>
      <c r="C215" s="22" t="n">
        <v>54.03</v>
      </c>
      <c r="D215" s="22" t="n">
        <v>45.3</v>
      </c>
      <c r="E215" s="22" t="n">
        <v>35.23</v>
      </c>
    </row>
    <row r="216">
      <c r="B216" s="21" t="inlineStr">
        <is>
          <t>2024-07-26</t>
        </is>
      </c>
      <c r="C216" s="22" t="n">
        <v>49.04</v>
      </c>
      <c r="D216" s="22" t="n">
        <v>40.93</v>
      </c>
      <c r="E216" s="22" t="n">
        <v>34.37</v>
      </c>
    </row>
    <row r="217">
      <c r="B217" s="21" t="inlineStr">
        <is>
          <t>2024-07-27</t>
        </is>
      </c>
      <c r="C217" s="22" t="n">
        <v>41.9</v>
      </c>
      <c r="D217" s="22" t="n">
        <v>33.31</v>
      </c>
      <c r="E217" s="22" t="n">
        <v>28.75</v>
      </c>
    </row>
    <row r="218">
      <c r="B218" s="21" t="inlineStr">
        <is>
          <t>2024-07-28</t>
        </is>
      </c>
      <c r="C218" s="22" t="n">
        <v>33.09</v>
      </c>
      <c r="D218" s="22" t="n">
        <v>24.35</v>
      </c>
      <c r="E218" s="22" t="n">
        <v>16.85</v>
      </c>
    </row>
    <row r="219">
      <c r="B219" s="21" t="inlineStr">
        <is>
          <t>2024-07-29</t>
        </is>
      </c>
      <c r="C219" s="22" t="n">
        <v>56.53</v>
      </c>
      <c r="D219" s="22" t="n">
        <v>43.68</v>
      </c>
      <c r="E219" s="22" t="n">
        <v>39.03</v>
      </c>
    </row>
    <row r="220">
      <c r="B220" s="21" t="inlineStr">
        <is>
          <t>2024-07-30</t>
        </is>
      </c>
      <c r="C220" s="22" t="n">
        <v>54.29</v>
      </c>
      <c r="D220" s="22" t="n">
        <v>43.44</v>
      </c>
      <c r="E220" s="22" t="n">
        <v>31.9</v>
      </c>
    </row>
    <row r="221">
      <c r="B221" s="21" t="inlineStr">
        <is>
          <t>2024-07-31</t>
        </is>
      </c>
      <c r="C221" s="22" t="n">
        <v>62.66</v>
      </c>
      <c r="D221" s="22" t="n">
        <v>37.01</v>
      </c>
      <c r="E221" s="22" t="n">
        <v>34.57</v>
      </c>
    </row>
    <row r="222">
      <c r="B222" s="21" t="inlineStr">
        <is>
          <t>2024-08-01</t>
        </is>
      </c>
      <c r="C222" s="22" t="n">
        <v>54.37</v>
      </c>
      <c r="D222" s="22" t="n">
        <v>42.57</v>
      </c>
      <c r="E222" s="22" t="n">
        <v>35.58</v>
      </c>
    </row>
    <row r="223">
      <c r="B223" s="21" t="inlineStr">
        <is>
          <t>2024-08-02</t>
        </is>
      </c>
      <c r="C223" s="22" t="n">
        <v>50.54</v>
      </c>
      <c r="D223" s="22" t="n">
        <v>48.48</v>
      </c>
      <c r="E223" s="22" t="n">
        <v>29.54</v>
      </c>
    </row>
    <row r="224">
      <c r="B224" s="21" t="inlineStr">
        <is>
          <t>2024-08-03</t>
        </is>
      </c>
      <c r="C224" s="22" t="n">
        <v>47.41</v>
      </c>
      <c r="D224" s="22" t="n">
        <v>35.62</v>
      </c>
      <c r="E224" s="22" t="n">
        <v>26.59</v>
      </c>
    </row>
    <row r="225">
      <c r="B225" s="21" t="inlineStr">
        <is>
          <t>2024-08-04</t>
        </is>
      </c>
      <c r="C225" s="22" t="n">
        <v>30.89</v>
      </c>
      <c r="D225" s="22" t="n">
        <v>20.34</v>
      </c>
      <c r="E225" s="22" t="n">
        <v>20.25</v>
      </c>
    </row>
    <row r="226">
      <c r="B226" s="21" t="inlineStr">
        <is>
          <t>2024-08-05</t>
        </is>
      </c>
      <c r="C226" s="22" t="n">
        <v>57.34</v>
      </c>
      <c r="D226" s="22" t="n">
        <v>47.7</v>
      </c>
      <c r="E226" s="22" t="n">
        <v>37.86</v>
      </c>
    </row>
    <row r="227">
      <c r="B227" s="21" t="inlineStr">
        <is>
          <t>2024-08-06</t>
        </is>
      </c>
      <c r="C227" s="22" t="n">
        <v>59.57</v>
      </c>
      <c r="D227" s="22" t="n">
        <v>44.51</v>
      </c>
      <c r="E227" s="22" t="n">
        <v>31.77</v>
      </c>
    </row>
    <row r="228">
      <c r="B228" s="21" t="inlineStr">
        <is>
          <t>2024-08-07</t>
        </is>
      </c>
      <c r="C228" s="22" t="n">
        <v>57.99</v>
      </c>
      <c r="D228" s="22" t="n">
        <v>38.87</v>
      </c>
      <c r="E228" s="22" t="n">
        <v>36.3</v>
      </c>
    </row>
    <row r="229">
      <c r="B229" s="21" t="inlineStr">
        <is>
          <t>2024-08-08</t>
        </is>
      </c>
      <c r="C229" s="22" t="n">
        <v>61.98</v>
      </c>
      <c r="D229" s="22" t="n">
        <v>42.14</v>
      </c>
      <c r="E229" s="22" t="n">
        <v>29.04</v>
      </c>
    </row>
    <row r="230">
      <c r="B230" s="21" t="inlineStr">
        <is>
          <t>2024-08-09</t>
        </is>
      </c>
      <c r="C230" s="22" t="n">
        <v>55.74</v>
      </c>
      <c r="D230" s="22" t="n">
        <v>44.96</v>
      </c>
      <c r="E230" s="22" t="n">
        <v>29.61</v>
      </c>
    </row>
    <row r="231">
      <c r="B231" s="21" t="inlineStr">
        <is>
          <t>2024-08-10</t>
        </is>
      </c>
      <c r="C231" s="22" t="n">
        <v>39.43</v>
      </c>
      <c r="D231" s="22" t="n"/>
      <c r="E231" s="22" t="n">
        <v>25.86</v>
      </c>
    </row>
    <row r="232">
      <c r="B232" s="21" t="inlineStr">
        <is>
          <t>2024-08-11</t>
        </is>
      </c>
      <c r="C232" s="22" t="n">
        <v>28.95</v>
      </c>
      <c r="D232" s="22" t="n">
        <v>19.43</v>
      </c>
      <c r="E232" s="22" t="n">
        <v>17.22</v>
      </c>
    </row>
    <row r="233">
      <c r="B233" s="21" t="inlineStr">
        <is>
          <t>2024-08-12</t>
        </is>
      </c>
      <c r="C233" s="22" t="n">
        <v>52.51</v>
      </c>
      <c r="D233" s="22" t="n">
        <v>43.17</v>
      </c>
      <c r="E233" s="22" t="n">
        <v>36.09</v>
      </c>
    </row>
    <row r="234">
      <c r="B234" s="21" t="inlineStr">
        <is>
          <t>2024-08-13</t>
        </is>
      </c>
      <c r="C234" s="22" t="n">
        <v>50.56</v>
      </c>
      <c r="D234" s="22" t="n">
        <v>42.06</v>
      </c>
      <c r="E234" s="22" t="n">
        <v>29.38</v>
      </c>
    </row>
    <row r="235">
      <c r="B235" s="21" t="inlineStr">
        <is>
          <t>2024-08-14</t>
        </is>
      </c>
      <c r="C235" s="22" t="n">
        <v>55.87</v>
      </c>
      <c r="D235" s="22" t="n">
        <v>40.14</v>
      </c>
      <c r="E235" s="22" t="n">
        <v>33.38</v>
      </c>
    </row>
    <row r="236">
      <c r="B236" s="21" t="inlineStr">
        <is>
          <t>2024-08-15</t>
        </is>
      </c>
      <c r="C236" s="22" t="n">
        <v>59.48</v>
      </c>
      <c r="D236" s="22" t="n">
        <v>47.93</v>
      </c>
      <c r="E236" s="22" t="n">
        <v>38.62</v>
      </c>
    </row>
    <row r="237">
      <c r="B237" s="21" t="inlineStr">
        <is>
          <t>2024-08-16</t>
        </is>
      </c>
      <c r="C237" s="22" t="n">
        <v>50.94</v>
      </c>
      <c r="D237" s="22" t="n">
        <v>40.69</v>
      </c>
      <c r="E237" s="22" t="n">
        <v>35.16</v>
      </c>
    </row>
    <row r="238">
      <c r="B238" s="21" t="inlineStr">
        <is>
          <t>2024-08-17</t>
        </is>
      </c>
      <c r="C238" s="22" t="n">
        <v>39.76</v>
      </c>
      <c r="D238" s="22" t="n">
        <v>31.23</v>
      </c>
      <c r="E238" s="22" t="n">
        <v>23.49</v>
      </c>
    </row>
    <row r="239">
      <c r="B239" s="21" t="inlineStr">
        <is>
          <t>2024-08-18</t>
        </is>
      </c>
      <c r="C239" s="22" t="n">
        <v>29.94</v>
      </c>
      <c r="D239" s="22" t="n">
        <v>23.57</v>
      </c>
      <c r="E239" s="22" t="n">
        <v>18.42</v>
      </c>
    </row>
    <row r="240">
      <c r="B240" s="21" t="inlineStr">
        <is>
          <t>2024-08-19</t>
        </is>
      </c>
      <c r="C240" s="22" t="n">
        <v>54.9</v>
      </c>
      <c r="D240" s="22" t="n">
        <v>44.82</v>
      </c>
      <c r="E240" s="22" t="n">
        <v>32.98</v>
      </c>
    </row>
    <row r="241">
      <c r="B241" s="21" t="inlineStr">
        <is>
          <t>2024-08-20</t>
        </is>
      </c>
      <c r="C241" s="22" t="n">
        <v>56.91</v>
      </c>
      <c r="D241" s="22" t="n">
        <v>44.51</v>
      </c>
      <c r="E241" s="22" t="n">
        <v>30.43</v>
      </c>
    </row>
    <row r="242">
      <c r="B242" s="21" t="inlineStr">
        <is>
          <t>2024-08-21</t>
        </is>
      </c>
      <c r="C242" s="22" t="n">
        <v>47.91</v>
      </c>
      <c r="D242" s="22" t="n">
        <v>43.28</v>
      </c>
      <c r="E242" s="22" t="n">
        <v>31.36</v>
      </c>
    </row>
    <row r="243">
      <c r="B243" s="21" t="inlineStr">
        <is>
          <t>2024-08-22</t>
        </is>
      </c>
      <c r="C243" s="22" t="n">
        <v>55.78</v>
      </c>
      <c r="D243" s="22" t="n">
        <v>41.2</v>
      </c>
      <c r="E243" s="22" t="n">
        <v>30.27</v>
      </c>
    </row>
    <row r="244">
      <c r="B244" s="21" t="inlineStr">
        <is>
          <t>2024-08-23</t>
        </is>
      </c>
      <c r="C244" s="22" t="n">
        <v>51.78</v>
      </c>
      <c r="D244" s="22" t="n">
        <v>45.08</v>
      </c>
      <c r="E244" s="22" t="n">
        <v>34.02</v>
      </c>
    </row>
    <row r="245">
      <c r="B245" s="21" t="inlineStr">
        <is>
          <t>2024-08-24</t>
        </is>
      </c>
      <c r="C245" s="22" t="n">
        <v>38.91</v>
      </c>
      <c r="D245" s="22" t="n">
        <v>31.58</v>
      </c>
      <c r="E245" s="22" t="n">
        <v>28.58</v>
      </c>
    </row>
    <row r="246">
      <c r="B246" s="21" t="inlineStr">
        <is>
          <t>2024-08-25</t>
        </is>
      </c>
      <c r="C246" s="22" t="n">
        <v>26.17</v>
      </c>
      <c r="D246" s="22" t="n">
        <v>21.44</v>
      </c>
      <c r="E246" s="22" t="n">
        <v>18.4</v>
      </c>
    </row>
    <row r="247">
      <c r="B247" s="21" t="inlineStr">
        <is>
          <t>2024-08-26</t>
        </is>
      </c>
      <c r="C247" s="22" t="n">
        <v>52.53</v>
      </c>
      <c r="D247" s="22" t="n">
        <v>43.24</v>
      </c>
      <c r="E247" s="22" t="n">
        <v>30.92</v>
      </c>
    </row>
    <row r="248">
      <c r="B248" s="21" t="inlineStr">
        <is>
          <t>2024-08-27</t>
        </is>
      </c>
      <c r="C248" s="22" t="n">
        <v>50.46</v>
      </c>
      <c r="D248" s="22" t="n">
        <v>43.67</v>
      </c>
      <c r="E248" s="22" t="n">
        <v>34.09</v>
      </c>
    </row>
    <row r="249">
      <c r="B249" s="21" t="inlineStr">
        <is>
          <t>2024-08-28</t>
        </is>
      </c>
      <c r="C249" s="22" t="n">
        <v>49</v>
      </c>
      <c r="D249" s="22" t="n">
        <v>37</v>
      </c>
      <c r="E249" s="22" t="n">
        <v>35.9</v>
      </c>
    </row>
    <row r="250">
      <c r="B250" s="21" t="inlineStr">
        <is>
          <t>2024-08-29</t>
        </is>
      </c>
      <c r="C250" s="22" t="n">
        <v>52.27</v>
      </c>
      <c r="D250" s="22" t="n">
        <v>40.79</v>
      </c>
      <c r="E250" s="22" t="n">
        <v>33.92</v>
      </c>
    </row>
    <row r="251">
      <c r="B251" s="21" t="inlineStr">
        <is>
          <t>2024-08-30</t>
        </is>
      </c>
      <c r="C251" s="22" t="n">
        <v>61.36</v>
      </c>
      <c r="D251" s="22" t="n">
        <v>39.91</v>
      </c>
      <c r="E251" s="22" t="n">
        <v>34.37</v>
      </c>
    </row>
    <row r="252">
      <c r="B252" s="21" t="inlineStr">
        <is>
          <t>2024-08-31</t>
        </is>
      </c>
      <c r="C252" s="22" t="n">
        <v>39.19</v>
      </c>
      <c r="D252" s="22" t="n">
        <v>36.11</v>
      </c>
      <c r="E252" s="22" t="n">
        <v>31.18</v>
      </c>
    </row>
    <row r="253">
      <c r="B253" s="21" t="inlineStr">
        <is>
          <t>2024-09-01</t>
        </is>
      </c>
      <c r="C253" s="22" t="n">
        <v>28.26</v>
      </c>
      <c r="D253" s="22" t="n">
        <v>19.41</v>
      </c>
      <c r="E253" s="22" t="n">
        <v>16.17</v>
      </c>
    </row>
    <row r="254">
      <c r="B254" s="21" t="inlineStr">
        <is>
          <t>2024-09-02</t>
        </is>
      </c>
      <c r="C254" s="22" t="n">
        <v>54.07</v>
      </c>
      <c r="D254" s="22" t="n">
        <v>44.37</v>
      </c>
      <c r="E254" s="22" t="n">
        <v>35.65</v>
      </c>
    </row>
    <row r="255">
      <c r="B255" s="21" t="inlineStr">
        <is>
          <t>2024-09-03</t>
        </is>
      </c>
      <c r="C255" s="22" t="n">
        <v>56.91</v>
      </c>
      <c r="D255" s="22" t="n">
        <v>45.63</v>
      </c>
      <c r="E255" s="22" t="n">
        <v>36.63</v>
      </c>
    </row>
    <row r="256">
      <c r="B256" s="21" t="inlineStr">
        <is>
          <t>2024-09-04</t>
        </is>
      </c>
      <c r="C256" s="22" t="n">
        <v>48.31</v>
      </c>
      <c r="D256" s="22" t="n">
        <v>42.8</v>
      </c>
      <c r="E256" s="22" t="n">
        <v>33.8</v>
      </c>
    </row>
    <row r="257">
      <c r="B257" s="21" t="inlineStr">
        <is>
          <t>2024-09-05</t>
        </is>
      </c>
      <c r="C257" s="22" t="n">
        <v>54.03</v>
      </c>
      <c r="D257" s="22" t="n">
        <v>38.6</v>
      </c>
      <c r="E257" s="22" t="n">
        <v>30.77</v>
      </c>
    </row>
    <row r="258">
      <c r="B258" s="21" t="inlineStr">
        <is>
          <t>2024-09-06</t>
        </is>
      </c>
      <c r="C258" s="22" t="n">
        <v>57.92</v>
      </c>
      <c r="D258" s="22" t="n">
        <v>45.69</v>
      </c>
      <c r="E258" s="22" t="n">
        <v>37.5</v>
      </c>
    </row>
    <row r="259">
      <c r="B259" s="21" t="inlineStr">
        <is>
          <t>2024-09-07</t>
        </is>
      </c>
      <c r="C259" s="22" t="n">
        <v>40.55</v>
      </c>
      <c r="D259" s="22" t="n">
        <v>34.09</v>
      </c>
      <c r="E259" s="22" t="n">
        <v>28.75</v>
      </c>
    </row>
    <row r="260">
      <c r="B260" s="21" t="inlineStr">
        <is>
          <t>2024-09-08</t>
        </is>
      </c>
      <c r="C260" s="22" t="n">
        <v>30.17</v>
      </c>
      <c r="D260" s="22" t="n">
        <v>21.27</v>
      </c>
      <c r="E260" s="22" t="n">
        <v>16.75</v>
      </c>
    </row>
    <row r="261">
      <c r="B261" s="21" t="inlineStr">
        <is>
          <t>2024-09-09</t>
        </is>
      </c>
      <c r="C261" s="22" t="n">
        <v>46.46</v>
      </c>
      <c r="D261" s="22" t="n">
        <v>44.81</v>
      </c>
      <c r="E261" s="22" t="n">
        <v>34.26</v>
      </c>
    </row>
    <row r="262">
      <c r="B262" s="21" t="inlineStr">
        <is>
          <t>2024-09-10</t>
        </is>
      </c>
      <c r="C262" s="22" t="n">
        <v>49.25</v>
      </c>
      <c r="D262" s="22" t="n">
        <v>44.72</v>
      </c>
      <c r="E262" s="22" t="n">
        <v>31.33</v>
      </c>
    </row>
    <row r="263">
      <c r="B263" s="21" t="inlineStr">
        <is>
          <t>2024-09-11</t>
        </is>
      </c>
      <c r="C263" s="22" t="n">
        <v>45.24</v>
      </c>
      <c r="D263" s="22" t="n">
        <v>37.48</v>
      </c>
      <c r="E263" s="22" t="n">
        <v>32.35</v>
      </c>
    </row>
    <row r="264">
      <c r="B264" s="21" t="inlineStr">
        <is>
          <t>2024-09-12</t>
        </is>
      </c>
      <c r="C264" s="22" t="n">
        <v>46.46</v>
      </c>
      <c r="D264" s="22" t="n">
        <v>37.03</v>
      </c>
      <c r="E264" s="22" t="n">
        <v>30.46</v>
      </c>
    </row>
    <row r="265">
      <c r="B265" s="21" t="inlineStr">
        <is>
          <t>2024-09-13</t>
        </is>
      </c>
      <c r="C265" s="22" t="n">
        <v>51.8</v>
      </c>
      <c r="D265" s="22" t="n">
        <v>36.62</v>
      </c>
      <c r="E265" s="22" t="n">
        <v>34.94</v>
      </c>
    </row>
    <row r="266">
      <c r="B266" s="21" t="inlineStr">
        <is>
          <t>2024-09-14</t>
        </is>
      </c>
      <c r="C266" s="22" t="n">
        <v>40.83</v>
      </c>
      <c r="D266" s="22" t="n">
        <v>29.03</v>
      </c>
      <c r="E266" s="22" t="n">
        <v>30.56</v>
      </c>
    </row>
    <row r="267">
      <c r="B267" s="21" t="inlineStr">
        <is>
          <t>2024-09-15</t>
        </is>
      </c>
      <c r="C267" s="22" t="n">
        <v>4927.21</v>
      </c>
      <c r="D267" s="22" t="n">
        <v>19.25</v>
      </c>
      <c r="E267" s="22" t="n">
        <v>16.64</v>
      </c>
    </row>
    <row r="268">
      <c r="B268" s="21" t="inlineStr">
        <is>
          <t>2024-09-16</t>
        </is>
      </c>
      <c r="C268" s="22" t="n"/>
      <c r="D268" s="22" t="n">
        <v>43.46</v>
      </c>
      <c r="E268" s="22" t="n">
        <v>34.19</v>
      </c>
    </row>
    <row r="269">
      <c r="B269" s="21" t="inlineStr">
        <is>
          <t>2024-09-17</t>
        </is>
      </c>
      <c r="C269" s="22" t="n">
        <v>54.34</v>
      </c>
      <c r="D269" s="22" t="n">
        <v>38.05</v>
      </c>
      <c r="E269" s="22" t="n">
        <v>31.46</v>
      </c>
    </row>
    <row r="270">
      <c r="B270" s="21" t="inlineStr">
        <is>
          <t>2024-09-18</t>
        </is>
      </c>
      <c r="C270" s="22" t="n">
        <v>54.63</v>
      </c>
      <c r="D270" s="22" t="n">
        <v>41.38</v>
      </c>
      <c r="E270" s="22" t="n">
        <v>28.25</v>
      </c>
    </row>
    <row r="271">
      <c r="B271" s="21" t="inlineStr">
        <is>
          <t>2024-09-19</t>
        </is>
      </c>
      <c r="C271" s="22" t="n">
        <v>57.43</v>
      </c>
      <c r="D271" s="22" t="n">
        <v>42.32</v>
      </c>
      <c r="E271" s="22" t="n">
        <v>32.88</v>
      </c>
    </row>
    <row r="272">
      <c r="B272" s="21" t="inlineStr">
        <is>
          <t>2024-09-20</t>
        </is>
      </c>
      <c r="C272" s="22" t="n">
        <v>47.08</v>
      </c>
      <c r="D272" s="22" t="n">
        <v>46.77</v>
      </c>
      <c r="E272" s="22" t="n">
        <v>32.15</v>
      </c>
    </row>
    <row r="273">
      <c r="B273" s="21" t="inlineStr">
        <is>
          <t>2024-09-21</t>
        </is>
      </c>
      <c r="C273" s="22" t="n">
        <v>36.93</v>
      </c>
      <c r="D273" s="22" t="n">
        <v>35.45</v>
      </c>
      <c r="E273" s="22" t="n">
        <v>30.24</v>
      </c>
    </row>
    <row r="274">
      <c r="B274" s="21" t="inlineStr">
        <is>
          <t>2024-09-22</t>
        </is>
      </c>
      <c r="C274" s="22" t="n">
        <v>28.03</v>
      </c>
      <c r="D274" s="22" t="n">
        <v>24.63</v>
      </c>
      <c r="E274" s="22" t="n">
        <v>16.1</v>
      </c>
    </row>
    <row r="275">
      <c r="B275" s="21" t="inlineStr">
        <is>
          <t>2024-09-23</t>
        </is>
      </c>
      <c r="C275" s="22" t="n">
        <v>55.79</v>
      </c>
      <c r="D275" s="22" t="n">
        <v>35.7</v>
      </c>
      <c r="E275" s="22" t="n">
        <v>31.05</v>
      </c>
    </row>
    <row r="276">
      <c r="B276" s="21" t="inlineStr">
        <is>
          <t>2024-09-24</t>
        </is>
      </c>
      <c r="C276" s="22" t="n">
        <v>45.86</v>
      </c>
      <c r="D276" s="22" t="n">
        <v>43.73</v>
      </c>
      <c r="E276" s="22" t="n">
        <v>35.32</v>
      </c>
    </row>
    <row r="277">
      <c r="B277" s="21" t="inlineStr">
        <is>
          <t>2024-09-25</t>
        </is>
      </c>
      <c r="C277" s="22" t="n">
        <v>53.19</v>
      </c>
      <c r="D277" s="22" t="n">
        <v>44.04</v>
      </c>
      <c r="E277" s="22" t="n">
        <v>30.55</v>
      </c>
    </row>
    <row r="278">
      <c r="B278" s="21" t="inlineStr">
        <is>
          <t>2024-09-26</t>
        </is>
      </c>
      <c r="C278" s="22" t="n">
        <v>49.3</v>
      </c>
      <c r="D278" s="22" t="n">
        <v>40.61</v>
      </c>
      <c r="E278" s="22" t="n">
        <v>30.59</v>
      </c>
    </row>
    <row r="279">
      <c r="B279" s="21" t="inlineStr">
        <is>
          <t>2024-09-27</t>
        </is>
      </c>
      <c r="C279" s="22" t="n">
        <v>49.03</v>
      </c>
      <c r="D279" s="22" t="n">
        <v>44.13</v>
      </c>
      <c r="E279" s="22" t="n">
        <v>36.82</v>
      </c>
    </row>
    <row r="280">
      <c r="B280" s="21" t="inlineStr">
        <is>
          <t>2024-09-28</t>
        </is>
      </c>
      <c r="C280" s="22" t="n">
        <v>41.09</v>
      </c>
      <c r="D280" s="22" t="n">
        <v>35.73</v>
      </c>
      <c r="E280" s="22" t="n">
        <v>24.09</v>
      </c>
    </row>
    <row r="281">
      <c r="B281" s="21" t="inlineStr">
        <is>
          <t>2024-09-29</t>
        </is>
      </c>
      <c r="C281" s="22" t="n">
        <v>26.22</v>
      </c>
      <c r="D281" s="22" t="n">
        <v>19.49</v>
      </c>
      <c r="E281" s="22" t="n">
        <v>17.62</v>
      </c>
    </row>
    <row r="282">
      <c r="B282" s="21" t="inlineStr">
        <is>
          <t>2024-09-30</t>
        </is>
      </c>
      <c r="C282" s="22" t="n">
        <v>58.73</v>
      </c>
      <c r="D282" s="22" t="n">
        <v>37.46</v>
      </c>
      <c r="E282" s="22" t="n">
        <v>31.22</v>
      </c>
    </row>
    <row r="283">
      <c r="B283" s="21" t="inlineStr">
        <is>
          <t>2024-10-01</t>
        </is>
      </c>
      <c r="C283" s="22" t="n">
        <v>49.47</v>
      </c>
      <c r="D283" s="22" t="n">
        <v>43.19</v>
      </c>
      <c r="E283" s="22" t="n">
        <v>36.83</v>
      </c>
    </row>
    <row r="284">
      <c r="B284" s="21" t="inlineStr">
        <is>
          <t>2024-10-02</t>
        </is>
      </c>
      <c r="C284" s="22" t="n">
        <v>49.13</v>
      </c>
      <c r="D284" s="22" t="n">
        <v>38.57</v>
      </c>
      <c r="E284" s="22" t="n">
        <v>35.67</v>
      </c>
    </row>
    <row r="285">
      <c r="B285" s="21" t="inlineStr">
        <is>
          <t>2024-10-03</t>
        </is>
      </c>
      <c r="C285" s="22" t="n">
        <v>50.26</v>
      </c>
      <c r="D285" s="22" t="n">
        <v>34.58</v>
      </c>
      <c r="E285" s="22" t="n">
        <v>36.59</v>
      </c>
    </row>
    <row r="286">
      <c r="B286" s="21" t="inlineStr">
        <is>
          <t>2024-10-04</t>
        </is>
      </c>
      <c r="C286" s="22" t="n">
        <v>50.86</v>
      </c>
      <c r="D286" s="22" t="n">
        <v>43.9</v>
      </c>
      <c r="E286" s="22" t="n">
        <v>28.06</v>
      </c>
    </row>
    <row r="287">
      <c r="B287" s="21" t="inlineStr">
        <is>
          <t>2024-10-05</t>
        </is>
      </c>
      <c r="C287" s="22" t="n">
        <v>38.4</v>
      </c>
      <c r="D287" s="22" t="n">
        <v>30.74</v>
      </c>
      <c r="E287" s="22" t="n">
        <v>28.67</v>
      </c>
    </row>
    <row r="288">
      <c r="B288" s="21" t="inlineStr">
        <is>
          <t>2024-10-06</t>
        </is>
      </c>
      <c r="C288" s="22" t="n">
        <v>29.24</v>
      </c>
      <c r="D288" s="22" t="n">
        <v>19.81</v>
      </c>
      <c r="E288" s="22" t="n">
        <v>14.82</v>
      </c>
    </row>
    <row r="289">
      <c r="B289" s="21" t="inlineStr">
        <is>
          <t>2024-10-07</t>
        </is>
      </c>
      <c r="C289" s="22" t="n">
        <v>47.87</v>
      </c>
      <c r="D289" s="22" t="n">
        <v>42.42</v>
      </c>
      <c r="E289" s="22" t="n">
        <v>28.11</v>
      </c>
    </row>
    <row r="290">
      <c r="B290" s="21" t="inlineStr">
        <is>
          <t>2024-10-08</t>
        </is>
      </c>
      <c r="C290" s="22" t="n">
        <v>47.61</v>
      </c>
      <c r="D290" s="22" t="n">
        <v>43.9</v>
      </c>
      <c r="E290" s="22" t="n">
        <v>31.05</v>
      </c>
    </row>
    <row r="291">
      <c r="B291" s="21" t="inlineStr">
        <is>
          <t>2024-10-09</t>
        </is>
      </c>
      <c r="C291" s="22" t="n">
        <v>55.34</v>
      </c>
      <c r="D291" s="22" t="n">
        <v>35.51</v>
      </c>
      <c r="E291" s="22" t="n">
        <v>28.15</v>
      </c>
    </row>
    <row r="292">
      <c r="B292" s="21" t="inlineStr">
        <is>
          <t>2024-10-10</t>
        </is>
      </c>
      <c r="C292" s="22" t="n">
        <v>49.53</v>
      </c>
      <c r="D292" s="22" t="n">
        <v>45.07</v>
      </c>
      <c r="E292" s="22" t="n">
        <v>36.25</v>
      </c>
    </row>
    <row r="293">
      <c r="B293" s="21" t="inlineStr">
        <is>
          <t>2024-10-11</t>
        </is>
      </c>
      <c r="C293" s="22" t="n">
        <v>50.63</v>
      </c>
      <c r="D293" s="22" t="n">
        <v>34.66</v>
      </c>
      <c r="E293" s="22" t="n">
        <v>28.12</v>
      </c>
    </row>
    <row r="294">
      <c r="B294" s="21" t="inlineStr">
        <is>
          <t>2024-10-12</t>
        </is>
      </c>
      <c r="C294" s="22" t="n">
        <v>40.23</v>
      </c>
      <c r="D294" s="22" t="n">
        <v>30.29</v>
      </c>
      <c r="E294" s="22" t="n">
        <v>23.4</v>
      </c>
    </row>
    <row r="295">
      <c r="B295" s="21" t="inlineStr">
        <is>
          <t>2024-10-13</t>
        </is>
      </c>
      <c r="C295" s="22" t="n">
        <v>25.32</v>
      </c>
      <c r="D295" s="22" t="n">
        <v>20.25</v>
      </c>
      <c r="E295" s="22" t="n">
        <v>18.71</v>
      </c>
    </row>
    <row r="296">
      <c r="B296" s="21" t="inlineStr">
        <is>
          <t>2024-10-14</t>
        </is>
      </c>
      <c r="C296" s="22" t="n">
        <v>56.06</v>
      </c>
      <c r="D296" s="22" t="n">
        <v>38.18</v>
      </c>
      <c r="E296" s="22" t="n">
        <v>34.76</v>
      </c>
    </row>
    <row r="297">
      <c r="B297" s="21" t="inlineStr">
        <is>
          <t>2024-10-15</t>
        </is>
      </c>
      <c r="C297" s="22" t="n">
        <v>48.7</v>
      </c>
      <c r="D297" s="22" t="n">
        <v>40.41</v>
      </c>
      <c r="E297" s="22" t="n">
        <v>27.52</v>
      </c>
    </row>
    <row r="298">
      <c r="B298" s="21" t="inlineStr">
        <is>
          <t>2024-10-16</t>
        </is>
      </c>
      <c r="C298" s="22" t="n">
        <v>47.5</v>
      </c>
      <c r="D298" s="22" t="n">
        <v>40.97</v>
      </c>
      <c r="E298" s="22" t="n">
        <v>35.09</v>
      </c>
    </row>
    <row r="299">
      <c r="B299" s="21" t="inlineStr">
        <is>
          <t>2024-10-17</t>
        </is>
      </c>
      <c r="C299" s="22" t="n">
        <v>48.69</v>
      </c>
      <c r="D299" s="22" t="n">
        <v>38.28</v>
      </c>
      <c r="E299" s="22" t="n">
        <v>33.95</v>
      </c>
    </row>
    <row r="300">
      <c r="B300" s="21" t="inlineStr">
        <is>
          <t>2024-10-18</t>
        </is>
      </c>
      <c r="C300" s="22" t="n">
        <v>52.15</v>
      </c>
      <c r="D300" s="22" t="n">
        <v>36.68</v>
      </c>
      <c r="E300" s="22" t="n">
        <v>31.95</v>
      </c>
    </row>
    <row r="301">
      <c r="B301" s="21" t="inlineStr">
        <is>
          <t>2024-10-19</t>
        </is>
      </c>
      <c r="C301" s="22" t="n">
        <v>45.53</v>
      </c>
      <c r="D301" s="22" t="n">
        <v>33.27</v>
      </c>
      <c r="E301" s="22" t="n">
        <v>27.63</v>
      </c>
    </row>
    <row r="302">
      <c r="B302" s="21" t="inlineStr">
        <is>
          <t>2024-10-20</t>
        </is>
      </c>
      <c r="C302" s="22" t="n">
        <v>25.95</v>
      </c>
      <c r="D302" s="22" t="n">
        <v>18.69</v>
      </c>
      <c r="E302" s="22" t="n">
        <v>16.26</v>
      </c>
    </row>
    <row r="303">
      <c r="B303" s="21" t="inlineStr">
        <is>
          <t>2024-10-21</t>
        </is>
      </c>
      <c r="C303" s="22" t="n">
        <v>53.81</v>
      </c>
      <c r="D303" s="22" t="n">
        <v>43.51</v>
      </c>
      <c r="E303" s="22" t="n">
        <v>34.04</v>
      </c>
    </row>
    <row r="304">
      <c r="B304" s="21" t="inlineStr">
        <is>
          <t>2024-10-22</t>
        </is>
      </c>
      <c r="C304" s="22" t="n">
        <v>54.41</v>
      </c>
      <c r="D304" s="22" t="n">
        <v>38.75</v>
      </c>
      <c r="E304" s="22" t="n">
        <v>28.95</v>
      </c>
    </row>
    <row r="305">
      <c r="B305" s="21" t="inlineStr">
        <is>
          <t>2024-10-23</t>
        </is>
      </c>
      <c r="C305" s="22" t="n">
        <v>47.19</v>
      </c>
      <c r="D305" s="22" t="n">
        <v>34.98</v>
      </c>
      <c r="E305" s="22" t="n">
        <v>28.24</v>
      </c>
    </row>
    <row r="306">
      <c r="B306" s="21" t="inlineStr">
        <is>
          <t>2024-10-24</t>
        </is>
      </c>
      <c r="C306" s="22" t="n">
        <v>56.47</v>
      </c>
      <c r="D306" s="22" t="n">
        <v>36.57</v>
      </c>
      <c r="E306" s="22" t="n">
        <v>33.38</v>
      </c>
    </row>
    <row r="307">
      <c r="B307" s="21" t="inlineStr">
        <is>
          <t>2024-10-25</t>
        </is>
      </c>
      <c r="C307" s="22" t="n">
        <v>43.8</v>
      </c>
      <c r="D307" s="22" t="n">
        <v>39.97</v>
      </c>
      <c r="E307" s="22" t="n">
        <v>31.45</v>
      </c>
    </row>
    <row r="308">
      <c r="B308" s="21" t="inlineStr">
        <is>
          <t>2024-10-26</t>
        </is>
      </c>
      <c r="C308" s="22" t="n">
        <v>45.3</v>
      </c>
      <c r="D308" s="22" t="n">
        <v>28.28</v>
      </c>
      <c r="E308" s="22" t="n">
        <v>27.12</v>
      </c>
    </row>
    <row r="309">
      <c r="B309" s="21" t="inlineStr">
        <is>
          <t>2024-10-27</t>
        </is>
      </c>
      <c r="C309" s="22" t="n">
        <v>23.53</v>
      </c>
      <c r="D309" s="22" t="n">
        <v>23.76</v>
      </c>
      <c r="E309" s="22" t="n">
        <v>18.74</v>
      </c>
    </row>
    <row r="310">
      <c r="B310" s="21" t="inlineStr">
        <is>
          <t>2024-10-28</t>
        </is>
      </c>
      <c r="C310" s="22" t="n">
        <v>44.26</v>
      </c>
      <c r="D310" s="22" t="n">
        <v>38.03</v>
      </c>
      <c r="E310" s="22" t="n">
        <v>28.83</v>
      </c>
    </row>
    <row r="311">
      <c r="B311" s="21" t="inlineStr">
        <is>
          <t>2024-10-29</t>
        </is>
      </c>
      <c r="C311" s="22" t="n">
        <v>52.12</v>
      </c>
      <c r="D311" s="22" t="n">
        <v>40.92</v>
      </c>
      <c r="E311" s="22" t="n">
        <v>29.95</v>
      </c>
    </row>
    <row r="312">
      <c r="B312" s="21" t="inlineStr">
        <is>
          <t>2024-10-30</t>
        </is>
      </c>
      <c r="C312" s="22" t="n">
        <v>48.33</v>
      </c>
      <c r="D312" s="22" t="n">
        <v>36.54</v>
      </c>
      <c r="E312" s="22" t="n">
        <v>33.25</v>
      </c>
    </row>
    <row r="313">
      <c r="B313" s="21" t="inlineStr">
        <is>
          <t>2024-10-31</t>
        </is>
      </c>
      <c r="C313" s="22" t="n">
        <v>48.54</v>
      </c>
      <c r="D313" s="22" t="n">
        <v>40.59</v>
      </c>
      <c r="E313" s="22" t="n">
        <v>31.77</v>
      </c>
    </row>
    <row r="314">
      <c r="B314" s="21" t="inlineStr">
        <is>
          <t>2024-11-01</t>
        </is>
      </c>
      <c r="C314" s="22" t="n">
        <v>43.24</v>
      </c>
      <c r="D314" s="22" t="n">
        <v>33.83</v>
      </c>
      <c r="E314" s="22" t="n">
        <v>30.84</v>
      </c>
    </row>
    <row r="315">
      <c r="B315" s="21" t="inlineStr">
        <is>
          <t>2024-11-02</t>
        </is>
      </c>
      <c r="C315" s="22" t="n">
        <v>39.5</v>
      </c>
      <c r="D315" s="22" t="n">
        <v>30.77</v>
      </c>
      <c r="E315" s="22" t="n">
        <v>23.17</v>
      </c>
    </row>
    <row r="316">
      <c r="B316" s="21" t="inlineStr">
        <is>
          <t>2024-11-03</t>
        </is>
      </c>
      <c r="C316" s="22" t="n">
        <v>26.05</v>
      </c>
      <c r="D316" s="22" t="n">
        <v>22.86</v>
      </c>
      <c r="E316" s="22" t="n">
        <v>15.81</v>
      </c>
    </row>
    <row r="317">
      <c r="B317" s="21" t="inlineStr">
        <is>
          <t>2024-11-04</t>
        </is>
      </c>
      <c r="C317" s="22" t="n">
        <v>45.17</v>
      </c>
      <c r="D317" s="22" t="n">
        <v>34.03</v>
      </c>
      <c r="E317" s="22" t="n">
        <v>35.58</v>
      </c>
    </row>
    <row r="318">
      <c r="B318" s="21" t="inlineStr">
        <is>
          <t>2024-11-05</t>
        </is>
      </c>
      <c r="C318" s="22" t="n">
        <v>46.45</v>
      </c>
      <c r="D318" s="22" t="n">
        <v>37.76</v>
      </c>
      <c r="E318" s="22" t="n">
        <v>35.04</v>
      </c>
    </row>
    <row r="319">
      <c r="B319" s="21" t="inlineStr">
        <is>
          <t>2024-11-06</t>
        </is>
      </c>
      <c r="C319" s="22" t="n">
        <v>54.39</v>
      </c>
      <c r="D319" s="22" t="n">
        <v>34.84</v>
      </c>
      <c r="E319" s="22" t="n">
        <v>31.98</v>
      </c>
    </row>
    <row r="320">
      <c r="B320" s="21" t="inlineStr">
        <is>
          <t>2024-11-07</t>
        </is>
      </c>
      <c r="C320" s="22" t="n">
        <v>54.29</v>
      </c>
      <c r="D320" s="22" t="n">
        <v>37.59</v>
      </c>
      <c r="E320" s="22" t="n">
        <v>34.6</v>
      </c>
    </row>
    <row r="321">
      <c r="B321" s="21" t="inlineStr">
        <is>
          <t>2024-11-08</t>
        </is>
      </c>
      <c r="C321" s="22" t="n">
        <v>48.63</v>
      </c>
      <c r="D321" s="22" t="n">
        <v>43.51</v>
      </c>
      <c r="E321" s="22" t="n">
        <v>32.18</v>
      </c>
    </row>
    <row r="322">
      <c r="B322" s="21" t="inlineStr">
        <is>
          <t>2024-11-09</t>
        </is>
      </c>
      <c r="C322" s="22" t="n">
        <v>45.37</v>
      </c>
      <c r="D322" s="22" t="n">
        <v>34.92</v>
      </c>
      <c r="E322" s="22" t="n">
        <v>24</v>
      </c>
    </row>
    <row r="323">
      <c r="B323" s="21" t="inlineStr">
        <is>
          <t>2024-11-10</t>
        </is>
      </c>
      <c r="C323" s="22" t="n">
        <v>25.79</v>
      </c>
      <c r="D323" s="22" t="n">
        <v>18.49</v>
      </c>
      <c r="E323" s="22" t="n">
        <v>15.19</v>
      </c>
    </row>
    <row r="324">
      <c r="B324" s="21" t="inlineStr">
        <is>
          <t>2024-11-11</t>
        </is>
      </c>
      <c r="C324" s="22" t="n">
        <v>55.6</v>
      </c>
      <c r="D324" s="22" t="n">
        <v>39.03</v>
      </c>
      <c r="E324" s="22" t="n">
        <v>31.31</v>
      </c>
    </row>
    <row r="325">
      <c r="B325" s="21" t="inlineStr">
        <is>
          <t>2024-11-12</t>
        </is>
      </c>
      <c r="C325" s="22" t="n">
        <v>45.18</v>
      </c>
      <c r="D325" s="22" t="n">
        <v>43.84</v>
      </c>
      <c r="E325" s="22" t="n">
        <v>34.31</v>
      </c>
    </row>
    <row r="326">
      <c r="B326" s="21" t="inlineStr">
        <is>
          <t>2024-11-13</t>
        </is>
      </c>
      <c r="C326" s="22" t="n">
        <v>48.54</v>
      </c>
      <c r="D326" s="22" t="n">
        <v>38.33</v>
      </c>
      <c r="E326" s="22" t="n">
        <v>32.86</v>
      </c>
    </row>
    <row r="327">
      <c r="B327" s="21" t="inlineStr">
        <is>
          <t>2024-11-14</t>
        </is>
      </c>
      <c r="C327" s="22" t="n">
        <v>53.83</v>
      </c>
      <c r="D327" s="22" t="n">
        <v>43.09</v>
      </c>
      <c r="E327" s="22" t="n">
        <v>27.33</v>
      </c>
    </row>
    <row r="328">
      <c r="B328" s="21" t="inlineStr">
        <is>
          <t>2024-11-15</t>
        </is>
      </c>
      <c r="C328" s="22" t="n">
        <v>46.62</v>
      </c>
      <c r="D328" s="22" t="n">
        <v>40.68</v>
      </c>
      <c r="E328" s="22" t="n">
        <v>31.29</v>
      </c>
    </row>
    <row r="329">
      <c r="B329" s="21" t="inlineStr">
        <is>
          <t>2024-11-16</t>
        </is>
      </c>
      <c r="C329" s="22" t="n">
        <v>43.13</v>
      </c>
      <c r="D329" s="22" t="n">
        <v>31.15</v>
      </c>
      <c r="E329" s="22" t="n">
        <v>26.31</v>
      </c>
    </row>
    <row r="330">
      <c r="B330" s="21" t="inlineStr">
        <is>
          <t>2024-11-17</t>
        </is>
      </c>
      <c r="C330" s="22" t="n">
        <v>25.43</v>
      </c>
      <c r="D330" s="22" t="n">
        <v>20.78</v>
      </c>
      <c r="E330" s="22" t="n">
        <v>13.91</v>
      </c>
    </row>
    <row r="331">
      <c r="B331" s="21" t="inlineStr">
        <is>
          <t>2024-11-18</t>
        </is>
      </c>
      <c r="C331" s="22" t="n">
        <v>43.53</v>
      </c>
      <c r="D331" s="22" t="n">
        <v>44.24</v>
      </c>
      <c r="E331" s="22" t="n">
        <v>32.48</v>
      </c>
    </row>
    <row r="332">
      <c r="B332" s="21" t="inlineStr">
        <is>
          <t>2024-11-19</t>
        </is>
      </c>
      <c r="C332" s="22" t="n">
        <v>56.09</v>
      </c>
      <c r="D332" s="22" t="n">
        <v>33.41</v>
      </c>
      <c r="E332" s="22" t="n">
        <v>30.27</v>
      </c>
    </row>
    <row r="333">
      <c r="B333" s="21" t="inlineStr">
        <is>
          <t>2024-11-20</t>
        </is>
      </c>
      <c r="C333" s="22" t="n">
        <v>48.41</v>
      </c>
      <c r="D333" s="22" t="n">
        <v>41.6</v>
      </c>
      <c r="E333" s="22" t="n">
        <v>31.94</v>
      </c>
    </row>
    <row r="334">
      <c r="B334" s="21" t="inlineStr">
        <is>
          <t>2024-11-21</t>
        </is>
      </c>
      <c r="C334" s="22" t="n">
        <v>47.96</v>
      </c>
      <c r="D334" s="22" t="n">
        <v>36.55</v>
      </c>
      <c r="E334" s="22" t="n">
        <v>34.39</v>
      </c>
    </row>
    <row r="335">
      <c r="B335" s="21" t="inlineStr">
        <is>
          <t>2024-11-22</t>
        </is>
      </c>
      <c r="C335" s="22" t="n">
        <v>54.04</v>
      </c>
      <c r="D335" s="22" t="n">
        <v>37.26</v>
      </c>
      <c r="E335" s="22" t="n">
        <v>35.34</v>
      </c>
    </row>
    <row r="336">
      <c r="B336" s="21" t="inlineStr">
        <is>
          <t>2024-11-23</t>
        </is>
      </c>
      <c r="C336" s="22" t="n">
        <v>38.98</v>
      </c>
      <c r="D336" s="22" t="n">
        <v>32.33</v>
      </c>
      <c r="E336" s="22" t="n">
        <v>23.67</v>
      </c>
    </row>
    <row r="337">
      <c r="B337" s="21" t="inlineStr">
        <is>
          <t>2024-11-24</t>
        </is>
      </c>
      <c r="C337" s="22" t="n">
        <v>25.3</v>
      </c>
      <c r="D337" s="22" t="n">
        <v>19.44</v>
      </c>
      <c r="E337" s="22" t="n">
        <v>15.9</v>
      </c>
    </row>
    <row r="338">
      <c r="B338" s="21" t="inlineStr">
        <is>
          <t>2024-11-25</t>
        </is>
      </c>
      <c r="C338" s="22" t="n">
        <v>45.28</v>
      </c>
      <c r="D338" s="22" t="n">
        <v>40.53</v>
      </c>
      <c r="E338" s="22" t="n">
        <v>31.05</v>
      </c>
    </row>
    <row r="339">
      <c r="B339" s="21" t="inlineStr">
        <is>
          <t>2024-11-26</t>
        </is>
      </c>
      <c r="C339" s="22" t="n">
        <v>51.23</v>
      </c>
      <c r="D339" s="22" t="n">
        <v>40.52</v>
      </c>
      <c r="E339" s="22" t="n">
        <v>31.07</v>
      </c>
    </row>
    <row r="340">
      <c r="B340" s="21" t="inlineStr">
        <is>
          <t>2024-11-27</t>
        </is>
      </c>
      <c r="C340" s="22" t="n">
        <v>50.59</v>
      </c>
      <c r="D340" s="22" t="n">
        <v>35.34</v>
      </c>
      <c r="E340" s="22" t="n">
        <v>29.98</v>
      </c>
    </row>
    <row r="341">
      <c r="B341" s="21" t="inlineStr">
        <is>
          <t>2024-11-28</t>
        </is>
      </c>
      <c r="C341" s="22" t="n">
        <v>55.75</v>
      </c>
      <c r="D341" s="22" t="n">
        <v>35.06</v>
      </c>
      <c r="E341" s="22" t="n">
        <v>27.69</v>
      </c>
    </row>
    <row r="342">
      <c r="B342" s="21" t="inlineStr">
        <is>
          <t>2024-11-29</t>
        </is>
      </c>
      <c r="C342" s="22" t="n">
        <v>51.53</v>
      </c>
      <c r="D342" s="22" t="n">
        <v>44.75</v>
      </c>
      <c r="E342" s="22" t="n">
        <v>30.54</v>
      </c>
    </row>
    <row r="343">
      <c r="B343" s="21" t="inlineStr">
        <is>
          <t>2024-11-30</t>
        </is>
      </c>
      <c r="C343" s="22" t="n">
        <v>34.7</v>
      </c>
      <c r="D343" s="22" t="n">
        <v>32.38</v>
      </c>
      <c r="E343" s="22" t="n">
        <v>26.95</v>
      </c>
    </row>
    <row r="344">
      <c r="B344" s="21" t="inlineStr">
        <is>
          <t>2024-12-01</t>
        </is>
      </c>
      <c r="C344" s="22" t="n">
        <v>24.54</v>
      </c>
      <c r="D344" s="22" t="n">
        <v>22.77</v>
      </c>
      <c r="E344" s="22" t="n">
        <v>14.7</v>
      </c>
    </row>
    <row r="345">
      <c r="B345" s="21" t="inlineStr">
        <is>
          <t>2024-12-02</t>
        </is>
      </c>
      <c r="C345" s="22" t="n">
        <v>47.45</v>
      </c>
      <c r="D345" s="22" t="n">
        <v>34.51</v>
      </c>
      <c r="E345" s="22" t="n">
        <v>26.86</v>
      </c>
    </row>
    <row r="346">
      <c r="B346" s="21" t="inlineStr">
        <is>
          <t>2024-12-03</t>
        </is>
      </c>
      <c r="C346" s="22" t="n">
        <v>51.04</v>
      </c>
      <c r="D346" s="22" t="n">
        <v>37.98</v>
      </c>
      <c r="E346" s="22" t="n">
        <v>31.4</v>
      </c>
    </row>
    <row r="347">
      <c r="B347" s="21" t="inlineStr">
        <is>
          <t>2024-12-04</t>
        </is>
      </c>
      <c r="C347" s="22" t="n">
        <v>44.27</v>
      </c>
      <c r="D347" s="22" t="n">
        <v>40.16</v>
      </c>
      <c r="E347" s="22" t="n">
        <v>32.81</v>
      </c>
    </row>
    <row r="348">
      <c r="B348" s="21" t="inlineStr">
        <is>
          <t>2024-12-05</t>
        </is>
      </c>
      <c r="C348" s="22" t="n">
        <v>51.42</v>
      </c>
      <c r="D348" s="22" t="n">
        <v>42.47</v>
      </c>
      <c r="E348" s="22" t="n">
        <v>28.74</v>
      </c>
    </row>
    <row r="349">
      <c r="B349" s="21" t="inlineStr">
        <is>
          <t>2024-12-06</t>
        </is>
      </c>
      <c r="C349" s="22" t="n">
        <v>42.46</v>
      </c>
      <c r="D349" s="22" t="n">
        <v>43.4</v>
      </c>
      <c r="E349" s="22" t="n">
        <v>26.66</v>
      </c>
    </row>
    <row r="350">
      <c r="B350" s="21" t="inlineStr">
        <is>
          <t>2024-12-07</t>
        </is>
      </c>
      <c r="C350" s="22" t="n">
        <v>43.82</v>
      </c>
      <c r="D350" s="22" t="n">
        <v>27.11</v>
      </c>
      <c r="E350" s="22" t="n">
        <v>23.49</v>
      </c>
    </row>
    <row r="351">
      <c r="B351" s="21" t="inlineStr">
        <is>
          <t>2024-12-08</t>
        </is>
      </c>
      <c r="C351" s="22" t="n">
        <v>24.18</v>
      </c>
      <c r="D351" s="22" t="n">
        <v>19.07</v>
      </c>
      <c r="E351" s="22" t="n">
        <v>18.03</v>
      </c>
    </row>
    <row r="352">
      <c r="B352" s="21" t="inlineStr">
        <is>
          <t>2024-12-09</t>
        </is>
      </c>
      <c r="C352" s="22" t="n">
        <v>45.34</v>
      </c>
      <c r="D352" s="22" t="n">
        <v>42.24</v>
      </c>
      <c r="E352" s="22" t="n">
        <v>32.01</v>
      </c>
    </row>
    <row r="353">
      <c r="B353" s="21" t="inlineStr">
        <is>
          <t>2024-12-10</t>
        </is>
      </c>
      <c r="C353" s="22" t="n">
        <v>42.88</v>
      </c>
      <c r="D353" s="22" t="n">
        <v>39.12</v>
      </c>
      <c r="E353" s="22" t="n">
        <v>30.12</v>
      </c>
    </row>
    <row r="354">
      <c r="B354" s="21" t="inlineStr">
        <is>
          <t>2024-12-11</t>
        </is>
      </c>
      <c r="C354" s="22" t="n">
        <v>55.58</v>
      </c>
      <c r="D354" s="22" t="n">
        <v>37.18</v>
      </c>
      <c r="E354" s="22" t="n">
        <v>30.13</v>
      </c>
    </row>
    <row r="355">
      <c r="B355" s="21" t="inlineStr">
        <is>
          <t>2024-12-12</t>
        </is>
      </c>
      <c r="C355" s="22" t="n">
        <v>49.03</v>
      </c>
      <c r="D355" s="22" t="n">
        <v>42.09</v>
      </c>
      <c r="E355" s="22" t="n">
        <v>30.98</v>
      </c>
    </row>
    <row r="356">
      <c r="B356" s="21" t="inlineStr">
        <is>
          <t>2024-12-13</t>
        </is>
      </c>
      <c r="C356" s="22" t="n">
        <v>51.03</v>
      </c>
      <c r="D356" s="22" t="n">
        <v>33.86</v>
      </c>
      <c r="E356" s="22" t="n">
        <v>30.12</v>
      </c>
    </row>
    <row r="357">
      <c r="B357" s="21" t="inlineStr">
        <is>
          <t>2024-12-14</t>
        </is>
      </c>
      <c r="C357" s="22" t="n">
        <v>44.53</v>
      </c>
      <c r="D357" s="22" t="n">
        <v>32.95</v>
      </c>
      <c r="E357" s="22" t="n">
        <v>27.08</v>
      </c>
    </row>
    <row r="358">
      <c r="B358" s="21" t="inlineStr">
        <is>
          <t>2024-12-15</t>
        </is>
      </c>
      <c r="C358" s="22" t="n">
        <v>25.88</v>
      </c>
      <c r="D358" s="22" t="n">
        <v>21.62</v>
      </c>
      <c r="E358" s="22" t="n">
        <v>15.4</v>
      </c>
    </row>
    <row r="359">
      <c r="B359" s="21" t="inlineStr">
        <is>
          <t>2024-12-16</t>
        </is>
      </c>
      <c r="C359" s="22" t="n">
        <v>55.69</v>
      </c>
      <c r="D359" s="22" t="n">
        <v>38.5</v>
      </c>
      <c r="E359" s="22" t="n">
        <v>31.68</v>
      </c>
    </row>
    <row r="360">
      <c r="B360" s="21" t="inlineStr">
        <is>
          <t>2024-12-17</t>
        </is>
      </c>
      <c r="C360" s="22" t="n">
        <v>45.81</v>
      </c>
      <c r="D360" s="22" t="n">
        <v>36.3</v>
      </c>
      <c r="E360" s="22" t="n">
        <v>30.85</v>
      </c>
    </row>
    <row r="361">
      <c r="B361" s="21" t="inlineStr">
        <is>
          <t>2024-12-18</t>
        </is>
      </c>
      <c r="C361" s="22" t="n">
        <v>50.13</v>
      </c>
      <c r="D361" s="22" t="n">
        <v>40.8</v>
      </c>
      <c r="E361" s="22" t="n">
        <v>31.71</v>
      </c>
    </row>
    <row r="362">
      <c r="B362" s="21" t="inlineStr">
        <is>
          <t>2024-12-19</t>
        </is>
      </c>
      <c r="C362" s="22" t="n">
        <v>49.36</v>
      </c>
      <c r="D362" s="22" t="n">
        <v>33.77</v>
      </c>
      <c r="E362" s="22" t="n">
        <v>32.12</v>
      </c>
    </row>
    <row r="363">
      <c r="B363" s="21" t="inlineStr">
        <is>
          <t>2024-12-20</t>
        </is>
      </c>
      <c r="C363" s="22" t="n">
        <v>44.23</v>
      </c>
      <c r="D363" s="22" t="n">
        <v>40.31</v>
      </c>
      <c r="E363" s="22" t="n">
        <v>34.19</v>
      </c>
    </row>
    <row r="364">
      <c r="B364" s="21" t="inlineStr">
        <is>
          <t>2024-12-21</t>
        </is>
      </c>
      <c r="C364" s="22" t="n">
        <v>40.45</v>
      </c>
      <c r="D364" s="22" t="n">
        <v>34.91</v>
      </c>
      <c r="E364" s="22" t="n">
        <v>24.2</v>
      </c>
    </row>
    <row r="365">
      <c r="B365" s="21" t="inlineStr">
        <is>
          <t>2024-12-22</t>
        </is>
      </c>
      <c r="C365" s="22" t="n">
        <v>28.08</v>
      </c>
      <c r="D365" s="22" t="n">
        <v>21.2</v>
      </c>
      <c r="E365" s="22" t="n">
        <v>17.88</v>
      </c>
    </row>
    <row r="366">
      <c r="B366" s="21" t="inlineStr">
        <is>
          <t>2024-12-23</t>
        </is>
      </c>
      <c r="C366" s="22" t="n">
        <v>48.73</v>
      </c>
      <c r="D366" s="22" t="n">
        <v>35.28</v>
      </c>
      <c r="E366" s="22" t="n">
        <v>29.54</v>
      </c>
    </row>
    <row r="367">
      <c r="B367" s="21" t="inlineStr">
        <is>
          <t>2024-12-24</t>
        </is>
      </c>
      <c r="C367" s="22" t="n">
        <v>47.39</v>
      </c>
      <c r="D367" s="22" t="n">
        <v>38.4</v>
      </c>
      <c r="E367" s="22" t="n">
        <v>33.79</v>
      </c>
    </row>
    <row r="368">
      <c r="B368" s="21" t="inlineStr">
        <is>
          <t>2024-12-25</t>
        </is>
      </c>
      <c r="C368" s="22" t="n">
        <v>44.43</v>
      </c>
      <c r="D368" s="22" t="n">
        <v>43.32</v>
      </c>
      <c r="E368" s="22" t="n">
        <v>28.38</v>
      </c>
    </row>
    <row r="369">
      <c r="B369" s="21" t="inlineStr">
        <is>
          <t>2024-12-26</t>
        </is>
      </c>
      <c r="C369" s="22" t="n">
        <v>50.67</v>
      </c>
      <c r="D369" s="22" t="n">
        <v>38.65</v>
      </c>
      <c r="E369" s="22" t="n">
        <v>26.79</v>
      </c>
    </row>
    <row r="370">
      <c r="B370" s="21" t="inlineStr">
        <is>
          <t>2024-12-27</t>
        </is>
      </c>
      <c r="C370" s="22" t="n">
        <v>45.54</v>
      </c>
      <c r="D370" s="22" t="n">
        <v>33.82</v>
      </c>
      <c r="E370" s="22" t="n">
        <v>33.08</v>
      </c>
    </row>
    <row r="371">
      <c r="B371" s="21" t="inlineStr">
        <is>
          <t>2024-12-28</t>
        </is>
      </c>
      <c r="C371" s="22" t="n">
        <v>45.11</v>
      </c>
      <c r="D371" s="22" t="n">
        <v>27.92</v>
      </c>
      <c r="E371" s="22" t="n">
        <v>22.68</v>
      </c>
    </row>
    <row r="372">
      <c r="B372" s="21" t="inlineStr">
        <is>
          <t>2024-12-29</t>
        </is>
      </c>
      <c r="C372" s="22" t="n">
        <v>27.32</v>
      </c>
      <c r="D372" s="22" t="n">
        <v>21.52</v>
      </c>
      <c r="E372" s="22" t="n">
        <v>17.02</v>
      </c>
    </row>
    <row r="373">
      <c r="B373" s="21" t="inlineStr">
        <is>
          <t>2024-12-30</t>
        </is>
      </c>
      <c r="C373" s="22" t="n">
        <v>47.03</v>
      </c>
      <c r="D373" s="22" t="n">
        <v>35.03</v>
      </c>
      <c r="E373" s="22" t="n">
        <v>28.58</v>
      </c>
    </row>
    <row r="374">
      <c r="B374" s="21" t="inlineStr">
        <is>
          <t>2024-12-31</t>
        </is>
      </c>
      <c r="C374" s="22" t="n">
        <v>51.66</v>
      </c>
      <c r="D374" s="22" t="n">
        <v>34.41</v>
      </c>
      <c r="E374" s="22" t="n">
        <v>29.08</v>
      </c>
    </row>
    <row r="377">
      <c r="B377" s="4" t="inlineStr">
        <is>
          <t>Meter ID</t>
        </is>
      </c>
      <c r="C377" s="4" t="inlineStr">
        <is>
          <t>Total Consumption (m³)</t>
        </is>
      </c>
    </row>
    <row r="378">
      <c r="B378" s="21" t="inlineStr">
        <is>
          <t>MTR-DYE-001</t>
        </is>
      </c>
      <c r="C378" s="22" t="n">
        <v>21851.43</v>
      </c>
    </row>
    <row r="379">
      <c r="B379" s="21" t="inlineStr">
        <is>
          <t>MTR-CTW-004</t>
        </is>
      </c>
      <c r="C379" s="22" t="n">
        <v>13181.65</v>
      </c>
    </row>
    <row r="380">
      <c r="B380" s="21" t="inlineStr">
        <is>
          <t>MTR-WSH-002</t>
        </is>
      </c>
      <c r="C380" s="22" t="n">
        <v>10643.79</v>
      </c>
    </row>
    <row r="381">
      <c r="B381" s="21" t="inlineStr">
        <is>
          <t>MTR-PRC-005</t>
        </is>
      </c>
      <c r="C381" s="22" t="n">
        <v>8260.4</v>
      </c>
    </row>
    <row r="382">
      <c r="B382" s="21" t="inlineStr">
        <is>
          <t>MTR-BLR-003</t>
        </is>
      </c>
      <c r="C382" s="22" t="n">
        <v>6805.9</v>
      </c>
    </row>
    <row r="383">
      <c r="B383" s="21" t="inlineStr">
        <is>
          <t>MTR-DOM-006</t>
        </is>
      </c>
      <c r="C383" s="22" t="n">
        <v>3396.86</v>
      </c>
    </row>
    <row r="386">
      <c r="B386" s="4" t="inlineStr">
        <is>
          <t>Month</t>
        </is>
      </c>
      <c r="C386" s="4" t="inlineStr">
        <is>
          <t>Boiler House</t>
        </is>
      </c>
      <c r="D386" s="4" t="inlineStr">
        <is>
          <t>Cooling Tower</t>
        </is>
      </c>
      <c r="E386" s="4" t="inlineStr">
        <is>
          <t>Dyeing Hall</t>
        </is>
      </c>
      <c r="F386" s="4" t="inlineStr">
        <is>
          <t>Process Hall</t>
        </is>
      </c>
      <c r="G386" s="4" t="inlineStr">
        <is>
          <t>Utilities</t>
        </is>
      </c>
      <c r="H386" s="4" t="inlineStr">
        <is>
          <t>Washing Hall</t>
        </is>
      </c>
    </row>
    <row r="387">
      <c r="B387" s="21" t="inlineStr">
        <is>
          <t>2024-01</t>
        </is>
      </c>
      <c r="C387" s="22" t="n">
        <v>517.9299999999999</v>
      </c>
      <c r="D387" s="22" t="n">
        <v>1010.54</v>
      </c>
      <c r="E387" s="22" t="n">
        <v>1286.49</v>
      </c>
      <c r="F387" s="22" t="n">
        <v>637.21</v>
      </c>
      <c r="G387" s="22" t="n">
        <v>253.19</v>
      </c>
      <c r="H387" s="22" t="n">
        <v>801.86</v>
      </c>
    </row>
    <row r="388">
      <c r="B388" s="21" t="inlineStr">
        <is>
          <t>2024-02</t>
        </is>
      </c>
      <c r="C388" s="22" t="n">
        <v>530.08</v>
      </c>
      <c r="D388" s="22" t="n">
        <v>991.33</v>
      </c>
      <c r="E388" s="22" t="n">
        <v>1296.85</v>
      </c>
      <c r="F388" s="22" t="n">
        <v>630.71</v>
      </c>
      <c r="G388" s="22" t="n">
        <v>254.7</v>
      </c>
      <c r="H388" s="22" t="n">
        <v>811.04</v>
      </c>
    </row>
    <row r="389">
      <c r="B389" s="21" t="inlineStr">
        <is>
          <t>2024-03</t>
        </is>
      </c>
      <c r="C389" s="22" t="n">
        <v>528.45</v>
      </c>
      <c r="D389" s="22" t="n">
        <v>1067.74</v>
      </c>
      <c r="E389" s="22" t="n">
        <v>1391.89</v>
      </c>
      <c r="F389" s="22" t="n">
        <v>679.28</v>
      </c>
      <c r="G389" s="22" t="n">
        <v>279.52</v>
      </c>
      <c r="H389" s="22" t="n">
        <v>879.88</v>
      </c>
    </row>
    <row r="390">
      <c r="B390" s="21" t="inlineStr">
        <is>
          <t>2024-04</t>
        </is>
      </c>
      <c r="C390" s="22" t="n">
        <v>558.29</v>
      </c>
      <c r="D390" s="22" t="n">
        <v>1074.43</v>
      </c>
      <c r="E390" s="22" t="n">
        <v>1405.24</v>
      </c>
      <c r="F390" s="22" t="n">
        <v>691.08</v>
      </c>
      <c r="G390" s="22" t="n">
        <v>275.07</v>
      </c>
      <c r="H390" s="22" t="n">
        <v>879.3</v>
      </c>
    </row>
    <row r="391">
      <c r="B391" s="21" t="inlineStr">
        <is>
          <t>2024-05</t>
        </is>
      </c>
      <c r="C391" s="22" t="n">
        <v>598.36</v>
      </c>
      <c r="D391" s="22" t="n">
        <v>1135.67</v>
      </c>
      <c r="E391" s="22" t="n">
        <v>1484.08</v>
      </c>
      <c r="F391" s="22" t="n">
        <v>727.12</v>
      </c>
      <c r="G391" s="22" t="n">
        <v>309.28</v>
      </c>
      <c r="H391" s="22" t="n">
        <v>926.41</v>
      </c>
    </row>
    <row r="392">
      <c r="B392" s="21" t="inlineStr">
        <is>
          <t>2024-06</t>
        </is>
      </c>
      <c r="C392" s="22" t="n">
        <v>571.46</v>
      </c>
      <c r="D392" s="22" t="n">
        <v>1131.21</v>
      </c>
      <c r="E392" s="22" t="n">
        <v>1492.57</v>
      </c>
      <c r="F392" s="22" t="n">
        <v>686.83</v>
      </c>
      <c r="G392" s="22" t="n">
        <v>287.9</v>
      </c>
      <c r="H392" s="22" t="n">
        <v>917.9</v>
      </c>
    </row>
    <row r="393">
      <c r="B393" s="21" t="inlineStr">
        <is>
          <t>2024-07</t>
        </is>
      </c>
      <c r="C393" s="22" t="n">
        <v>636.41</v>
      </c>
      <c r="D393" s="22" t="n">
        <v>1250.09</v>
      </c>
      <c r="E393" s="22" t="n">
        <v>1596.84</v>
      </c>
      <c r="F393" s="22" t="n">
        <v>767.5</v>
      </c>
      <c r="G393" s="22" t="n">
        <v>318.9</v>
      </c>
      <c r="H393" s="22" t="n">
        <v>983.34</v>
      </c>
    </row>
    <row r="394">
      <c r="B394" s="21" t="inlineStr">
        <is>
          <t>2024-08</t>
        </is>
      </c>
      <c r="C394" s="22" t="n">
        <v>608.77</v>
      </c>
      <c r="D394" s="22" t="n">
        <v>1166.04</v>
      </c>
      <c r="E394" s="22" t="n">
        <v>1520.44</v>
      </c>
      <c r="F394" s="22" t="n">
        <v>726.02</v>
      </c>
      <c r="G394" s="22" t="n">
        <v>305.04</v>
      </c>
      <c r="H394" s="22" t="n">
        <v>940.58</v>
      </c>
    </row>
    <row r="395">
      <c r="B395" s="21" t="inlineStr">
        <is>
          <t>2024-09</t>
        </is>
      </c>
      <c r="C395" s="22" t="n">
        <v>570.9299999999999</v>
      </c>
      <c r="D395" s="22" t="n">
        <v>1113.75</v>
      </c>
      <c r="E395" s="22" t="n">
        <v>6235.12</v>
      </c>
      <c r="F395" s="22" t="n">
        <v>684.73</v>
      </c>
      <c r="G395" s="22" t="n">
        <v>279.57</v>
      </c>
      <c r="H395" s="22" t="n">
        <v>889.09</v>
      </c>
    </row>
    <row r="396">
      <c r="B396" s="21" t="inlineStr">
        <is>
          <t>2024-10</t>
        </is>
      </c>
      <c r="C396" s="22" t="n">
        <v>565.64</v>
      </c>
      <c r="D396" s="22" t="n">
        <v>1111.27</v>
      </c>
      <c r="E396" s="22" t="n">
        <v>1426.23</v>
      </c>
      <c r="F396" s="22" t="n">
        <v>698.41</v>
      </c>
      <c r="G396" s="22" t="n">
        <v>286.49</v>
      </c>
      <c r="H396" s="22" t="n">
        <v>907.3099999999999</v>
      </c>
    </row>
    <row r="397">
      <c r="B397" s="21" t="inlineStr">
        <is>
          <t>2024-11</t>
        </is>
      </c>
      <c r="C397" s="22" t="n">
        <v>574.15</v>
      </c>
      <c r="D397" s="22" t="n">
        <v>1058.91</v>
      </c>
      <c r="E397" s="22" t="n">
        <v>1350.6</v>
      </c>
      <c r="F397" s="22" t="n">
        <v>670.29</v>
      </c>
      <c r="G397" s="22" t="n">
        <v>273.39</v>
      </c>
      <c r="H397" s="22" t="n">
        <v>856.98</v>
      </c>
    </row>
    <row r="398">
      <c r="B398" s="21" t="inlineStr">
        <is>
          <t>2024-12</t>
        </is>
      </c>
      <c r="C398" s="22" t="n">
        <v>545.4299999999999</v>
      </c>
      <c r="D398" s="22" t="n">
        <v>1070.67</v>
      </c>
      <c r="E398" s="22" t="n">
        <v>1365.08</v>
      </c>
      <c r="F398" s="22" t="n">
        <v>661.22</v>
      </c>
      <c r="G398" s="22" t="n">
        <v>273.81</v>
      </c>
      <c r="H398" s="22" t="n">
        <v>850.1</v>
      </c>
    </row>
    <row r="401">
      <c r="B401" s="23" t="inlineStr">
        <is>
          <t>Sample anonymized dataset — textile factory (2024). Anomalies are potential issues requiring on-site investigation. Not confirmed leaks.</t>
        </is>
      </c>
    </row>
  </sheetData>
  <mergeCells count="5">
    <mergeCell ref="B2:M2"/>
    <mergeCell ref="B5:D6"/>
    <mergeCell ref="E5:G6"/>
    <mergeCell ref="K5:M6"/>
    <mergeCell ref="H5:J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Industrial Water Consumption Dashboard</dc:title>
  <dcterms:created xmlns:dcterms="http://purl.org/dc/terms/" xmlns:xsi="http://www.w3.org/2001/XMLSchema-instance" xsi:type="dcterms:W3CDTF">2026-10-19T16:18:09Z</dcterms:created>
  <dcterms:modified xmlns:dcterms="http://purl.org/dc/terms/" xmlns:xsi="http://www.w3.org/2001/XMLSchema-instance" xsi:type="dcterms:W3CDTF">2026-10-19T16:18:12Z</dcterms:modified>
</cp:coreProperties>
</file>